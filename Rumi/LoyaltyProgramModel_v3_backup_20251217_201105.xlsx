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$\Ubuntu\home\jorge\Loyalty\Rumi\"/>
    </mc:Choice>
  </mc:AlternateContent>
  <xr:revisionPtr revIDLastSave="0" documentId="13_ncr:1_{79A84C46-B203-4B93-9880-6B9E937BF79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puts" sheetId="1" r:id="rId1"/>
    <sheet name="VIP Levels" sheetId="2" r:id="rId2"/>
    <sheet name="Missions" sheetId="3" r:id="rId3"/>
    <sheet name="Affiliate Projection" sheetId="4" r:id="rId4"/>
    <sheet name="Reward Triggers" sheetId="5" r:id="rId5"/>
    <sheet name="Revenue" sheetId="6" r:id="rId6"/>
    <sheet name="Costs" sheetId="7" r:id="rId7"/>
    <sheet name="Summary" sheetId="8" r:id="rId8"/>
  </sheets>
  <definedNames>
    <definedName name="AffAttrition">Inputs!$B$10</definedName>
    <definedName name="SampleAffConv">Inputs!$B$7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8" l="1"/>
  <c r="L34" i="8"/>
  <c r="K34" i="8"/>
  <c r="J34" i="8"/>
  <c r="I34" i="8"/>
  <c r="H34" i="8"/>
  <c r="G34" i="8"/>
  <c r="F34" i="8"/>
  <c r="E34" i="8"/>
  <c r="D34" i="8"/>
  <c r="C34" i="8"/>
  <c r="N34" i="8" s="1"/>
  <c r="B34" i="8"/>
  <c r="B26" i="8"/>
  <c r="B16" i="8"/>
  <c r="K23" i="7"/>
  <c r="J23" i="7"/>
  <c r="F23" i="7"/>
  <c r="C23" i="7"/>
  <c r="I10" i="6"/>
  <c r="G10" i="6"/>
  <c r="M8" i="6"/>
  <c r="L8" i="6"/>
  <c r="K8" i="6"/>
  <c r="J8" i="6"/>
  <c r="I8" i="6"/>
  <c r="H8" i="6"/>
  <c r="G8" i="6"/>
  <c r="F8" i="6"/>
  <c r="E8" i="6"/>
  <c r="E10" i="6" s="1"/>
  <c r="D8" i="6"/>
  <c r="C8" i="6"/>
  <c r="B8" i="6"/>
  <c r="M7" i="6"/>
  <c r="M10" i="6" s="1"/>
  <c r="L7" i="6"/>
  <c r="L10" i="6" s="1"/>
  <c r="K7" i="6"/>
  <c r="J7" i="6"/>
  <c r="I7" i="6"/>
  <c r="H7" i="6"/>
  <c r="H10" i="6" s="1"/>
  <c r="G7" i="6"/>
  <c r="F7" i="6"/>
  <c r="E7" i="6"/>
  <c r="D7" i="6"/>
  <c r="C7" i="6"/>
  <c r="B7" i="6"/>
  <c r="B10" i="6" s="1"/>
  <c r="M5" i="6"/>
  <c r="L5" i="6"/>
  <c r="K5" i="6"/>
  <c r="K10" i="6" s="1"/>
  <c r="J5" i="6"/>
  <c r="J10" i="6" s="1"/>
  <c r="I5" i="6"/>
  <c r="H5" i="6"/>
  <c r="G5" i="6"/>
  <c r="F5" i="6"/>
  <c r="F10" i="6" s="1"/>
  <c r="E5" i="6"/>
  <c r="D5" i="6"/>
  <c r="D10" i="6" s="1"/>
  <c r="C5" i="6"/>
  <c r="C10" i="6" s="1"/>
  <c r="B5" i="6"/>
  <c r="K7" i="4"/>
  <c r="K18" i="4" s="1"/>
  <c r="M6" i="4"/>
  <c r="L6" i="4"/>
  <c r="K6" i="4"/>
  <c r="J6" i="4"/>
  <c r="I6" i="4"/>
  <c r="H6" i="4"/>
  <c r="G6" i="4"/>
  <c r="F6" i="4"/>
  <c r="E6" i="4"/>
  <c r="D6" i="4"/>
  <c r="C6" i="4"/>
  <c r="B6" i="4"/>
  <c r="M5" i="4"/>
  <c r="M7" i="4" s="1"/>
  <c r="M18" i="4" s="1"/>
  <c r="K5" i="4"/>
  <c r="J5" i="4"/>
  <c r="J7" i="4" s="1"/>
  <c r="J18" i="4" s="1"/>
  <c r="I5" i="4"/>
  <c r="I7" i="4" s="1"/>
  <c r="I18" i="4" s="1"/>
  <c r="F5" i="4"/>
  <c r="F7" i="4" s="1"/>
  <c r="F18" i="4" s="1"/>
  <c r="C5" i="4"/>
  <c r="C7" i="4" s="1"/>
  <c r="C18" i="4" s="1"/>
  <c r="B5" i="4" a="1"/>
  <c r="B5" i="4" s="1"/>
  <c r="B7" i="4" s="1"/>
  <c r="M4" i="4"/>
  <c r="M23" i="7" s="1"/>
  <c r="L4" i="4"/>
  <c r="L5" i="4" s="1"/>
  <c r="L7" i="4" s="1"/>
  <c r="L18" i="4" s="1"/>
  <c r="K4" i="4"/>
  <c r="J4" i="4"/>
  <c r="I4" i="4"/>
  <c r="I23" i="7" s="1"/>
  <c r="H4" i="4"/>
  <c r="H23" i="7" s="1"/>
  <c r="G4" i="4"/>
  <c r="G5" i="4" s="1"/>
  <c r="G7" i="4" s="1"/>
  <c r="G18" i="4" s="1"/>
  <c r="F4" i="4"/>
  <c r="E4" i="4"/>
  <c r="E5" i="4" s="1"/>
  <c r="E7" i="4" s="1"/>
  <c r="E18" i="4" s="1"/>
  <c r="D4" i="4"/>
  <c r="D23" i="7" s="1"/>
  <c r="C4" i="4"/>
  <c r="B4" i="4"/>
  <c r="B23" i="7" s="1"/>
  <c r="D35" i="3"/>
  <c r="C35" i="3"/>
  <c r="B17" i="5" s="1"/>
  <c r="B35" i="3"/>
  <c r="C34" i="3"/>
  <c r="B34" i="3"/>
  <c r="C33" i="3"/>
  <c r="B33" i="3"/>
  <c r="B15" i="5" s="1"/>
  <c r="C32" i="3"/>
  <c r="B32" i="3"/>
  <c r="C31" i="3"/>
  <c r="B31" i="3"/>
  <c r="J26" i="3"/>
  <c r="J25" i="3"/>
  <c r="J24" i="3"/>
  <c r="J23" i="3"/>
  <c r="J22" i="3"/>
  <c r="J21" i="3"/>
  <c r="J20" i="3"/>
  <c r="J19" i="3"/>
  <c r="J18" i="3"/>
  <c r="J17" i="3"/>
  <c r="J16" i="3"/>
  <c r="J14" i="3"/>
  <c r="J12" i="3"/>
  <c r="J11" i="3"/>
  <c r="J10" i="3"/>
  <c r="J8" i="3"/>
  <c r="J7" i="3"/>
  <c r="J6" i="3"/>
  <c r="J5" i="3"/>
  <c r="B26" i="2"/>
  <c r="B25" i="2"/>
  <c r="B24" i="2"/>
  <c r="B23" i="2" a="1"/>
  <c r="B23" i="2"/>
  <c r="B22" i="2"/>
  <c r="B44" i="1"/>
  <c r="B43" i="1"/>
  <c r="B39" i="1"/>
  <c r="B14" i="5" l="1"/>
  <c r="B16" i="5"/>
  <c r="J9" i="3"/>
  <c r="J15" i="3"/>
  <c r="D34" i="3" s="1"/>
  <c r="J13" i="3"/>
  <c r="D33" i="3" s="1"/>
  <c r="B9" i="4"/>
  <c r="B18" i="4"/>
  <c r="H5" i="4"/>
  <c r="H7" i="4" s="1"/>
  <c r="H18" i="4" s="1"/>
  <c r="L23" i="7"/>
  <c r="B5" i="8"/>
  <c r="D31" i="3"/>
  <c r="D5" i="4"/>
  <c r="D7" i="4" s="1"/>
  <c r="D18" i="4" s="1"/>
  <c r="E23" i="7"/>
  <c r="B15" i="8" s="1"/>
  <c r="G23" i="7"/>
  <c r="B12" i="4" l="1"/>
  <c r="C8" i="4"/>
  <c r="C9" i="4" s="1"/>
  <c r="B31" i="8"/>
  <c r="B9" i="5"/>
  <c r="B21" i="7" s="1"/>
  <c r="B7" i="5"/>
  <c r="B5" i="5"/>
  <c r="B6" i="7" s="1"/>
  <c r="B20" i="4"/>
  <c r="B8" i="5"/>
  <c r="B19" i="7" s="1"/>
  <c r="B10" i="5"/>
  <c r="B22" i="7" s="1"/>
  <c r="B6" i="5"/>
  <c r="B13" i="7" s="1"/>
  <c r="D32" i="3"/>
  <c r="B6" i="8"/>
  <c r="D8" i="4" l="1"/>
  <c r="D9" i="4" s="1"/>
  <c r="C15" i="4"/>
  <c r="C16" i="5" s="1"/>
  <c r="C13" i="4"/>
  <c r="C31" i="8"/>
  <c r="C16" i="4"/>
  <c r="C17" i="5" s="1"/>
  <c r="C14" i="4"/>
  <c r="C15" i="5" s="1"/>
  <c r="C12" i="4"/>
  <c r="B23" i="8"/>
  <c r="B25" i="8"/>
  <c r="B14" i="7"/>
  <c r="B15" i="7" s="1"/>
  <c r="B13" i="5"/>
  <c r="B18" i="5" s="1"/>
  <c r="B10" i="4"/>
  <c r="B9" i="7"/>
  <c r="B7" i="7"/>
  <c r="B20" i="7"/>
  <c r="B24" i="7" s="1"/>
  <c r="B16" i="7" l="1"/>
  <c r="D15" i="4"/>
  <c r="D16" i="5" s="1"/>
  <c r="D13" i="4"/>
  <c r="E8" i="4"/>
  <c r="E9" i="4" s="1"/>
  <c r="D31" i="8"/>
  <c r="D16" i="4"/>
  <c r="D17" i="5" s="1"/>
  <c r="D14" i="4"/>
  <c r="D15" i="5" s="1"/>
  <c r="D12" i="4"/>
  <c r="C14" i="7"/>
  <c r="C13" i="5"/>
  <c r="C10" i="4"/>
  <c r="C9" i="7"/>
  <c r="C7" i="7"/>
  <c r="C20" i="7"/>
  <c r="B32" i="8"/>
  <c r="B4" i="6"/>
  <c r="B5" i="7"/>
  <c r="C14" i="5"/>
  <c r="C21" i="4"/>
  <c r="C19" i="4"/>
  <c r="E15" i="4" l="1"/>
  <c r="E16" i="5" s="1"/>
  <c r="E13" i="4"/>
  <c r="F8" i="4"/>
  <c r="F9" i="4" s="1"/>
  <c r="E31" i="8"/>
  <c r="E16" i="4"/>
  <c r="E17" i="5" s="1"/>
  <c r="E14" i="4"/>
  <c r="E15" i="5" s="1"/>
  <c r="E12" i="4"/>
  <c r="B11" i="6"/>
  <c r="B9" i="6"/>
  <c r="B6" i="6"/>
  <c r="D14" i="5"/>
  <c r="E21" i="4"/>
  <c r="D19" i="4"/>
  <c r="C10" i="5"/>
  <c r="C22" i="7" s="1"/>
  <c r="C8" i="5"/>
  <c r="C19" i="7" s="1"/>
  <c r="C9" i="5"/>
  <c r="C21" i="7" s="1"/>
  <c r="C20" i="4"/>
  <c r="C5" i="5"/>
  <c r="C6" i="7" s="1"/>
  <c r="C7" i="5"/>
  <c r="C6" i="5"/>
  <c r="C13" i="7" s="1"/>
  <c r="C15" i="7" s="1"/>
  <c r="D14" i="7"/>
  <c r="D13" i="5"/>
  <c r="D7" i="7"/>
  <c r="D10" i="4"/>
  <c r="D9" i="7"/>
  <c r="D20" i="7"/>
  <c r="D21" i="4"/>
  <c r="C32" i="8"/>
  <c r="C4" i="6"/>
  <c r="C5" i="7"/>
  <c r="C18" i="5"/>
  <c r="F15" i="4" l="1"/>
  <c r="F16" i="5" s="1"/>
  <c r="F13" i="4"/>
  <c r="G8" i="4"/>
  <c r="G9" i="4" s="1"/>
  <c r="F31" i="8"/>
  <c r="F16" i="4"/>
  <c r="F17" i="5" s="1"/>
  <c r="F14" i="4"/>
  <c r="F15" i="5" s="1"/>
  <c r="F12" i="4"/>
  <c r="C24" i="7"/>
  <c r="B33" i="8"/>
  <c r="D32" i="8"/>
  <c r="D4" i="6"/>
  <c r="D5" i="7"/>
  <c r="C9" i="6"/>
  <c r="C6" i="6"/>
  <c r="C12" i="6" s="1"/>
  <c r="C8" i="7" s="1"/>
  <c r="C10" i="7" s="1"/>
  <c r="C27" i="7" s="1"/>
  <c r="C11" i="6"/>
  <c r="C33" i="8" s="1"/>
  <c r="C35" i="8" s="1"/>
  <c r="E10" i="4"/>
  <c r="E9" i="7"/>
  <c r="E7" i="7"/>
  <c r="E20" i="7"/>
  <c r="E14" i="7"/>
  <c r="E13" i="5"/>
  <c r="E14" i="5"/>
  <c r="E19" i="4"/>
  <c r="D5" i="5"/>
  <c r="D6" i="7" s="1"/>
  <c r="D20" i="4"/>
  <c r="D10" i="5"/>
  <c r="D22" i="7" s="1"/>
  <c r="D6" i="5"/>
  <c r="D13" i="7" s="1"/>
  <c r="D15" i="7" s="1"/>
  <c r="D16" i="7" s="1"/>
  <c r="D7" i="5"/>
  <c r="D8" i="5"/>
  <c r="D19" i="7" s="1"/>
  <c r="D9" i="5"/>
  <c r="D21" i="7" s="1"/>
  <c r="B12" i="6"/>
  <c r="B8" i="7" s="1"/>
  <c r="B10" i="7" s="1"/>
  <c r="B27" i="7" s="1"/>
  <c r="C16" i="7"/>
  <c r="D18" i="5"/>
  <c r="G15" i="4" l="1"/>
  <c r="G16" i="5" s="1"/>
  <c r="G13" i="4"/>
  <c r="H8" i="4"/>
  <c r="G31" i="8"/>
  <c r="G16" i="4"/>
  <c r="G17" i="5" s="1"/>
  <c r="G14" i="4"/>
  <c r="G15" i="5" s="1"/>
  <c r="G12" i="4"/>
  <c r="H9" i="4"/>
  <c r="D9" i="6"/>
  <c r="D6" i="6"/>
  <c r="D11" i="6"/>
  <c r="D33" i="8" s="1"/>
  <c r="D35" i="8" s="1"/>
  <c r="B35" i="8"/>
  <c r="E9" i="5"/>
  <c r="E21" i="7" s="1"/>
  <c r="E7" i="5"/>
  <c r="E5" i="5"/>
  <c r="E6" i="7" s="1"/>
  <c r="E20" i="4"/>
  <c r="E10" i="5"/>
  <c r="E22" i="7" s="1"/>
  <c r="E8" i="5"/>
  <c r="E19" i="7" s="1"/>
  <c r="E24" i="7" s="1"/>
  <c r="E6" i="5"/>
  <c r="E13" i="7" s="1"/>
  <c r="E15" i="7" s="1"/>
  <c r="F21" i="4"/>
  <c r="F10" i="4"/>
  <c r="F20" i="7"/>
  <c r="F9" i="7"/>
  <c r="F7" i="7"/>
  <c r="F14" i="7"/>
  <c r="F13" i="5"/>
  <c r="E18" i="5"/>
  <c r="F14" i="5"/>
  <c r="G21" i="4"/>
  <c r="F19" i="4"/>
  <c r="E32" i="8"/>
  <c r="E4" i="6"/>
  <c r="E5" i="7"/>
  <c r="D24" i="7"/>
  <c r="E6" i="6" l="1"/>
  <c r="E11" i="6"/>
  <c r="E33" i="8" s="1"/>
  <c r="E9" i="6"/>
  <c r="F5" i="5"/>
  <c r="F6" i="7" s="1"/>
  <c r="F20" i="4"/>
  <c r="F10" i="5"/>
  <c r="F22" i="7" s="1"/>
  <c r="F6" i="5"/>
  <c r="F13" i="7" s="1"/>
  <c r="F15" i="7" s="1"/>
  <c r="F16" i="7" s="1"/>
  <c r="F8" i="5"/>
  <c r="F19" i="7" s="1"/>
  <c r="F9" i="5"/>
  <c r="F21" i="7" s="1"/>
  <c r="F7" i="5"/>
  <c r="G10" i="4"/>
  <c r="G9" i="7"/>
  <c r="G7" i="7"/>
  <c r="G20" i="7"/>
  <c r="G14" i="7"/>
  <c r="G13" i="5"/>
  <c r="G18" i="5" s="1"/>
  <c r="F18" i="5"/>
  <c r="D12" i="6"/>
  <c r="D8" i="7" s="1"/>
  <c r="D10" i="7" s="1"/>
  <c r="D27" i="7" s="1"/>
  <c r="H14" i="4"/>
  <c r="H15" i="5" s="1"/>
  <c r="H12" i="4"/>
  <c r="H15" i="4"/>
  <c r="H16" i="5" s="1"/>
  <c r="H13" i="4"/>
  <c r="I8" i="4"/>
  <c r="H16" i="4"/>
  <c r="H17" i="5" s="1"/>
  <c r="H31" i="8"/>
  <c r="I9" i="4"/>
  <c r="G14" i="5"/>
  <c r="G19" i="4"/>
  <c r="F32" i="8"/>
  <c r="F5" i="7"/>
  <c r="F4" i="6"/>
  <c r="E16" i="7"/>
  <c r="G32" i="8" l="1"/>
  <c r="G4" i="6"/>
  <c r="G5" i="7"/>
  <c r="G7" i="5"/>
  <c r="G10" i="5"/>
  <c r="G22" i="7" s="1"/>
  <c r="G8" i="5"/>
  <c r="G19" i="7" s="1"/>
  <c r="G5" i="5"/>
  <c r="G6" i="7" s="1"/>
  <c r="G6" i="5"/>
  <c r="G13" i="7" s="1"/>
  <c r="G15" i="7" s="1"/>
  <c r="G20" i="4"/>
  <c r="G9" i="5"/>
  <c r="G21" i="7" s="1"/>
  <c r="I15" i="4"/>
  <c r="I16" i="5" s="1"/>
  <c r="I13" i="4"/>
  <c r="J8" i="4"/>
  <c r="I31" i="8"/>
  <c r="I16" i="4"/>
  <c r="I17" i="5" s="1"/>
  <c r="I14" i="4"/>
  <c r="I15" i="5" s="1"/>
  <c r="I12" i="4"/>
  <c r="J9" i="4"/>
  <c r="H21" i="4"/>
  <c r="H14" i="5"/>
  <c r="H19" i="4"/>
  <c r="F6" i="6"/>
  <c r="F11" i="6"/>
  <c r="F9" i="6"/>
  <c r="E12" i="6"/>
  <c r="E8" i="7" s="1"/>
  <c r="E10" i="7" s="1"/>
  <c r="E27" i="7" s="1"/>
  <c r="F24" i="7"/>
  <c r="E35" i="8"/>
  <c r="H10" i="4"/>
  <c r="H7" i="7"/>
  <c r="H9" i="7"/>
  <c r="H20" i="7"/>
  <c r="H14" i="7"/>
  <c r="H13" i="5"/>
  <c r="I10" i="4" l="1"/>
  <c r="I9" i="7"/>
  <c r="I7" i="7"/>
  <c r="I20" i="7"/>
  <c r="I14" i="7"/>
  <c r="I13" i="5"/>
  <c r="J15" i="4"/>
  <c r="J16" i="5" s="1"/>
  <c r="J13" i="4"/>
  <c r="K8" i="4"/>
  <c r="J31" i="8"/>
  <c r="J16" i="4"/>
  <c r="J17" i="5" s="1"/>
  <c r="J14" i="4"/>
  <c r="J15" i="5" s="1"/>
  <c r="J12" i="4"/>
  <c r="K9" i="4"/>
  <c r="I14" i="5"/>
  <c r="J21" i="4"/>
  <c r="I19" i="4"/>
  <c r="I21" i="4"/>
  <c r="H18" i="5"/>
  <c r="H32" i="8"/>
  <c r="H4" i="6"/>
  <c r="H5" i="7"/>
  <c r="G24" i="7"/>
  <c r="F12" i="6"/>
  <c r="F8" i="7" s="1"/>
  <c r="F10" i="7" s="1"/>
  <c r="F27" i="7" s="1"/>
  <c r="G16" i="7"/>
  <c r="F33" i="8"/>
  <c r="G6" i="6"/>
  <c r="G12" i="6" s="1"/>
  <c r="G8" i="7" s="1"/>
  <c r="G10" i="7" s="1"/>
  <c r="G27" i="7" s="1"/>
  <c r="G11" i="6"/>
  <c r="G33" i="8" s="1"/>
  <c r="G35" i="8" s="1"/>
  <c r="G9" i="6"/>
  <c r="H20" i="4"/>
  <c r="H5" i="5"/>
  <c r="H6" i="7" s="1"/>
  <c r="H10" i="5"/>
  <c r="H22" i="7" s="1"/>
  <c r="H6" i="5"/>
  <c r="H13" i="7" s="1"/>
  <c r="H15" i="7" s="1"/>
  <c r="H16" i="7" s="1"/>
  <c r="H9" i="5"/>
  <c r="H21" i="7" s="1"/>
  <c r="H7" i="5"/>
  <c r="H8" i="5"/>
  <c r="H19" i="7" s="1"/>
  <c r="H24" i="7" s="1"/>
  <c r="I20" i="4" l="1"/>
  <c r="I10" i="5"/>
  <c r="I22" i="7" s="1"/>
  <c r="I9" i="5"/>
  <c r="I21" i="7" s="1"/>
  <c r="I7" i="5"/>
  <c r="I8" i="5"/>
  <c r="I19" i="7" s="1"/>
  <c r="I24" i="7" s="1"/>
  <c r="I6" i="5"/>
  <c r="I13" i="7" s="1"/>
  <c r="I15" i="7" s="1"/>
  <c r="I16" i="7" s="1"/>
  <c r="I5" i="5"/>
  <c r="I6" i="7" s="1"/>
  <c r="K15" i="4"/>
  <c r="K16" i="5" s="1"/>
  <c r="K13" i="4"/>
  <c r="L8" i="4"/>
  <c r="K31" i="8"/>
  <c r="K16" i="4"/>
  <c r="K17" i="5" s="1"/>
  <c r="K14" i="4"/>
  <c r="K15" i="5" s="1"/>
  <c r="K12" i="4"/>
  <c r="L9" i="4"/>
  <c r="J10" i="4"/>
  <c r="J20" i="7"/>
  <c r="J9" i="7"/>
  <c r="J14" i="7"/>
  <c r="J13" i="5"/>
  <c r="J7" i="7"/>
  <c r="J14" i="5"/>
  <c r="J19" i="4"/>
  <c r="H6" i="6"/>
  <c r="H11" i="6"/>
  <c r="H33" i="8" s="1"/>
  <c r="H35" i="8" s="1"/>
  <c r="H9" i="6"/>
  <c r="F35" i="8"/>
  <c r="I18" i="5"/>
  <c r="I32" i="8"/>
  <c r="I4" i="6"/>
  <c r="I5" i="7"/>
  <c r="J18" i="5" l="1"/>
  <c r="I6" i="6"/>
  <c r="I11" i="6"/>
  <c r="I33" i="8" s="1"/>
  <c r="I9" i="6"/>
  <c r="J5" i="7"/>
  <c r="J4" i="6"/>
  <c r="J32" i="8"/>
  <c r="K10" i="4"/>
  <c r="K9" i="7"/>
  <c r="K7" i="7"/>
  <c r="K20" i="7"/>
  <c r="K14" i="7"/>
  <c r="K13" i="5"/>
  <c r="K14" i="5"/>
  <c r="K19" i="4"/>
  <c r="L15" i="4"/>
  <c r="L16" i="5" s="1"/>
  <c r="L13" i="4"/>
  <c r="M8" i="4"/>
  <c r="M9" i="4" s="1"/>
  <c r="L14" i="4"/>
  <c r="L15" i="5" s="1"/>
  <c r="L16" i="4"/>
  <c r="L17" i="5" s="1"/>
  <c r="L12" i="4"/>
  <c r="L31" i="8"/>
  <c r="J6" i="5"/>
  <c r="J13" i="7" s="1"/>
  <c r="J15" i="7" s="1"/>
  <c r="J16" i="7" s="1"/>
  <c r="J7" i="5"/>
  <c r="J20" i="4"/>
  <c r="J9" i="5"/>
  <c r="J21" i="7" s="1"/>
  <c r="J10" i="5"/>
  <c r="J22" i="7" s="1"/>
  <c r="J8" i="5"/>
  <c r="J19" i="7" s="1"/>
  <c r="J5" i="5"/>
  <c r="J6" i="7" s="1"/>
  <c r="K21" i="4"/>
  <c r="H12" i="6"/>
  <c r="H8" i="7" s="1"/>
  <c r="H10" i="7" s="1"/>
  <c r="H27" i="7" s="1"/>
  <c r="M15" i="4" l="1"/>
  <c r="M16" i="5" s="1"/>
  <c r="M13" i="4"/>
  <c r="M31" i="8"/>
  <c r="N31" i="8" s="1"/>
  <c r="M16" i="4"/>
  <c r="M17" i="5" s="1"/>
  <c r="M12" i="4"/>
  <c r="B7" i="8"/>
  <c r="M14" i="4"/>
  <c r="M15" i="5" s="1"/>
  <c r="L10" i="4"/>
  <c r="L9" i="7"/>
  <c r="L7" i="7"/>
  <c r="L20" i="7"/>
  <c r="L14" i="7"/>
  <c r="L13" i="5"/>
  <c r="L14" i="5"/>
  <c r="M21" i="4"/>
  <c r="L19" i="4"/>
  <c r="L21" i="4"/>
  <c r="K7" i="5"/>
  <c r="K10" i="5"/>
  <c r="K22" i="7" s="1"/>
  <c r="K8" i="5"/>
  <c r="K19" i="7" s="1"/>
  <c r="K6" i="5"/>
  <c r="K13" i="7" s="1"/>
  <c r="K15" i="7" s="1"/>
  <c r="K16" i="7" s="1"/>
  <c r="K9" i="5"/>
  <c r="K21" i="7" s="1"/>
  <c r="K20" i="4"/>
  <c r="K5" i="5"/>
  <c r="K6" i="7" s="1"/>
  <c r="K18" i="5"/>
  <c r="J24" i="7"/>
  <c r="J6" i="6"/>
  <c r="J9" i="6"/>
  <c r="J11" i="6"/>
  <c r="J33" i="8" s="1"/>
  <c r="J35" i="8" s="1"/>
  <c r="I35" i="8"/>
  <c r="K4" i="6"/>
  <c r="K5" i="7"/>
  <c r="K32" i="8"/>
  <c r="I12" i="6"/>
  <c r="I8" i="7" s="1"/>
  <c r="I10" i="7" s="1"/>
  <c r="I27" i="7" s="1"/>
  <c r="K24" i="7" l="1"/>
  <c r="L5" i="5"/>
  <c r="L6" i="7" s="1"/>
  <c r="L6" i="5"/>
  <c r="L13" i="7" s="1"/>
  <c r="L15" i="7" s="1"/>
  <c r="L16" i="7" s="1"/>
  <c r="L7" i="5"/>
  <c r="L20" i="4"/>
  <c r="L9" i="5"/>
  <c r="L21" i="7" s="1"/>
  <c r="L10" i="5"/>
  <c r="L22" i="7" s="1"/>
  <c r="L8" i="5"/>
  <c r="L19" i="7" s="1"/>
  <c r="L24" i="7" s="1"/>
  <c r="L18" i="5"/>
  <c r="J12" i="6"/>
  <c r="J8" i="7" s="1"/>
  <c r="J10" i="7" s="1"/>
  <c r="J27" i="7" s="1"/>
  <c r="M10" i="4"/>
  <c r="M9" i="7"/>
  <c r="B13" i="8" s="1"/>
  <c r="M7" i="7"/>
  <c r="M20" i="7"/>
  <c r="M14" i="7"/>
  <c r="M13" i="5"/>
  <c r="K6" i="6"/>
  <c r="K12" i="6" s="1"/>
  <c r="K8" i="7" s="1"/>
  <c r="K10" i="7" s="1"/>
  <c r="K27" i="7" s="1"/>
  <c r="K11" i="6"/>
  <c r="K33" i="8" s="1"/>
  <c r="K35" i="8" s="1"/>
  <c r="K9" i="6"/>
  <c r="M14" i="5"/>
  <c r="M19" i="4"/>
  <c r="L4" i="6"/>
  <c r="L5" i="7"/>
  <c r="L32" i="8"/>
  <c r="M18" i="5" l="1"/>
  <c r="M4" i="6"/>
  <c r="M5" i="7"/>
  <c r="M32" i="8"/>
  <c r="N32" i="8" s="1"/>
  <c r="B8" i="8"/>
  <c r="L6" i="6"/>
  <c r="L11" i="6"/>
  <c r="L33" i="8" s="1"/>
  <c r="L35" i="8" s="1"/>
  <c r="L9" i="6"/>
  <c r="M7" i="5"/>
  <c r="M9" i="5"/>
  <c r="M21" i="7" s="1"/>
  <c r="M20" i="4"/>
  <c r="M5" i="5"/>
  <c r="M6" i="7" s="1"/>
  <c r="M10" i="5"/>
  <c r="M22" i="7" s="1"/>
  <c r="M8" i="5"/>
  <c r="M19" i="7" s="1"/>
  <c r="M24" i="7" s="1"/>
  <c r="M6" i="5"/>
  <c r="M13" i="7" s="1"/>
  <c r="M15" i="7" s="1"/>
  <c r="M16" i="7" l="1"/>
  <c r="B14" i="8"/>
  <c r="L12" i="6"/>
  <c r="L8" i="7" s="1"/>
  <c r="L10" i="7" s="1"/>
  <c r="L27" i="7" s="1"/>
  <c r="M6" i="6"/>
  <c r="M11" i="6"/>
  <c r="M9" i="6"/>
  <c r="M33" i="8" l="1"/>
  <c r="B11" i="8"/>
  <c r="M12" i="6"/>
  <c r="M8" i="7" s="1"/>
  <c r="M10" i="7" s="1"/>
  <c r="M27" i="7" s="1"/>
  <c r="B10" i="8"/>
  <c r="B21" i="8" l="1"/>
  <c r="B22" i="8"/>
  <c r="B24" i="8"/>
  <c r="M35" i="8"/>
  <c r="N33" i="8"/>
  <c r="N35" i="8" s="1"/>
</calcChain>
</file>

<file path=xl/sharedStrings.xml><?xml version="1.0" encoding="utf-8"?>
<sst xmlns="http://schemas.openxmlformats.org/spreadsheetml/2006/main" count="382" uniqueCount="236">
  <si>
    <t>LOYALTY PROGRAM FINANCIAL MODEL - INPUTS DASHBOARD</t>
  </si>
  <si>
    <t>ACQUISITION INPUTS</t>
  </si>
  <si>
    <t>Parameter</t>
  </si>
  <si>
    <t>Value</t>
  </si>
  <si>
    <t>Unit</t>
  </si>
  <si>
    <t>Name</t>
  </si>
  <si>
    <t>Description</t>
  </si>
  <si>
    <t>Used by</t>
  </si>
  <si>
    <t>Samples Sent - Month 1</t>
  </si>
  <si>
    <t>samples</t>
  </si>
  <si>
    <t>Initial month sample distribution</t>
  </si>
  <si>
    <t>Affiliate Projection | Cell B4</t>
  </si>
  <si>
    <t>Samples Sent - Month 2+</t>
  </si>
  <si>
    <t>Ongoing monthly sample distribution</t>
  </si>
  <si>
    <t>Affiliate Projection | Row 4</t>
  </si>
  <si>
    <t>Sample-to-Affiliate Conversion Rate</t>
  </si>
  <si>
    <t>%</t>
  </si>
  <si>
    <t>SampleAffConv</t>
  </si>
  <si>
    <t>Percentage of samples that convert to affiliates</t>
  </si>
  <si>
    <t>Affiliate Projection | Row 5</t>
  </si>
  <si>
    <t>Flywheel Affiliates per Month</t>
  </si>
  <si>
    <t>affiliates</t>
  </si>
  <si>
    <t>Organic inbound affiliates monthly</t>
  </si>
  <si>
    <t>Won't this be gradual and dynamic? M1 we may have 0, M7 we could have 100</t>
  </si>
  <si>
    <t>Time to First Sale</t>
  </si>
  <si>
    <t>days</t>
  </si>
  <si>
    <t>Lag between conversion and first sale</t>
  </si>
  <si>
    <t>Placeholder..</t>
  </si>
  <si>
    <t>Affiliate Attrition Rate</t>
  </si>
  <si>
    <t>AffAttrition</t>
  </si>
  <si>
    <t>Monthly churn rate of affiliates</t>
  </si>
  <si>
    <t>Affiliate Projection | Row 8</t>
  </si>
  <si>
    <t>PERFORMANCE INPUTS</t>
  </si>
  <si>
    <t>(DEPRECATED) Average Sales per Affiliate per Month</t>
  </si>
  <si>
    <t>sales</t>
  </si>
  <si>
    <t>Monthly sales velocity per active affiliate</t>
  </si>
  <si>
    <t>How can we make this… dynamic? Some affiliates may sell 2, 5, 10 … by %
Perhaps: 30% sell 0 (or attrition) | 40% sell 5 | 20% sell 8 | 10% sell 15</t>
  </si>
  <si>
    <t>Gross AOV</t>
  </si>
  <si>
    <t>$</t>
  </si>
  <si>
    <t>Average order value before discounts</t>
  </si>
  <si>
    <t>Revenue | Row 5 &amp; Missions | Col J</t>
  </si>
  <si>
    <t>Rolling Window Duration</t>
  </si>
  <si>
    <t>Time period for VIP level qualification</t>
  </si>
  <si>
    <t>REDEMPTION &amp; BEHAVIOR INPUTS</t>
  </si>
  <si>
    <t>Discount Redemption Rate</t>
  </si>
  <si>
    <t>Percentage of discount coupons redeemed</t>
  </si>
  <si>
    <t>Revenue | Row 8</t>
  </si>
  <si>
    <t>Default Mission Completion Rate</t>
  </si>
  <si>
    <t>Default completion rate for missions</t>
  </si>
  <si>
    <t>Overriden by mission sheet… delete?</t>
  </si>
  <si>
    <t>(DEPRECATED) Avg Sales During Commission Boost</t>
  </si>
  <si>
    <t>Expected sales an affiliate makes during boost period</t>
  </si>
  <si>
    <t>Costs | Rows 6-7 &amp; Misions | Col J</t>
  </si>
  <si>
    <t>COST INPUTS</t>
  </si>
  <si>
    <t>Cost per Sample</t>
  </si>
  <si>
    <t>Cost of each sample sent (product + shipping)</t>
  </si>
  <si>
    <t>Costs row 22</t>
  </si>
  <si>
    <t>LEVEL DISTRIBUTION ASSUMPTIONS</t>
  </si>
  <si>
    <t>(Estimated % of affiliates at each level based on sales velocity vs thresholds)</t>
  </si>
  <si>
    <t>Level</t>
  </si>
  <si>
    <t>% of Affiliates</t>
  </si>
  <si>
    <t>Bronze</t>
  </si>
  <si>
    <t>Affiliates below Silver threshold</t>
  </si>
  <si>
    <t>This is static through time? We assume each month we will have this breakdown?</t>
  </si>
  <si>
    <t>Silver</t>
  </si>
  <si>
    <t>Affiliates at Silver, below Gold</t>
  </si>
  <si>
    <t>Gold</t>
  </si>
  <si>
    <t>Affiliates at Gold, below Platinum</t>
  </si>
  <si>
    <t>Platinum</t>
  </si>
  <si>
    <t>Affiliates at Platinum, below Diamond</t>
  </si>
  <si>
    <t>Diamond</t>
  </si>
  <si>
    <t>Top performers at Diamond</t>
  </si>
  <si>
    <t>Total (must = 100%)</t>
  </si>
  <si>
    <t>LEGEND</t>
  </si>
  <si>
    <t>Yellow cells</t>
  </si>
  <si>
    <t>Green cells</t>
  </si>
  <si>
    <t>VIP LEVEL CONFIGURATION</t>
  </si>
  <si>
    <t>LEVEL THRESHOLDS &amp; COMMISSION</t>
  </si>
  <si>
    <t>Level #</t>
  </si>
  <si>
    <t>Sales Threshold</t>
  </si>
  <si>
    <t>Base Commission %</t>
  </si>
  <si>
    <t>Avg Sales/Month</t>
  </si>
  <si>
    <t>WELCOME REWARDS (Per Level)</t>
  </si>
  <si>
    <t>Comm Boost Qty</t>
  </si>
  <si>
    <t>Comm Boost %</t>
  </si>
  <si>
    <t>Comm Boost Days</t>
  </si>
  <si>
    <t>Gift Card Qty</t>
  </si>
  <si>
    <t>Gift Card $</t>
  </si>
  <si>
    <t>Discount Qty</t>
  </si>
  <si>
    <t>Discount %</t>
  </si>
  <si>
    <t>Spark Ads Qty</t>
  </si>
  <si>
    <t>Spark Ads $</t>
  </si>
  <si>
    <t>Phys Gift Qty</t>
  </si>
  <si>
    <t>Phys Gift $</t>
  </si>
  <si>
    <t>Experience Qty</t>
  </si>
  <si>
    <t>Experience $</t>
  </si>
  <si>
    <t>Yes</t>
  </si>
  <si>
    <t>WELCOME REWARD SUMMARY (Weighted by Level Distribution)</t>
  </si>
  <si>
    <t>Weighted Avg Commission Boost %</t>
  </si>
  <si>
    <t>Weighted Avg Gift Card Value</t>
  </si>
  <si>
    <t>Weighted Avg Spark Ads Value</t>
  </si>
  <si>
    <t>Weighted Avg Physical Gift Value</t>
  </si>
  <si>
    <t>Weighted Avg Experience Value</t>
  </si>
  <si>
    <t>MISSION CONFIGURATION</t>
  </si>
  <si>
    <t>MISSIONS BY VIP LEVEL</t>
  </si>
  <si>
    <t>VIP Level</t>
  </si>
  <si>
    <t>Mission Type</t>
  </si>
  <si>
    <t>Target</t>
  </si>
  <si>
    <t>Repeatability</t>
  </si>
  <si>
    <t>Completion Rate</t>
  </si>
  <si>
    <t>Reward Type</t>
  </si>
  <si>
    <t>Reward Value</t>
  </si>
  <si>
    <t>Reward Duration</t>
  </si>
  <si>
    <t>Active?</t>
  </si>
  <si>
    <t>Cost per Completion</t>
  </si>
  <si>
    <t>Sales</t>
  </si>
  <si>
    <t>One-time</t>
  </si>
  <si>
    <t>Gift Card</t>
  </si>
  <si>
    <t>Videos</t>
  </si>
  <si>
    <t>Views</t>
  </si>
  <si>
    <t>Discount</t>
  </si>
  <si>
    <t>Monthly</t>
  </si>
  <si>
    <t>Commission Boost</t>
  </si>
  <si>
    <t>Weekly</t>
  </si>
  <si>
    <t>MISSION SUMMARY BY LEVEL</t>
  </si>
  <si>
    <t>Active Missions</t>
  </si>
  <si>
    <t>Avg Completion Rate</t>
  </si>
  <si>
    <t>Avg Cost per Completion</t>
  </si>
  <si>
    <t>Mission Types: Videos, Likes, Sales, Views</t>
  </si>
  <si>
    <t>Repeatability: One-time, Weekly, Monthly</t>
  </si>
  <si>
    <t>Reward Types: Gift Card, Commission Boost, Spark Ads</t>
  </si>
  <si>
    <t>AFFILIATE PROJECTION (12 MONTHS)</t>
  </si>
  <si>
    <t>Metric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</si>
  <si>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</si>
  <si>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</si>
  <si>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</si>
  <si>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</si>
  <si>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</si>
  <si>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</si>
  <si>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</si>
  <si>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</si>
  <si>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</si>
  <si>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</si>
  <si>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</si>
  <si>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</si>
  <si>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Samples Sent</t>
  </si>
  <si>
    <t>New Affiliates (from Samples)</t>
  </si>
  <si>
    <t>Flywheel Affiliates</t>
  </si>
  <si>
    <t>Total New Affiliates</t>
  </si>
  <si>
    <t>s</t>
  </si>
  <si>
    <t>Churned Affiliates</t>
  </si>
  <si>
    <t>Active Affiliates (End of Month)</t>
  </si>
  <si>
    <t>Total Sales</t>
  </si>
  <si>
    <t>--- Level Distribution ---</t>
  </si>
  <si>
    <t>Affiliates at Bronze</t>
  </si>
  <si>
    <t>Affiliates at Silver</t>
  </si>
  <si>
    <t>Affiliates at Gold</t>
  </si>
  <si>
    <t>Affiliates at Platinum</t>
  </si>
  <si>
    <t>Affiliates at Diamond</t>
  </si>
  <si>
    <t>--- Level Events ---</t>
  </si>
  <si>
    <t>New Affiliate Level-Ups (to Bronze)</t>
  </si>
  <si>
    <t>Promotion Events (Bronze to higher)</t>
  </si>
  <si>
    <t>Total Level-Up Events</t>
  </si>
  <si>
    <t>Demotion Events</t>
  </si>
  <si>
    <t>REWARD TRIGGERS (12 MONTHS)</t>
  </si>
  <si>
    <t>--- WELCOME REWARDS (per level-up) ---</t>
  </si>
  <si>
    <t>Commission Boosts Triggered</t>
  </si>
  <si>
    <t>Gift Cards Triggered</t>
  </si>
  <si>
    <t>Discount Coupons Triggered</t>
  </si>
  <si>
    <t>Spark Ads Triggered</t>
  </si>
  <si>
    <t>Physical Gifts Triggered</t>
  </si>
  <si>
    <t>Experiences Triggered</t>
  </si>
  <si>
    <t>--- MISSION COMPLETIONS ---</t>
  </si>
  <si>
    <t>Mission Completions (Bronze)</t>
  </si>
  <si>
    <t>Mission Completions (Silver)</t>
  </si>
  <si>
    <t>Mission Completions (Gold)</t>
  </si>
  <si>
    <t>Mission Completions (Platinum)</t>
  </si>
  <si>
    <t>Mission Completions (Diamond)</t>
  </si>
  <si>
    <t>Total Mission Completions</t>
  </si>
  <si>
    <t>REVENUE PROJECTION (12 MONTHS)</t>
  </si>
  <si>
    <t>Total Sales Volume</t>
  </si>
  <si>
    <t>Gross Revenue</t>
  </si>
  <si>
    <t>Avg Discount % (when redeemed)</t>
  </si>
  <si>
    <t>Discounted Sales Count</t>
  </si>
  <si>
    <t>Net AOV (weighted avg)</t>
  </si>
  <si>
    <t>Net Revenue</t>
  </si>
  <si>
    <t>Discount Margin Erosion</t>
  </si>
  <si>
    <t>COST PROJECTION (12 MONTHS)</t>
  </si>
  <si>
    <t>--- CM1 COSTS (Per Sale) ---</t>
  </si>
  <si>
    <t>Base Commission Cost</t>
  </si>
  <si>
    <t>Commission Boost Cost (Welcome)</t>
  </si>
  <si>
    <t>Commission Boost Cost (Missions)</t>
  </si>
  <si>
    <t>Discount Cost (Margin Erosion)</t>
  </si>
  <si>
    <t>Discount Cost (Missions)</t>
  </si>
  <si>
    <t>Total CM1 Costs</t>
  </si>
  <si>
    <t>--- LOYALTY PROGRAM COSTS ---</t>
  </si>
  <si>
    <t>Gift Card Cost (Welcome)</t>
  </si>
  <si>
    <t>Gift Card Cost (Missions)</t>
  </si>
  <si>
    <t>Total Gift Card Cost</t>
  </si>
  <si>
    <t>Total Loyalty Program Costs</t>
  </si>
  <si>
    <t>--- MARKETING OPEX ---</t>
  </si>
  <si>
    <t>Spark Ads Cost (Welcome)</t>
  </si>
  <si>
    <t>Spark Ads Cost (Missions)</t>
  </si>
  <si>
    <t>Physical Gift Cost</t>
  </si>
  <si>
    <t>Experience Cost</t>
  </si>
  <si>
    <t>Sample Cost</t>
  </si>
  <si>
    <t>Total Marketing OpEx</t>
  </si>
  <si>
    <t>--- TOTALS ---</t>
  </si>
  <si>
    <t>Total Program Cost</t>
  </si>
  <si>
    <t>SUMMARY DASHBOARD</t>
  </si>
  <si>
    <t>12-MONTH TOTALS</t>
  </si>
  <si>
    <t>Total Samples Sent</t>
  </si>
  <si>
    <t>Active Affiliates (Month 12)</t>
  </si>
  <si>
    <t>KEY RATIOS</t>
  </si>
  <si>
    <t>CM1 as % of Net Revenue</t>
  </si>
  <si>
    <t>Total Cost as % of Net Revenue</t>
  </si>
  <si>
    <t>Cost per Affiliate (12-mo avg)</t>
  </si>
  <si>
    <t>Revenue per Affiliate (12-mo avg)</t>
  </si>
  <si>
    <t>Sample-to-Affiliate Conversion</t>
  </si>
  <si>
    <t>Weighted Avg Commission Rate</t>
  </si>
  <si>
    <t>MONTHLY TREND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</si>
  <si>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</si>
  <si>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</si>
  <si>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</si>
  <si>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</si>
  <si>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</si>
  <si>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</si>
  <si>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</si>
  <si>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</si>
  <si>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</si>
  <si>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</si>
  <si>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</si>
  <si>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</si>
  <si>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</t>
  </si>
  <si>
    <t>Active Affiliates</t>
  </si>
  <si>
    <t>Cost as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</si>
</sst>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4472C4"/>
      <name val="Calibri"/>
      <family val="2"/>
    </font>
    <font>
      <b/>
      <sz val="14"/>
      <color rgb="FF4472C4"/>
      <name val="Calibri"/>
      <family val="2"/>
    </font>
    <font>
      <b/>
      <sz val="12"/>
      <color rgb="FFFFFFFF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4" fillId="0" borderId="0" xfId="0" applyFont="1"/>
    <xf numFmtId="0" fontId="5" fillId="0" borderId="1" xfId="0" applyFont="1" applyBorder="1"/>
    <xf numFmtId="9" fontId="0" fillId="4" borderId="1" xfId="0" applyNumberForma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165" fontId="0" fillId="3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1" xfId="0" applyFont="1" applyBorder="1"/>
    <xf numFmtId="165" fontId="0" fillId="4" borderId="1" xfId="0" applyNumberForma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7" fillId="0" borderId="0" xfId="0" applyFont="1"/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2" fontId="0" fillId="3" borderId="1" xfId="0" applyNumberFormat="1" applyFill="1" applyBorder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workbookViewId="0">
      <selection activeCell="B15" sqref="B15"/>
    </sheetView>
  </sheetViews>
  <sheetFormatPr defaultRowHeight="15" x14ac:dyDescent="0.25"/>
  <cols>
    <col min="1" max="1" width="40" customWidth="1"/>
    <col min="2" max="2" width="18" customWidth="1"/>
    <col min="3" max="4" width="12" customWidth="1"/>
    <col min="5" max="5" width="45" customWidth="1"/>
    <col min="7" max="7" width="32.7109375" customWidth="1"/>
  </cols>
  <sheetData>
    <row r="1" spans="1:7" ht="21" customHeight="1" x14ac:dyDescent="0.35">
      <c r="A1" s="27" t="s">
        <v>0</v>
      </c>
      <c r="B1" s="28"/>
      <c r="C1" s="28"/>
      <c r="D1" s="28"/>
      <c r="E1" s="28"/>
      <c r="F1" s="28"/>
    </row>
    <row r="3" spans="1:7" ht="18.75" customHeight="1" x14ac:dyDescent="0.3">
      <c r="A3" s="1" t="s">
        <v>1</v>
      </c>
    </row>
    <row r="4" spans="1:7" ht="15.75" customHeight="1" x14ac:dyDescent="0.25">
      <c r="A4" s="2" t="s">
        <v>2</v>
      </c>
      <c r="B4" s="2" t="s">
        <v>3</v>
      </c>
      <c r="C4" s="2" t="s">
        <v>4</v>
      </c>
      <c r="D4" s="24" t="s">
        <v>5</v>
      </c>
      <c r="E4" s="2" t="s">
        <v>6</v>
      </c>
      <c r="G4" s="19" t="s">
        <v>7</v>
      </c>
    </row>
    <row r="5" spans="1:7" x14ac:dyDescent="0.25">
      <c r="A5" s="3" t="s">
        <v>8</v>
      </c>
      <c r="B5" s="4">
        <v>150</v>
      </c>
      <c r="C5" s="3" t="s">
        <v>9</v>
      </c>
      <c r="D5" s="3"/>
      <c r="E5" s="3" t="s">
        <v>10</v>
      </c>
      <c r="G5" t="s">
        <v>11</v>
      </c>
    </row>
    <row r="6" spans="1:7" x14ac:dyDescent="0.25">
      <c r="A6" s="3" t="s">
        <v>12</v>
      </c>
      <c r="B6" s="4">
        <v>100</v>
      </c>
      <c r="C6" s="3" t="s">
        <v>9</v>
      </c>
      <c r="D6" s="3"/>
      <c r="E6" s="3" t="s">
        <v>13</v>
      </c>
      <c r="G6" t="s">
        <v>14</v>
      </c>
    </row>
    <row r="7" spans="1:7" x14ac:dyDescent="0.25">
      <c r="A7" s="3" t="s">
        <v>15</v>
      </c>
      <c r="B7" s="5">
        <v>0.7</v>
      </c>
      <c r="C7" s="3" t="s">
        <v>16</v>
      </c>
      <c r="D7" s="3" t="s">
        <v>17</v>
      </c>
      <c r="E7" s="3" t="s">
        <v>18</v>
      </c>
      <c r="G7" t="s">
        <v>19</v>
      </c>
    </row>
    <row r="8" spans="1:7" x14ac:dyDescent="0.25">
      <c r="A8" s="3" t="s">
        <v>20</v>
      </c>
      <c r="B8" s="4">
        <v>10</v>
      </c>
      <c r="C8" s="3" t="s">
        <v>21</v>
      </c>
      <c r="D8" s="3"/>
      <c r="E8" s="3" t="s">
        <v>22</v>
      </c>
      <c r="G8" s="20" t="s">
        <v>23</v>
      </c>
    </row>
    <row r="9" spans="1:7" x14ac:dyDescent="0.25">
      <c r="A9" s="3" t="s">
        <v>24</v>
      </c>
      <c r="B9" s="4">
        <v>14</v>
      </c>
      <c r="C9" s="3" t="s">
        <v>25</v>
      </c>
      <c r="D9" s="3"/>
      <c r="E9" s="3" t="s">
        <v>26</v>
      </c>
      <c r="G9" s="21" t="s">
        <v>27</v>
      </c>
    </row>
    <row r="10" spans="1:7" x14ac:dyDescent="0.25">
      <c r="A10" s="3" t="s">
        <v>28</v>
      </c>
      <c r="B10" s="5">
        <v>0.05</v>
      </c>
      <c r="C10" s="3" t="s">
        <v>16</v>
      </c>
      <c r="D10" s="3" t="s">
        <v>29</v>
      </c>
      <c r="E10" s="3" t="s">
        <v>30</v>
      </c>
      <c r="G10" t="s">
        <v>31</v>
      </c>
    </row>
    <row r="12" spans="1:7" ht="18.75" customHeight="1" x14ac:dyDescent="0.3">
      <c r="A12" s="1" t="s">
        <v>32</v>
      </c>
    </row>
    <row r="13" spans="1:7" ht="15.75" customHeight="1" x14ac:dyDescent="0.25">
      <c r="A13" s="2" t="s">
        <v>2</v>
      </c>
      <c r="B13" s="2" t="s">
        <v>3</v>
      </c>
      <c r="C13" s="2" t="s">
        <v>4</v>
      </c>
      <c r="D13" s="2"/>
      <c r="E13" s="2" t="s">
        <v>6</v>
      </c>
    </row>
    <row r="14" spans="1:7" ht="75" customHeight="1" x14ac:dyDescent="0.25">
      <c r="A14" s="3" t="s">
        <v>33</v>
      </c>
      <c r="B14" s="4"/>
      <c r="C14" s="3" t="s">
        <v>34</v>
      </c>
      <c r="D14" s="3"/>
      <c r="E14" s="3" t="s">
        <v>35</v>
      </c>
      <c r="G14" s="22" t="s">
        <v>36</v>
      </c>
    </row>
    <row r="15" spans="1:7" x14ac:dyDescent="0.25">
      <c r="A15" s="3" t="s">
        <v>37</v>
      </c>
      <c r="B15" s="6">
        <v>100</v>
      </c>
      <c r="C15" s="3" t="s">
        <v>38</v>
      </c>
      <c r="D15" s="3"/>
      <c r="E15" s="3" t="s">
        <v>39</v>
      </c>
      <c r="G15" t="s">
        <v>40</v>
      </c>
    </row>
    <row r="16" spans="1:7" x14ac:dyDescent="0.25">
      <c r="A16" s="3" t="s">
        <v>41</v>
      </c>
      <c r="B16" s="4">
        <v>30</v>
      </c>
      <c r="C16" s="3" t="s">
        <v>25</v>
      </c>
      <c r="D16" s="3"/>
      <c r="E16" s="3" t="s">
        <v>42</v>
      </c>
      <c r="G16" s="21" t="s">
        <v>27</v>
      </c>
    </row>
    <row r="19" spans="1:7" ht="18.75" customHeight="1" x14ac:dyDescent="0.3">
      <c r="A19" s="1" t="s">
        <v>43</v>
      </c>
    </row>
    <row r="20" spans="1:7" ht="15.75" customHeight="1" x14ac:dyDescent="0.25">
      <c r="A20" s="2" t="s">
        <v>2</v>
      </c>
      <c r="B20" s="2" t="s">
        <v>3</v>
      </c>
      <c r="C20" s="2" t="s">
        <v>4</v>
      </c>
      <c r="D20" s="2"/>
      <c r="E20" s="2" t="s">
        <v>6</v>
      </c>
    </row>
    <row r="21" spans="1:7" x14ac:dyDescent="0.25">
      <c r="A21" s="3" t="s">
        <v>44</v>
      </c>
      <c r="B21" s="5">
        <v>0.3</v>
      </c>
      <c r="C21" s="3" t="s">
        <v>16</v>
      </c>
      <c r="D21" s="3"/>
      <c r="E21" s="3" t="s">
        <v>45</v>
      </c>
      <c r="G21" t="s">
        <v>46</v>
      </c>
    </row>
    <row r="22" spans="1:7" x14ac:dyDescent="0.25">
      <c r="A22" s="3" t="s">
        <v>47</v>
      </c>
      <c r="B22" s="5">
        <v>0.25</v>
      </c>
      <c r="C22" s="3" t="s">
        <v>16</v>
      </c>
      <c r="D22" s="3"/>
      <c r="E22" s="3" t="s">
        <v>48</v>
      </c>
      <c r="G22" s="21" t="s">
        <v>49</v>
      </c>
    </row>
    <row r="23" spans="1:7" x14ac:dyDescent="0.25">
      <c r="A23" s="3" t="s">
        <v>50</v>
      </c>
      <c r="B23" s="4"/>
      <c r="C23" s="3" t="s">
        <v>34</v>
      </c>
      <c r="D23" s="3"/>
      <c r="E23" s="3" t="s">
        <v>51</v>
      </c>
      <c r="G23" t="s">
        <v>52</v>
      </c>
    </row>
    <row r="26" spans="1:7" ht="18.75" customHeight="1" x14ac:dyDescent="0.3">
      <c r="A26" s="1" t="s">
        <v>53</v>
      </c>
    </row>
    <row r="27" spans="1:7" ht="15.75" customHeight="1" x14ac:dyDescent="0.25">
      <c r="A27" s="2" t="s">
        <v>2</v>
      </c>
      <c r="B27" s="2" t="s">
        <v>3</v>
      </c>
      <c r="C27" s="2" t="s">
        <v>4</v>
      </c>
      <c r="D27" s="2"/>
      <c r="E27" s="2" t="s">
        <v>6</v>
      </c>
    </row>
    <row r="28" spans="1:7" x14ac:dyDescent="0.25">
      <c r="A28" s="3" t="s">
        <v>54</v>
      </c>
      <c r="B28" s="6">
        <v>15</v>
      </c>
      <c r="C28" s="3" t="s">
        <v>38</v>
      </c>
      <c r="D28" s="3"/>
      <c r="E28" s="3" t="s">
        <v>55</v>
      </c>
      <c r="G28" t="s">
        <v>56</v>
      </c>
    </row>
    <row r="31" spans="1:7" ht="18.75" customHeight="1" x14ac:dyDescent="0.3">
      <c r="A31" s="1" t="s">
        <v>57</v>
      </c>
    </row>
    <row r="32" spans="1:7" x14ac:dyDescent="0.25">
      <c r="A32" s="7" t="s">
        <v>58</v>
      </c>
    </row>
    <row r="33" spans="1:7" ht="31.5" customHeight="1" x14ac:dyDescent="0.25">
      <c r="A33" s="2" t="s">
        <v>59</v>
      </c>
      <c r="B33" s="2" t="s">
        <v>60</v>
      </c>
      <c r="C33" s="2" t="s">
        <v>6</v>
      </c>
      <c r="D33" s="23"/>
    </row>
    <row r="34" spans="1:7" x14ac:dyDescent="0.25">
      <c r="A34" s="3" t="s">
        <v>61</v>
      </c>
      <c r="B34" s="5">
        <v>0.65</v>
      </c>
      <c r="C34" s="3" t="s">
        <v>62</v>
      </c>
      <c r="G34" s="20" t="s">
        <v>63</v>
      </c>
    </row>
    <row r="35" spans="1:7" x14ac:dyDescent="0.25">
      <c r="A35" s="3" t="s">
        <v>64</v>
      </c>
      <c r="B35" s="5">
        <v>0.2</v>
      </c>
      <c r="C35" s="3" t="s">
        <v>65</v>
      </c>
      <c r="G35" s="20"/>
    </row>
    <row r="36" spans="1:7" x14ac:dyDescent="0.25">
      <c r="A36" s="3" t="s">
        <v>66</v>
      </c>
      <c r="B36" s="5">
        <v>0.1</v>
      </c>
      <c r="C36" s="3" t="s">
        <v>67</v>
      </c>
      <c r="G36" s="20"/>
    </row>
    <row r="37" spans="1:7" x14ac:dyDescent="0.25">
      <c r="A37" s="3" t="s">
        <v>68</v>
      </c>
      <c r="B37" s="5">
        <v>0.05</v>
      </c>
      <c r="C37" s="3" t="s">
        <v>69</v>
      </c>
      <c r="G37" s="20"/>
    </row>
    <row r="38" spans="1:7" x14ac:dyDescent="0.25">
      <c r="A38" s="3" t="s">
        <v>70</v>
      </c>
      <c r="B38" s="5">
        <v>0</v>
      </c>
      <c r="C38" s="3" t="s">
        <v>71</v>
      </c>
      <c r="G38" s="20"/>
    </row>
    <row r="39" spans="1:7" x14ac:dyDescent="0.25">
      <c r="A39" s="8" t="s">
        <v>72</v>
      </c>
      <c r="B39" s="9">
        <f>SUM(B34:B38)</f>
        <v>1</v>
      </c>
    </row>
    <row r="42" spans="1:7" ht="18.75" customHeight="1" x14ac:dyDescent="0.3">
      <c r="A42" s="1" t="s">
        <v>73</v>
      </c>
    </row>
    <row r="43" spans="1:7" x14ac:dyDescent="0.25">
      <c r="A43" t="s">
        <v>74</v>
      </c>
      <c r="B43" s="10" t="e">
        <f>Editable inputs</f>
        <v>#NAME?</v>
      </c>
    </row>
    <row r="44" spans="1:7" x14ac:dyDescent="0.25">
      <c r="A44" t="s">
        <v>75</v>
      </c>
      <c r="B44" s="11" t="e">
        <f>Calculated values</f>
        <v>#NAME?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topLeftCell="B1" workbookViewId="0">
      <selection activeCell="I14" sqref="I14"/>
    </sheetView>
  </sheetViews>
  <sheetFormatPr defaultRowHeight="15" x14ac:dyDescent="0.25"/>
  <cols>
    <col min="1" max="1" width="45" customWidth="1"/>
    <col min="2" max="4" width="13" customWidth="1"/>
    <col min="5" max="5" width="17.28515625" customWidth="1"/>
    <col min="6" max="14" width="13" customWidth="1"/>
  </cols>
  <sheetData>
    <row r="1" spans="1:15" ht="21" customHeight="1" x14ac:dyDescent="0.35">
      <c r="A1" s="27" t="s">
        <v>76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3" spans="1:15" ht="18.75" customHeight="1" x14ac:dyDescent="0.3">
      <c r="A3" s="1" t="s">
        <v>77</v>
      </c>
    </row>
    <row r="4" spans="1:15" ht="47.25" customHeight="1" x14ac:dyDescent="0.25">
      <c r="A4" s="2" t="s">
        <v>78</v>
      </c>
      <c r="B4" s="2" t="s">
        <v>5</v>
      </c>
      <c r="C4" s="2" t="s">
        <v>79</v>
      </c>
      <c r="D4" s="2" t="s">
        <v>80</v>
      </c>
      <c r="E4" s="2" t="s">
        <v>81</v>
      </c>
    </row>
    <row r="5" spans="1:15" x14ac:dyDescent="0.25">
      <c r="A5" s="3">
        <v>1</v>
      </c>
      <c r="B5" s="4" t="s">
        <v>61</v>
      </c>
      <c r="C5" s="4">
        <v>0</v>
      </c>
      <c r="D5" s="5">
        <v>0.1</v>
      </c>
      <c r="E5" s="26">
        <v>2</v>
      </c>
    </row>
    <row r="6" spans="1:15" x14ac:dyDescent="0.25">
      <c r="A6" s="3">
        <v>2</v>
      </c>
      <c r="B6" s="4" t="s">
        <v>64</v>
      </c>
      <c r="C6" s="4">
        <v>5</v>
      </c>
      <c r="D6" s="5">
        <v>0.12</v>
      </c>
      <c r="E6" s="26">
        <v>6</v>
      </c>
    </row>
    <row r="7" spans="1:15" x14ac:dyDescent="0.25">
      <c r="A7" s="3">
        <v>3</v>
      </c>
      <c r="B7" s="4" t="s">
        <v>66</v>
      </c>
      <c r="C7" s="4">
        <v>20</v>
      </c>
      <c r="D7" s="5">
        <v>0.18</v>
      </c>
      <c r="E7" s="26">
        <v>12</v>
      </c>
    </row>
    <row r="8" spans="1:15" x14ac:dyDescent="0.25">
      <c r="A8" s="3">
        <v>4</v>
      </c>
      <c r="B8" s="4" t="s">
        <v>68</v>
      </c>
      <c r="C8" s="4">
        <v>50</v>
      </c>
      <c r="D8" s="5">
        <v>0.22</v>
      </c>
      <c r="E8" s="26">
        <v>25</v>
      </c>
    </row>
    <row r="9" spans="1:15" x14ac:dyDescent="0.25">
      <c r="A9" s="3">
        <v>5</v>
      </c>
      <c r="B9" s="4" t="s">
        <v>70</v>
      </c>
      <c r="C9" s="4">
        <v>100</v>
      </c>
      <c r="D9" s="5">
        <v>0.25</v>
      </c>
      <c r="E9" s="26">
        <v>50</v>
      </c>
    </row>
    <row r="12" spans="1:15" ht="18.75" customHeight="1" x14ac:dyDescent="0.3">
      <c r="A12" s="1" t="s">
        <v>82</v>
      </c>
    </row>
    <row r="13" spans="1:15" ht="31.5" customHeight="1" x14ac:dyDescent="0.25">
      <c r="A13" s="2" t="s">
        <v>59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89</v>
      </c>
      <c r="I13" s="2" t="s">
        <v>90</v>
      </c>
      <c r="J13" s="2" t="s">
        <v>91</v>
      </c>
      <c r="K13" s="2" t="s">
        <v>92</v>
      </c>
      <c r="L13" s="2" t="s">
        <v>93</v>
      </c>
      <c r="M13" s="2" t="s">
        <v>94</v>
      </c>
      <c r="N13" s="2" t="s">
        <v>95</v>
      </c>
    </row>
    <row r="14" spans="1:15" x14ac:dyDescent="0.25">
      <c r="A14" s="3" t="s">
        <v>61</v>
      </c>
      <c r="B14" s="4">
        <v>1</v>
      </c>
      <c r="C14" s="5">
        <v>0.1</v>
      </c>
      <c r="D14" s="4">
        <v>30</v>
      </c>
      <c r="E14" s="4">
        <v>0</v>
      </c>
      <c r="F14" s="12">
        <v>0</v>
      </c>
      <c r="G14" s="4">
        <v>2</v>
      </c>
      <c r="H14" s="5">
        <v>0.15</v>
      </c>
      <c r="I14" s="4">
        <v>0</v>
      </c>
      <c r="J14" s="12">
        <v>0</v>
      </c>
      <c r="K14" s="4">
        <v>0</v>
      </c>
      <c r="L14" s="12">
        <v>0</v>
      </c>
      <c r="M14" s="4">
        <v>0</v>
      </c>
      <c r="N14" s="12">
        <v>0</v>
      </c>
    </row>
    <row r="15" spans="1:15" x14ac:dyDescent="0.25">
      <c r="A15" s="3" t="s">
        <v>64</v>
      </c>
      <c r="B15" s="4">
        <v>2</v>
      </c>
      <c r="C15" s="5">
        <v>0.15</v>
      </c>
      <c r="D15" s="4">
        <v>30</v>
      </c>
      <c r="E15" s="4">
        <v>1</v>
      </c>
      <c r="F15" s="12">
        <v>50</v>
      </c>
      <c r="G15" s="4">
        <v>2</v>
      </c>
      <c r="H15" s="5">
        <v>0.15</v>
      </c>
      <c r="I15" s="4">
        <v>1</v>
      </c>
      <c r="J15" s="12">
        <v>25</v>
      </c>
      <c r="K15" s="4">
        <v>0</v>
      </c>
      <c r="L15" s="12">
        <v>0</v>
      </c>
      <c r="M15" s="4">
        <v>0</v>
      </c>
      <c r="N15" s="12">
        <v>0</v>
      </c>
    </row>
    <row r="16" spans="1:15" x14ac:dyDescent="0.25">
      <c r="A16" s="3" t="s">
        <v>96</v>
      </c>
      <c r="B16" s="4">
        <v>1</v>
      </c>
      <c r="C16" s="5">
        <v>0.2</v>
      </c>
      <c r="D16" s="4">
        <v>30</v>
      </c>
      <c r="E16" s="4">
        <v>1</v>
      </c>
      <c r="F16" s="12">
        <v>100</v>
      </c>
      <c r="G16" s="4">
        <v>2</v>
      </c>
      <c r="H16" s="5">
        <v>0.2</v>
      </c>
      <c r="I16" s="4">
        <v>1</v>
      </c>
      <c r="J16" s="12">
        <v>50</v>
      </c>
      <c r="K16" s="4">
        <v>1</v>
      </c>
      <c r="L16" s="12">
        <v>50</v>
      </c>
      <c r="M16" s="4">
        <v>0</v>
      </c>
      <c r="N16" s="12">
        <v>0</v>
      </c>
    </row>
    <row r="17" spans="1:14" x14ac:dyDescent="0.25">
      <c r="A17" s="3" t="s">
        <v>68</v>
      </c>
      <c r="B17" s="4">
        <v>2</v>
      </c>
      <c r="C17" s="5">
        <v>0.25</v>
      </c>
      <c r="D17" s="4">
        <v>45</v>
      </c>
      <c r="E17" s="4">
        <v>2</v>
      </c>
      <c r="F17" s="12">
        <v>150</v>
      </c>
      <c r="G17" s="4">
        <v>3</v>
      </c>
      <c r="H17" s="5">
        <v>0.25</v>
      </c>
      <c r="I17" s="4">
        <v>2</v>
      </c>
      <c r="J17" s="12">
        <v>75</v>
      </c>
      <c r="K17" s="4">
        <v>1</v>
      </c>
      <c r="L17" s="12">
        <v>75</v>
      </c>
      <c r="M17" s="4">
        <v>1</v>
      </c>
      <c r="N17" s="12">
        <v>100</v>
      </c>
    </row>
    <row r="18" spans="1:14" x14ac:dyDescent="0.25">
      <c r="A18" s="3" t="s">
        <v>70</v>
      </c>
      <c r="B18" s="4">
        <v>3</v>
      </c>
      <c r="C18" s="5">
        <v>0.3</v>
      </c>
      <c r="D18" s="4">
        <v>60</v>
      </c>
      <c r="E18" s="4">
        <v>2</v>
      </c>
      <c r="F18" s="12">
        <v>200</v>
      </c>
      <c r="G18" s="4">
        <v>3</v>
      </c>
      <c r="H18" s="5">
        <v>0.3</v>
      </c>
      <c r="I18" s="4">
        <v>2</v>
      </c>
      <c r="J18" s="12">
        <v>100</v>
      </c>
      <c r="K18" s="4">
        <v>1</v>
      </c>
      <c r="L18" s="12">
        <v>100</v>
      </c>
      <c r="M18" s="4">
        <v>1</v>
      </c>
      <c r="N18" s="12">
        <v>200</v>
      </c>
    </row>
    <row r="21" spans="1:14" ht="18.75" customHeight="1" x14ac:dyDescent="0.3">
      <c r="A21" s="1" t="s">
        <v>97</v>
      </c>
    </row>
    <row r="22" spans="1:14" x14ac:dyDescent="0.25">
      <c r="A22" s="3" t="s">
        <v>98</v>
      </c>
      <c r="B22" s="13">
        <f>SUMPRODUCT(C14:C18,Inputs!$B$34:$B$38)</f>
        <v>0.1275</v>
      </c>
    </row>
    <row r="23" spans="1:14" x14ac:dyDescent="0.25">
      <c r="A23" s="3" t="s">
        <v>99</v>
      </c>
      <c r="B23" s="14">
        <f t="array" ref="B23">SUMPRODUCT(E14:E18*F14:F18,Inputs!$B$34:$B$38)</f>
        <v>35</v>
      </c>
    </row>
    <row r="24" spans="1:14" x14ac:dyDescent="0.25">
      <c r="A24" s="3" t="s">
        <v>100</v>
      </c>
      <c r="B24" s="14">
        <f>SUMPRODUCT(I14:I18*J14:J18,Inputs!$B$34:$B$38)</f>
        <v>17.5</v>
      </c>
    </row>
    <row r="25" spans="1:14" x14ac:dyDescent="0.25">
      <c r="A25" s="3" t="s">
        <v>101</v>
      </c>
      <c r="B25" s="14">
        <f>SUMPRODUCT(K14:K18*L14:L18,Inputs!$B$34:$B$38)</f>
        <v>8.75</v>
      </c>
    </row>
    <row r="26" spans="1:14" x14ac:dyDescent="0.25">
      <c r="A26" s="3" t="s">
        <v>102</v>
      </c>
      <c r="B26" s="14">
        <f>SUMPRODUCT(M14:M18*N14:N18,Inputs!$B$34:$B$38)</f>
        <v>5</v>
      </c>
    </row>
  </sheetData>
  <mergeCells count="1">
    <mergeCell ref="A1:O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tabSelected="1" topLeftCell="A20" zoomScale="85" zoomScaleNormal="85" workbookViewId="0">
      <selection activeCell="F47" sqref="F47"/>
    </sheetView>
  </sheetViews>
  <sheetFormatPr defaultRowHeight="15" x14ac:dyDescent="0.25"/>
  <cols>
    <col min="1" max="10" width="18" customWidth="1"/>
  </cols>
  <sheetData>
    <row r="1" spans="1:12" ht="21" customHeight="1" x14ac:dyDescent="0.35">
      <c r="A1" s="27" t="s">
        <v>103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2" ht="18.75" customHeight="1" x14ac:dyDescent="0.3">
      <c r="A3" s="1" t="s">
        <v>104</v>
      </c>
    </row>
    <row r="4" spans="1:12" ht="31.5" customHeight="1" x14ac:dyDescent="0.25">
      <c r="A4" s="2" t="s">
        <v>105</v>
      </c>
      <c r="B4" s="2" t="s">
        <v>106</v>
      </c>
      <c r="C4" s="2" t="s">
        <v>107</v>
      </c>
      <c r="D4" s="2" t="s">
        <v>108</v>
      </c>
      <c r="E4" s="2" t="s">
        <v>109</v>
      </c>
      <c r="F4" s="2" t="s">
        <v>110</v>
      </c>
      <c r="G4" s="2" t="s">
        <v>111</v>
      </c>
      <c r="H4" s="2" t="s">
        <v>112</v>
      </c>
      <c r="I4" s="2" t="s">
        <v>113</v>
      </c>
      <c r="J4" s="2" t="s">
        <v>114</v>
      </c>
    </row>
    <row r="5" spans="1:12" x14ac:dyDescent="0.25">
      <c r="A5" s="4" t="s">
        <v>61</v>
      </c>
      <c r="B5" s="4" t="s">
        <v>115</v>
      </c>
      <c r="C5" s="4">
        <v>10</v>
      </c>
      <c r="D5" s="4" t="s">
        <v>116</v>
      </c>
      <c r="E5" s="5">
        <v>0.5</v>
      </c>
      <c r="F5" s="4" t="s">
        <v>117</v>
      </c>
      <c r="G5" s="12">
        <v>25</v>
      </c>
      <c r="H5" s="4">
        <v>0</v>
      </c>
      <c r="I5" s="4" t="s">
        <v>96</v>
      </c>
      <c r="J5" s="14">
        <f>IF(F5="Gift Card",G5,IF(F5="Spark Ads",G5,IF(F5="Commission Boost",G5*(INDEX('VIP Levels'!$E$5:$E$9,MATCH(A5,'VIP Levels'!$B$5:$B$9,0))/30*H5)*Revenue!$B$10,IF(F5="Discount",G5*(INDEX('VIP Levels'!$E$5:$E$9,MATCH(A5,'VIP Levels'!$B$5:$B$9,0))/30*H5)*Inputs!$B$15*Inputs!$B$21,0))))</f>
        <v>25</v>
      </c>
    </row>
    <row r="6" spans="1:12" x14ac:dyDescent="0.25">
      <c r="A6" s="4" t="s">
        <v>61</v>
      </c>
      <c r="B6" s="4" t="s">
        <v>118</v>
      </c>
      <c r="C6" s="4">
        <v>5</v>
      </c>
      <c r="D6" s="4" t="s">
        <v>116</v>
      </c>
      <c r="E6" s="5">
        <v>0.8</v>
      </c>
      <c r="F6" s="4" t="s">
        <v>117</v>
      </c>
      <c r="G6" s="12">
        <v>25</v>
      </c>
      <c r="H6" s="4">
        <v>0</v>
      </c>
      <c r="I6" s="4" t="s">
        <v>96</v>
      </c>
      <c r="J6" s="14">
        <f>IF(F6="Gift Card",G6,IF(F6="Spark Ads",G6,IF(F6="Commission Boost",G6*(INDEX('VIP Levels'!$E$5:$E$9,MATCH(A6,'VIP Levels'!$B$5:$B$9,0))/30*H6)*Revenue!$B$10,IF(F6="Discount",G6*(INDEX('VIP Levels'!$E$5:$E$9,MATCH(A6,'VIP Levels'!$B$5:$B$9,0))/30*H6)*Inputs!$B$15*Inputs!$B$21,0))))</f>
        <v>25</v>
      </c>
    </row>
    <row r="7" spans="1:12" x14ac:dyDescent="0.25">
      <c r="A7" s="4" t="s">
        <v>61</v>
      </c>
      <c r="B7" s="4" t="s">
        <v>119</v>
      </c>
      <c r="C7" s="4">
        <v>2000</v>
      </c>
      <c r="D7" s="4" t="s">
        <v>116</v>
      </c>
      <c r="E7" s="5">
        <v>0.9</v>
      </c>
      <c r="F7" s="4" t="s">
        <v>120</v>
      </c>
      <c r="G7" s="5">
        <v>0.15</v>
      </c>
      <c r="H7" s="4">
        <v>0</v>
      </c>
      <c r="I7" s="4" t="s">
        <v>96</v>
      </c>
      <c r="J7" s="14">
        <f>IF(F7="Gift Card",G7,IF(F7="Spark Ads",G7,IF(F7="Commission Boost",G7*(INDEX('VIP Levels'!$E$5:$E$9,MATCH(A7,'VIP Levels'!$B$5:$B$9,0))/30*H7)*Revenue!$B$10,IF(F7="Discount",G7*(INDEX('VIP Levels'!$E$5:$E$9,MATCH(A7,'VIP Levels'!$B$5:$B$9,0))/30*H7)*Inputs!$B$15*Inputs!$B$21,0))))</f>
        <v>0</v>
      </c>
    </row>
    <row r="8" spans="1:12" x14ac:dyDescent="0.25">
      <c r="A8" s="4" t="s">
        <v>64</v>
      </c>
      <c r="B8" s="4" t="s">
        <v>115</v>
      </c>
      <c r="C8" s="4">
        <v>15</v>
      </c>
      <c r="D8" s="4" t="s">
        <v>121</v>
      </c>
      <c r="E8" s="5">
        <v>0.6</v>
      </c>
      <c r="F8" s="4" t="s">
        <v>117</v>
      </c>
      <c r="G8" s="12">
        <v>50</v>
      </c>
      <c r="H8" s="4">
        <v>0</v>
      </c>
      <c r="I8" s="4" t="s">
        <v>96</v>
      </c>
      <c r="J8" s="14">
        <f>IF(F8="Gift Card",G8,IF(F8="Spark Ads",G8,IF(F8="Commission Boost",G8*(INDEX('VIP Levels'!$E$5:$E$9,MATCH(A8,'VIP Levels'!$B$5:$B$9,0))/30*H8)*Revenue!$B$10,IF(F8="Discount",G8*(INDEX('VIP Levels'!$E$5:$E$9,MATCH(A8,'VIP Levels'!$B$5:$B$9,0))/30*H8)*Inputs!$B$15*Inputs!$B$21,0))))</f>
        <v>50</v>
      </c>
    </row>
    <row r="9" spans="1:12" x14ac:dyDescent="0.25">
      <c r="A9" s="4" t="s">
        <v>64</v>
      </c>
      <c r="B9" s="4" t="s">
        <v>118</v>
      </c>
      <c r="C9" s="4">
        <v>15</v>
      </c>
      <c r="D9" s="4" t="s">
        <v>121</v>
      </c>
      <c r="E9" s="5">
        <v>0.6</v>
      </c>
      <c r="F9" s="4" t="s">
        <v>122</v>
      </c>
      <c r="G9" s="5">
        <v>0.1</v>
      </c>
      <c r="H9" s="4">
        <v>7</v>
      </c>
      <c r="I9" s="4" t="s">
        <v>96</v>
      </c>
      <c r="J9" s="14">
        <f>IF(F9="Gift Card",G9,IF(F9="Spark Ads",G9,IF(F9="Commission Boost",G9*(INDEX('VIP Levels'!$E$5:$E$9,MATCH(A9,'VIP Levels'!$B$5:$B$9,0))/30*H9)*Revenue!$B$10,IF(F9="Discount",G9*(INDEX('VIP Levels'!$E$5:$E$9,MATCH(A9,'VIP Levels'!$B$5:$B$9,0))/30*H9)*Inputs!$B$15*Inputs!$B$21,0))))</f>
        <v>13.327999999999999</v>
      </c>
    </row>
    <row r="10" spans="1:12" x14ac:dyDescent="0.25">
      <c r="A10" s="4" t="s">
        <v>64</v>
      </c>
      <c r="B10" s="4" t="s">
        <v>119</v>
      </c>
      <c r="C10" s="4">
        <v>10000</v>
      </c>
      <c r="D10" s="4" t="s">
        <v>121</v>
      </c>
      <c r="E10" s="5">
        <v>0.8</v>
      </c>
      <c r="F10" s="4" t="s">
        <v>120</v>
      </c>
      <c r="G10" s="5">
        <v>0.1</v>
      </c>
      <c r="H10" s="4">
        <v>2</v>
      </c>
      <c r="I10" s="4" t="s">
        <v>96</v>
      </c>
      <c r="J10" s="14">
        <f>IF(F10="Gift Card",G10,IF(F10="Spark Ads",G10,IF(F10="Commission Boost",G10*(INDEX('VIP Levels'!$E$5:$E$9,MATCH(A10,'VIP Levels'!$B$5:$B$9,0))/30*H10)*Revenue!$B$10,IF(F10="Discount",G10*(INDEX('VIP Levels'!$E$5:$E$9,MATCH(A10,'VIP Levels'!$B$5:$B$9,0))/30*H10)*Inputs!$B$15*Inputs!$B$21,0))))</f>
        <v>1.2000000000000002</v>
      </c>
    </row>
    <row r="11" spans="1:12" x14ac:dyDescent="0.25">
      <c r="A11" s="4" t="s">
        <v>66</v>
      </c>
      <c r="B11" s="4" t="s">
        <v>115</v>
      </c>
      <c r="C11" s="4">
        <v>40</v>
      </c>
      <c r="D11" s="4" t="s">
        <v>121</v>
      </c>
      <c r="E11" s="5">
        <v>0.5</v>
      </c>
      <c r="F11" s="4" t="s">
        <v>117</v>
      </c>
      <c r="G11" s="12">
        <v>150</v>
      </c>
      <c r="H11" s="4">
        <v>0</v>
      </c>
      <c r="I11" s="4" t="s">
        <v>96</v>
      </c>
      <c r="J11" s="14">
        <f>IF(F11="Gift Card",G11,IF(F11="Spark Ads",G11,IF(F11="Commission Boost",G11*(INDEX('VIP Levels'!$E$5:$E$9,MATCH(A11,'VIP Levels'!$B$5:$B$9,0))/30*H11)*Revenue!$B$10,IF(F11="Discount",G11*(INDEX('VIP Levels'!$E$5:$E$9,MATCH(A11,'VIP Levels'!$B$5:$B$9,0))/30*H11)*Inputs!$B$15*Inputs!$B$21,0))))</f>
        <v>150</v>
      </c>
    </row>
    <row r="12" spans="1:12" x14ac:dyDescent="0.25">
      <c r="A12" s="4" t="s">
        <v>66</v>
      </c>
      <c r="B12" s="4" t="s">
        <v>119</v>
      </c>
      <c r="C12" s="4">
        <v>20000</v>
      </c>
      <c r="D12" s="4" t="s">
        <v>123</v>
      </c>
      <c r="E12" s="5">
        <v>0.7</v>
      </c>
      <c r="F12" s="4" t="s">
        <v>120</v>
      </c>
      <c r="G12" s="5">
        <v>0.1</v>
      </c>
      <c r="H12" s="4">
        <v>2</v>
      </c>
      <c r="I12" s="4" t="s">
        <v>96</v>
      </c>
      <c r="J12" s="14">
        <f>IF(F12="Gift Card",G12,IF(F12="Spark Ads",G12,IF(F12="Commission Boost",G12*(INDEX('VIP Levels'!$E$5:$E$9,MATCH(A12,'VIP Levels'!$B$5:$B$9,0))/30*H12)*Revenue!$B$10,IF(F12="Discount",G12*(INDEX('VIP Levels'!$E$5:$E$9,MATCH(A12,'VIP Levels'!$B$5:$B$9,0))/30*H12)*Inputs!$B$15*Inputs!$B$21,0))))</f>
        <v>2.4000000000000004</v>
      </c>
    </row>
    <row r="13" spans="1:12" x14ac:dyDescent="0.25">
      <c r="A13" s="4" t="s">
        <v>66</v>
      </c>
      <c r="B13" s="4" t="s">
        <v>118</v>
      </c>
      <c r="C13" s="4">
        <v>20</v>
      </c>
      <c r="D13" s="4" t="s">
        <v>121</v>
      </c>
      <c r="E13" s="5">
        <v>0.7</v>
      </c>
      <c r="F13" s="4" t="s">
        <v>122</v>
      </c>
      <c r="G13" s="5">
        <v>0.1</v>
      </c>
      <c r="H13" s="4">
        <v>7</v>
      </c>
      <c r="I13" s="4" t="s">
        <v>96</v>
      </c>
      <c r="J13" s="14">
        <f>IF(F13="Gift Card",G13,IF(F13="Spark Ads",G13,IF(F13="Commission Boost",G13*(INDEX('VIP Levels'!$E$5:$E$9,MATCH(A13,'VIP Levels'!$B$5:$B$9,0))/30*H13)*Revenue!$B$10,IF(F13="Discount",G13*(INDEX('VIP Levels'!$E$5:$E$9,MATCH(A13,'VIP Levels'!$B$5:$B$9,0))/30*H13)*Inputs!$B$15*Inputs!$B$21,0))))</f>
        <v>26.655999999999999</v>
      </c>
    </row>
    <row r="14" spans="1:12" x14ac:dyDescent="0.25">
      <c r="A14" s="4" t="s">
        <v>68</v>
      </c>
      <c r="B14" s="4" t="s">
        <v>115</v>
      </c>
      <c r="C14" s="4">
        <v>100</v>
      </c>
      <c r="D14" s="4" t="s">
        <v>121</v>
      </c>
      <c r="E14" s="5">
        <v>0.4</v>
      </c>
      <c r="F14" s="4" t="s">
        <v>117</v>
      </c>
      <c r="G14" s="12">
        <v>400</v>
      </c>
      <c r="H14" s="4">
        <v>0</v>
      </c>
      <c r="I14" s="4" t="s">
        <v>96</v>
      </c>
      <c r="J14" s="14">
        <f>IF(F14="Gift Card",G14,IF(F14="Spark Ads",G14,IF(F14="Commission Boost",G14*(INDEX('VIP Levels'!$E$5:$E$9,MATCH(A14,'VIP Levels'!$B$5:$B$9,0))/30*H14)*Revenue!$B$10,IF(F14="Discount",G14*(INDEX('VIP Levels'!$E$5:$E$9,MATCH(A14,'VIP Levels'!$B$5:$B$9,0))/30*H14)*Inputs!$B$15*Inputs!$B$21,0))))</f>
        <v>400</v>
      </c>
    </row>
    <row r="15" spans="1:12" x14ac:dyDescent="0.25">
      <c r="A15" s="4" t="s">
        <v>68</v>
      </c>
      <c r="B15" s="4" t="s">
        <v>118</v>
      </c>
      <c r="C15" s="4">
        <v>10</v>
      </c>
      <c r="D15" s="4" t="s">
        <v>123</v>
      </c>
      <c r="E15" s="5">
        <v>0.7</v>
      </c>
      <c r="F15" s="4" t="s">
        <v>122</v>
      </c>
      <c r="G15" s="5">
        <v>0.15</v>
      </c>
      <c r="H15" s="4">
        <v>7</v>
      </c>
      <c r="I15" s="4" t="s">
        <v>96</v>
      </c>
      <c r="J15" s="14">
        <f>IF(F15="Gift Card",G15,IF(F15="Spark Ads",G15,IF(F15="Commission Boost",G15*(INDEX('VIP Levels'!$E$5:$E$9,MATCH(A15,'VIP Levels'!$B$5:$B$9,0))/30*H15)*Revenue!$B$10,IF(F15="Discount",G15*(INDEX('VIP Levels'!$E$5:$E$9,MATCH(A15,'VIP Levels'!$B$5:$B$9,0))/30*H15)*Inputs!$B$15*Inputs!$B$21,0))))</f>
        <v>83.3</v>
      </c>
    </row>
    <row r="16" spans="1:12" x14ac:dyDescent="0.25">
      <c r="A16" s="4" t="s">
        <v>68</v>
      </c>
      <c r="B16" s="4" t="s">
        <v>119</v>
      </c>
      <c r="C16" s="4">
        <v>20000</v>
      </c>
      <c r="D16" s="4" t="s">
        <v>123</v>
      </c>
      <c r="E16" s="5">
        <v>0.5</v>
      </c>
      <c r="F16" s="4" t="s">
        <v>120</v>
      </c>
      <c r="G16" s="5">
        <v>0.15</v>
      </c>
      <c r="H16" s="4">
        <v>2</v>
      </c>
      <c r="I16" s="4" t="s">
        <v>96</v>
      </c>
      <c r="J16" s="14">
        <f>IF(F16="Gift Card",G16,IF(F16="Spark Ads",G16,IF(F16="Commission Boost",G16*(INDEX('VIP Levels'!$E$5:$E$9,MATCH(A16,'VIP Levels'!$B$5:$B$9,0))/30*H16)*Revenue!$B$10,IF(F16="Discount",G16*(INDEX('VIP Levels'!$E$5:$E$9,MATCH(A16,'VIP Levels'!$B$5:$B$9,0))/30*H16)*Inputs!$B$15*Inputs!$B$21,0))))</f>
        <v>7.5</v>
      </c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15">
        <f>IF(F17="Gift Card",G17,IF(F17="Spark Ads",G17,IF(F17="Commission Boost",G17*(INDEX('VIP Levels'!$E$5:$E$9,MATCH(A17,'VIP Levels'!$B$5:$B$9,0))/30*H17)*Revenue!$B$10,IF(F17="Discount",G17*(INDEX('VIP Levels'!$E$5:$E$9,MATCH(A17,'VIP Levels'!$B$5:$B$9,0))/30*H17)*Inputs!$B$15*Inputs!$B$21,0))))</f>
        <v>0</v>
      </c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4"/>
      <c r="J18" s="15">
        <f>IF(F18="Gift Card",G18,IF(F18="Spark Ads",G18,IF(F18="Commission Boost",G18*(INDEX('VIP Levels'!$E$5:$E$9,MATCH(A18,'VIP Levels'!$B$5:$B$9,0))/30*H18)*Revenue!$B$10,IF(F18="Discount",G18*(INDEX('VIP Levels'!$E$5:$E$9,MATCH(A18,'VIP Levels'!$B$5:$B$9,0))/30*H18)*Inputs!$B$15*Inputs!$B$21,0))))</f>
        <v>0</v>
      </c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4"/>
      <c r="J19" s="15">
        <f>IF(F19="Gift Card",G19,IF(F19="Spark Ads",G19,IF(F19="Commission Boost",G19*(INDEX('VIP Levels'!$E$5:$E$9,MATCH(A19,'VIP Levels'!$B$5:$B$9,0))/30*H19)*Revenue!$B$10,IF(F19="Discount",G19*(INDEX('VIP Levels'!$E$5:$E$9,MATCH(A19,'VIP Levels'!$B$5:$B$9,0))/30*H19)*Inputs!$B$15*Inputs!$B$21,0))))</f>
        <v>0</v>
      </c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15">
        <f>IF(F20="Gift Card",G20,IF(F20="Spark Ads",G20,IF(F20="Commission Boost",G20*(INDEX('VIP Levels'!$E$5:$E$9,MATCH(A20,'VIP Levels'!$B$5:$B$9,0))/30*H20)*Revenue!$B$10,IF(F20="Discount",G20*(INDEX('VIP Levels'!$E$5:$E$9,MATCH(A20,'VIP Levels'!$B$5:$B$9,0))/30*H20)*Inputs!$B$15*Inputs!$B$21,0))))</f>
        <v>0</v>
      </c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15">
        <f>IF(F21="Gift Card",G21,IF(F21="Spark Ads",G21,IF(F21="Commission Boost",G21*(INDEX('VIP Levels'!$E$5:$E$9,MATCH(A21,'VIP Levels'!$B$5:$B$9,0))/30*H21)*Revenue!$B$10,IF(F21="Discount",G21*(INDEX('VIP Levels'!$E$5:$E$9,MATCH(A21,'VIP Levels'!$B$5:$B$9,0))/30*H21)*Inputs!$B$15*Inputs!$B$21,0))))</f>
        <v>0</v>
      </c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4"/>
      <c r="J22" s="15">
        <f>IF(F22="Gift Card",G22,IF(F22="Spark Ads",G22,IF(F22="Commission Boost",G22*(INDEX('VIP Levels'!$E$5:$E$9,MATCH(A22,'VIP Levels'!$B$5:$B$9,0))/30*H22)*Revenue!$B$10,IF(F22="Discount",G22*(INDEX('VIP Levels'!$E$5:$E$9,MATCH(A22,'VIP Levels'!$B$5:$B$9,0))/30*H22)*Inputs!$B$15*Inputs!$B$21,0))))</f>
        <v>0</v>
      </c>
    </row>
    <row r="23" spans="1:10" x14ac:dyDescent="0.25">
      <c r="A23" s="4"/>
      <c r="B23" s="4"/>
      <c r="C23" s="4"/>
      <c r="D23" s="4"/>
      <c r="E23" s="4"/>
      <c r="F23" s="4"/>
      <c r="G23" s="4"/>
      <c r="H23" s="4"/>
      <c r="I23" s="4"/>
      <c r="J23" s="15">
        <f>IF(F23="Gift Card",G23,IF(F23="Spark Ads",G23,IF(F23="Commission Boost",G23*(INDEX('VIP Levels'!$E$5:$E$9,MATCH(A23,'VIP Levels'!$B$5:$B$9,0))/30*H23)*Revenue!$B$10,IF(F23="Discount",G23*(INDEX('VIP Levels'!$E$5:$E$9,MATCH(A23,'VIP Levels'!$B$5:$B$9,0))/30*H23)*Inputs!$B$15*Inputs!$B$21,0))))</f>
        <v>0</v>
      </c>
    </row>
    <row r="24" spans="1:10" x14ac:dyDescent="0.25">
      <c r="A24" s="4"/>
      <c r="B24" s="4"/>
      <c r="C24" s="4"/>
      <c r="D24" s="4"/>
      <c r="E24" s="4"/>
      <c r="F24" s="4"/>
      <c r="G24" s="4"/>
      <c r="H24" s="4"/>
      <c r="I24" s="4"/>
      <c r="J24" s="15">
        <f>IF(F24="Gift Card",G24,IF(F24="Spark Ads",G24,IF(F24="Commission Boost",G24*(INDEX('VIP Levels'!$E$5:$E$9,MATCH(A24,'VIP Levels'!$B$5:$B$9,0))/30*H24)*Revenue!$B$10,IF(F24="Discount",G24*(INDEX('VIP Levels'!$E$5:$E$9,MATCH(A24,'VIP Levels'!$B$5:$B$9,0))/30*H24)*Inputs!$B$15*Inputs!$B$21,0))))</f>
        <v>0</v>
      </c>
    </row>
    <row r="25" spans="1:10" x14ac:dyDescent="0.25">
      <c r="A25" s="4"/>
      <c r="B25" s="4"/>
      <c r="C25" s="4"/>
      <c r="D25" s="4"/>
      <c r="E25" s="4"/>
      <c r="F25" s="4"/>
      <c r="G25" s="4"/>
      <c r="H25" s="4"/>
      <c r="I25" s="4"/>
      <c r="J25" s="15">
        <f>IF(F25="Gift Card",G25,IF(F25="Spark Ads",G25,IF(F25="Commission Boost",G25*INDEX('VIP Levels'!$E$5:$E$9,MATCH(A25,'VIP Levels'!$B$5:$B$9,0))*Revenue!$B$10,0)))</f>
        <v>0</v>
      </c>
    </row>
    <row r="26" spans="1:10" x14ac:dyDescent="0.25">
      <c r="A26" s="4"/>
      <c r="B26" s="4"/>
      <c r="C26" s="4"/>
      <c r="D26" s="4"/>
      <c r="E26" s="4"/>
      <c r="F26" s="4"/>
      <c r="G26" s="4"/>
      <c r="H26" s="4"/>
      <c r="I26" s="4"/>
      <c r="J26" s="15">
        <f>IF(F26="Gift Card",G26,IF(F26="Spark Ads",G26,IF(F26="Commission Boost",G26*INDEX('VIP Levels'!$E$5:$E$9,MATCH(A26,'VIP Levels'!$B$5:$B$9,0))*Revenue!$B$10,0)))</f>
        <v>0</v>
      </c>
    </row>
    <row r="29" spans="1:10" ht="18.75" customHeight="1" x14ac:dyDescent="0.3">
      <c r="A29" s="1" t="s">
        <v>124</v>
      </c>
    </row>
    <row r="30" spans="1:10" ht="31.5" customHeight="1" x14ac:dyDescent="0.25">
      <c r="A30" s="2" t="s">
        <v>59</v>
      </c>
      <c r="B30" s="2" t="s">
        <v>125</v>
      </c>
      <c r="C30" s="2" t="s">
        <v>126</v>
      </c>
      <c r="D30" s="2" t="s">
        <v>127</v>
      </c>
    </row>
    <row r="31" spans="1:10" x14ac:dyDescent="0.25">
      <c r="A31" s="3" t="s">
        <v>61</v>
      </c>
      <c r="B31" s="15">
        <f>COUNTIFS(A$6:A$26,A31,I$6:I$26,"Yes")</f>
        <v>2</v>
      </c>
      <c r="C31" s="9">
        <f>IFERROR(AVERAGEIFS(E$6:E$26,A$6:A$26,A31,I$6:I$26,"Yes"),0)</f>
        <v>0.85000000000000009</v>
      </c>
      <c r="D31" s="14">
        <f>IFERROR(AVERAGEIFS(J$6:J$26,A$6:A$26,A31,I$6:I$26,"Yes"),0)</f>
        <v>12.5</v>
      </c>
    </row>
    <row r="32" spans="1:10" x14ac:dyDescent="0.25">
      <c r="A32" s="3" t="s">
        <v>64</v>
      </c>
      <c r="B32" s="15">
        <f>COUNTIFS(A$6:A$26,A32,I$6:I$26,"Yes")</f>
        <v>3</v>
      </c>
      <c r="C32" s="9">
        <f>IFERROR(AVERAGEIFS(E$6:E$26,A$6:A$26,A32,I$6:I$26,"Yes"),0)</f>
        <v>0.66666666666666663</v>
      </c>
      <c r="D32" s="14">
        <f>IFERROR(AVERAGEIFS(J$6:J$26,A$6:A$26,A32,I$6:I$26,"Yes"),0)</f>
        <v>21.509333333333334</v>
      </c>
    </row>
    <row r="33" spans="1:4" x14ac:dyDescent="0.25">
      <c r="A33" s="3" t="s">
        <v>66</v>
      </c>
      <c r="B33" s="15">
        <f>COUNTIFS(A$6:A$26,A33,I$6:I$26,"Yes")</f>
        <v>3</v>
      </c>
      <c r="C33" s="9">
        <f>IFERROR(AVERAGEIFS(E$6:E$26,A$6:A$26,A33,I$6:I$26,"Yes"),0)</f>
        <v>0.6333333333333333</v>
      </c>
      <c r="D33" s="14">
        <f>IFERROR(AVERAGEIFS(J$6:J$26,A$6:A$26,A33,I$6:I$26,"Yes"),0)</f>
        <v>59.68533333333334</v>
      </c>
    </row>
    <row r="34" spans="1:4" x14ac:dyDescent="0.25">
      <c r="A34" s="3" t="s">
        <v>68</v>
      </c>
      <c r="B34" s="15">
        <f>COUNTIFS(A$6:A$26,A34,I$6:I$26,"Yes")</f>
        <v>3</v>
      </c>
      <c r="C34" s="9">
        <f>IFERROR(AVERAGEIFS(E$6:E$26,A$6:A$26,A34,I$6:I$26,"Yes"),0)</f>
        <v>0.53333333333333333</v>
      </c>
      <c r="D34" s="14">
        <f>IFERROR(AVERAGEIFS(J$6:J$26,A$6:A$26,A34,I$6:I$26,"Yes"),0)</f>
        <v>163.6</v>
      </c>
    </row>
    <row r="35" spans="1:4" x14ac:dyDescent="0.25">
      <c r="A35" s="3" t="s">
        <v>70</v>
      </c>
      <c r="B35" s="15">
        <f>COUNTIFS(A$6:A$26,A35,I$6:I$26,"Yes")</f>
        <v>0</v>
      </c>
      <c r="C35" s="9">
        <f>IFERROR(AVERAGEIFS(E$6:E$26,A$6:A$26,A35,I$6:I$26,"Yes"),0)</f>
        <v>0</v>
      </c>
      <c r="D35" s="14">
        <f>IFERROR(AVERAGEIFS(J$6:J$26,A$6:A$26,A35,I$6:I$26,"Yes"),0)</f>
        <v>0</v>
      </c>
    </row>
    <row r="39" spans="1:4" x14ac:dyDescent="0.25">
      <c r="A39" t="s">
        <v>128</v>
      </c>
    </row>
    <row r="40" spans="1:4" x14ac:dyDescent="0.25">
      <c r="A40" t="s">
        <v>129</v>
      </c>
    </row>
    <row r="41" spans="1:4" x14ac:dyDescent="0.25">
      <c r="A41" t="s">
        <v>130</v>
      </c>
    </row>
  </sheetData>
  <mergeCells count="1">
    <mergeCell ref="A1:L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workbookViewId="0">
      <selection activeCell="D24" sqref="D24"/>
    </sheetView>
  </sheetViews>
  <sheetFormatPr defaultRowHeight="15" x14ac:dyDescent="0.25"/>
  <cols>
    <col min="1" max="1" width="35" customWidth="1"/>
    <col min="2" max="13" width="12" customWidth="1"/>
  </cols>
  <sheetData>
    <row r="1" spans="1:17" ht="21" customHeight="1" x14ac:dyDescent="0.35">
      <c r="A1" s="27" t="s">
        <v>131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7" ht="15.75" customHeight="1" x14ac:dyDescent="0.25">
      <c r="A3" s="2" t="s">
        <v>132</v>
      </c>
      <c r="B3" s="2" t="s">
        <v>133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 t="s">
        <v>140</v>
      </c>
      <c r="J3" s="2" t="s">
        <v>141</v>
      </c>
      <c r="K3" s="2" t="s">
        <v>142</v>
      </c>
      <c r="L3" s="2" t="s">
        <v>143</v>
      </c>
      <c r="M3" s="2" t="s">
        <v>144</v>
      </c>
    </row>
    <row r="4" spans="1:17" x14ac:dyDescent="0.25">
      <c r="A4" s="16" t="s">
        <v>145</v>
      </c>
      <c r="B4" s="15">
        <f>Inputs!$B$5</f>
        <v>150</v>
      </c>
      <c r="C4" s="15">
        <f>Inputs!$B$6</f>
        <v>100</v>
      </c>
      <c r="D4" s="15">
        <f>Inputs!$B$6</f>
        <v>100</v>
      </c>
      <c r="E4" s="15">
        <f>Inputs!$B$6</f>
        <v>100</v>
      </c>
      <c r="F4" s="15">
        <f>Inputs!$B$6</f>
        <v>100</v>
      </c>
      <c r="G4" s="15">
        <f>Inputs!$B$6</f>
        <v>100</v>
      </c>
      <c r="H4" s="15">
        <f>Inputs!$B$6</f>
        <v>100</v>
      </c>
      <c r="I4" s="15">
        <f>Inputs!$B$6</f>
        <v>100</v>
      </c>
      <c r="J4" s="15">
        <f>Inputs!$B$6</f>
        <v>100</v>
      </c>
      <c r="K4" s="15">
        <f>Inputs!$B$6</f>
        <v>100</v>
      </c>
      <c r="L4" s="15">
        <f>Inputs!$B$6</f>
        <v>100</v>
      </c>
      <c r="M4" s="15">
        <f>Inputs!$B$6</f>
        <v>100</v>
      </c>
    </row>
    <row r="5" spans="1:17" x14ac:dyDescent="0.25">
      <c r="A5" s="16" t="s">
        <v>146</v>
      </c>
      <c r="B5" s="15">
        <f t="array" ref="B5">ROUND(B4*SampleAffConv,0)</f>
        <v>105</v>
      </c>
      <c r="C5" s="15">
        <f t="shared" ref="C5:M5" si="0">ROUND(C4*SampleAffConv,0)</f>
        <v>70</v>
      </c>
      <c r="D5" s="15">
        <f t="shared" si="0"/>
        <v>70</v>
      </c>
      <c r="E5" s="15">
        <f t="shared" si="0"/>
        <v>70</v>
      </c>
      <c r="F5" s="15">
        <f t="shared" si="0"/>
        <v>70</v>
      </c>
      <c r="G5" s="15">
        <f t="shared" si="0"/>
        <v>70</v>
      </c>
      <c r="H5" s="15">
        <f t="shared" si="0"/>
        <v>70</v>
      </c>
      <c r="I5" s="15">
        <f t="shared" si="0"/>
        <v>70</v>
      </c>
      <c r="J5" s="15">
        <f t="shared" si="0"/>
        <v>70</v>
      </c>
      <c r="K5" s="15">
        <f t="shared" si="0"/>
        <v>70</v>
      </c>
      <c r="L5" s="15">
        <f t="shared" si="0"/>
        <v>70</v>
      </c>
      <c r="M5" s="15">
        <f t="shared" si="0"/>
        <v>70</v>
      </c>
    </row>
    <row r="6" spans="1:17" x14ac:dyDescent="0.25">
      <c r="A6" s="16" t="s">
        <v>147</v>
      </c>
      <c r="B6" s="15">
        <f>Inputs!$B$8</f>
        <v>10</v>
      </c>
      <c r="C6" s="15">
        <f>Inputs!$B$8</f>
        <v>10</v>
      </c>
      <c r="D6" s="15">
        <f>Inputs!$B$8</f>
        <v>10</v>
      </c>
      <c r="E6" s="15">
        <f>Inputs!$B$8</f>
        <v>10</v>
      </c>
      <c r="F6" s="15">
        <f>Inputs!$B$8</f>
        <v>10</v>
      </c>
      <c r="G6" s="15">
        <f>Inputs!$B$8</f>
        <v>10</v>
      </c>
      <c r="H6" s="15">
        <f>Inputs!$B$8</f>
        <v>10</v>
      </c>
      <c r="I6" s="15">
        <f>Inputs!$B$8</f>
        <v>10</v>
      </c>
      <c r="J6" s="15">
        <f>Inputs!$B$8</f>
        <v>10</v>
      </c>
      <c r="K6" s="15">
        <f>Inputs!$B$8</f>
        <v>10</v>
      </c>
      <c r="L6" s="15">
        <f>Inputs!$B$8</f>
        <v>10</v>
      </c>
      <c r="M6" s="15">
        <f>Inputs!$B$8</f>
        <v>10</v>
      </c>
    </row>
    <row r="7" spans="1:17" x14ac:dyDescent="0.25">
      <c r="A7" s="16" t="s">
        <v>148</v>
      </c>
      <c r="B7" s="15">
        <f t="shared" ref="B7:M7" si="1">B5+B6</f>
        <v>115</v>
      </c>
      <c r="C7" s="15">
        <f t="shared" si="1"/>
        <v>80</v>
      </c>
      <c r="D7" s="15">
        <f t="shared" si="1"/>
        <v>80</v>
      </c>
      <c r="E7" s="15">
        <f t="shared" si="1"/>
        <v>80</v>
      </c>
      <c r="F7" s="15">
        <f t="shared" si="1"/>
        <v>80</v>
      </c>
      <c r="G7" s="15">
        <f t="shared" si="1"/>
        <v>80</v>
      </c>
      <c r="H7" s="15">
        <f t="shared" si="1"/>
        <v>80</v>
      </c>
      <c r="I7" s="15">
        <f t="shared" si="1"/>
        <v>80</v>
      </c>
      <c r="J7" s="15">
        <f t="shared" si="1"/>
        <v>80</v>
      </c>
      <c r="K7" s="15">
        <f t="shared" si="1"/>
        <v>80</v>
      </c>
      <c r="L7" s="15">
        <f t="shared" si="1"/>
        <v>80</v>
      </c>
      <c r="M7" s="15">
        <f t="shared" si="1"/>
        <v>80</v>
      </c>
      <c r="Q7" t="s">
        <v>149</v>
      </c>
    </row>
    <row r="8" spans="1:17" x14ac:dyDescent="0.25">
      <c r="A8" s="16" t="s">
        <v>150</v>
      </c>
      <c r="B8" s="15">
        <v>0</v>
      </c>
      <c r="C8" s="15">
        <f t="shared" ref="C8:M8" si="2">ROUND(B9*AffAttrition,0)</f>
        <v>6</v>
      </c>
      <c r="D8" s="15">
        <f t="shared" si="2"/>
        <v>9</v>
      </c>
      <c r="E8" s="15">
        <f t="shared" si="2"/>
        <v>13</v>
      </c>
      <c r="F8" s="15">
        <f t="shared" si="2"/>
        <v>16</v>
      </c>
      <c r="G8" s="15">
        <f t="shared" si="2"/>
        <v>20</v>
      </c>
      <c r="H8" s="15">
        <f t="shared" si="2"/>
        <v>23</v>
      </c>
      <c r="I8" s="15">
        <f t="shared" si="2"/>
        <v>25</v>
      </c>
      <c r="J8" s="15">
        <f t="shared" si="2"/>
        <v>28</v>
      </c>
      <c r="K8" s="15">
        <f t="shared" si="2"/>
        <v>31</v>
      </c>
      <c r="L8" s="15">
        <f t="shared" si="2"/>
        <v>33</v>
      </c>
      <c r="M8" s="15">
        <f t="shared" si="2"/>
        <v>36</v>
      </c>
    </row>
    <row r="9" spans="1:17" x14ac:dyDescent="0.25">
      <c r="A9" s="16" t="s">
        <v>151</v>
      </c>
      <c r="B9" s="15">
        <f>B7-B8</f>
        <v>115</v>
      </c>
      <c r="C9" s="15">
        <f t="shared" ref="C9:M9" si="3">B9+C7-C8</f>
        <v>189</v>
      </c>
      <c r="D9" s="15">
        <f t="shared" si="3"/>
        <v>260</v>
      </c>
      <c r="E9" s="15">
        <f t="shared" si="3"/>
        <v>327</v>
      </c>
      <c r="F9" s="15">
        <f t="shared" si="3"/>
        <v>391</v>
      </c>
      <c r="G9" s="15">
        <f t="shared" si="3"/>
        <v>451</v>
      </c>
      <c r="H9" s="15">
        <f t="shared" si="3"/>
        <v>508</v>
      </c>
      <c r="I9" s="15">
        <f t="shared" si="3"/>
        <v>563</v>
      </c>
      <c r="J9" s="15">
        <f t="shared" si="3"/>
        <v>615</v>
      </c>
      <c r="K9" s="15">
        <f t="shared" si="3"/>
        <v>664</v>
      </c>
      <c r="L9" s="15">
        <f t="shared" si="3"/>
        <v>711</v>
      </c>
      <c r="M9" s="15">
        <f t="shared" si="3"/>
        <v>755</v>
      </c>
    </row>
    <row r="10" spans="1:17" x14ac:dyDescent="0.25">
      <c r="A10" s="16" t="s">
        <v>152</v>
      </c>
      <c r="B10" s="15">
        <f>ROUND(B12*'VIP Levels'!$E$5+B13*'VIP Levels'!$E$6+B14*'VIP Levels'!$E$7+B15*'VIP Levels'!$E$8+B16*'VIP Levels'!$E$9,0)</f>
        <v>230</v>
      </c>
      <c r="C10" s="15">
        <f>ROUND(C12*'VIP Levels'!$E$5+C13*'VIP Levels'!$E$6+C14*'VIP Levels'!$E$7+C15*'VIP Levels'!$E$8+C16*'VIP Levels'!$E$9,0)</f>
        <v>927</v>
      </c>
      <c r="D10" s="15">
        <f>ROUND(D12*'VIP Levels'!$E$5+D13*'VIP Levels'!$E$6+D14*'VIP Levels'!$E$7+D15*'VIP Levels'!$E$8+D16*'VIP Levels'!$E$9,0)</f>
        <v>1287</v>
      </c>
      <c r="E10" s="15">
        <f>ROUND(E12*'VIP Levels'!$E$5+E13*'VIP Levels'!$E$6+E14*'VIP Levels'!$E$7+E15*'VIP Levels'!$E$8+E16*'VIP Levels'!$E$9,0)</f>
        <v>1612</v>
      </c>
      <c r="F10" s="15">
        <f>ROUND(F12*'VIP Levels'!$E$5+F13*'VIP Levels'!$E$6+F14*'VIP Levels'!$E$7+F15*'VIP Levels'!$E$8+F16*'VIP Levels'!$E$9,0)</f>
        <v>1944</v>
      </c>
      <c r="G10" s="15">
        <f>ROUND(G12*'VIP Levels'!$E$5+G13*'VIP Levels'!$E$6+G14*'VIP Levels'!$E$7+G15*'VIP Levels'!$E$8+G16*'VIP Levels'!$E$9,0)</f>
        <v>2241</v>
      </c>
      <c r="H10" s="15">
        <f>ROUND(H12*'VIP Levels'!$E$5+H13*'VIP Levels'!$E$6+H14*'VIP Levels'!$E$7+H15*'VIP Levels'!$E$8+H16*'VIP Levels'!$E$9,0)</f>
        <v>2509</v>
      </c>
      <c r="I10" s="15">
        <f>ROUND(I12*'VIP Levels'!$E$5+I13*'VIP Levels'!$E$6+I14*'VIP Levels'!$E$7+I15*'VIP Levels'!$E$8+I16*'VIP Levels'!$E$9,0)</f>
        <v>2782</v>
      </c>
      <c r="J10" s="15">
        <f>ROUND(J12*'VIP Levels'!$E$5+J13*'VIP Levels'!$E$6+J14*'VIP Levels'!$E$7+J15*'VIP Levels'!$E$8+J16*'VIP Levels'!$E$9,0)</f>
        <v>3057</v>
      </c>
      <c r="K10" s="15">
        <f>ROUND(K12*'VIP Levels'!$E$5+K13*'VIP Levels'!$E$6+K14*'VIP Levels'!$E$7+K15*'VIP Levels'!$E$8+K16*'VIP Levels'!$E$9,0)</f>
        <v>3279</v>
      </c>
      <c r="L10" s="15">
        <f>ROUND(L12*'VIP Levels'!$E$5+L13*'VIP Levels'!$E$6+L14*'VIP Levels'!$E$7+L15*'VIP Levels'!$E$8+L16*'VIP Levels'!$E$9,0)</f>
        <v>3528</v>
      </c>
      <c r="M10" s="15">
        <f>ROUND(M12*'VIP Levels'!$E$5+M13*'VIP Levels'!$E$6+M14*'VIP Levels'!$E$7+M15*'VIP Levels'!$E$8+M16*'VIP Levels'!$E$9,0)</f>
        <v>3750</v>
      </c>
    </row>
    <row r="11" spans="1:17" ht="18.75" customHeight="1" x14ac:dyDescent="0.3">
      <c r="A11" s="1" t="s">
        <v>153</v>
      </c>
    </row>
    <row r="12" spans="1:17" x14ac:dyDescent="0.25">
      <c r="A12" s="16" t="s">
        <v>154</v>
      </c>
      <c r="B12" s="15">
        <f>B9</f>
        <v>115</v>
      </c>
      <c r="C12" s="15">
        <f>ROUND(C9*Inputs!$B$34,0)</f>
        <v>123</v>
      </c>
      <c r="D12" s="15">
        <f>ROUND(D9*Inputs!$B$34,0)</f>
        <v>169</v>
      </c>
      <c r="E12" s="15">
        <f>ROUND(E9*Inputs!$B$34,0)</f>
        <v>213</v>
      </c>
      <c r="F12" s="15">
        <f>ROUND(F9*Inputs!$B$34,0)</f>
        <v>254</v>
      </c>
      <c r="G12" s="15">
        <f>ROUND(G9*Inputs!$B$34,0)</f>
        <v>293</v>
      </c>
      <c r="H12" s="15">
        <f>ROUND(H9*Inputs!$B$34,0)</f>
        <v>330</v>
      </c>
      <c r="I12" s="15">
        <f>ROUND(I9*Inputs!$B$34,0)</f>
        <v>366</v>
      </c>
      <c r="J12" s="15">
        <f>ROUND(J9*Inputs!$B$34,0)</f>
        <v>400</v>
      </c>
      <c r="K12" s="15">
        <f>ROUND(K9*Inputs!$B$34,0)</f>
        <v>432</v>
      </c>
      <c r="L12" s="15">
        <f>ROUND(L9*Inputs!$B$34,0)</f>
        <v>462</v>
      </c>
      <c r="M12" s="15">
        <f>ROUND(M9*Inputs!$B$34,0)</f>
        <v>491</v>
      </c>
    </row>
    <row r="13" spans="1:17" x14ac:dyDescent="0.25">
      <c r="A13" s="16" t="s">
        <v>155</v>
      </c>
      <c r="B13" s="15">
        <v>0</v>
      </c>
      <c r="C13" s="15">
        <f>ROUND(C9*Inputs!$B$35,0)</f>
        <v>38</v>
      </c>
      <c r="D13" s="15">
        <f>ROUND(D9*Inputs!$B$35,0)</f>
        <v>52</v>
      </c>
      <c r="E13" s="15">
        <f>ROUND(E9*Inputs!$B$35,0)</f>
        <v>65</v>
      </c>
      <c r="F13" s="15">
        <f>ROUND(F9*Inputs!$B$35,0)</f>
        <v>78</v>
      </c>
      <c r="G13" s="15">
        <f>ROUND(G9*Inputs!$B$35,0)</f>
        <v>90</v>
      </c>
      <c r="H13" s="15">
        <f>ROUND(H9*Inputs!$B$35,0)</f>
        <v>102</v>
      </c>
      <c r="I13" s="15">
        <f>ROUND(I9*Inputs!$B$35,0)</f>
        <v>113</v>
      </c>
      <c r="J13" s="15">
        <f>ROUND(J9*Inputs!$B$35,0)</f>
        <v>123</v>
      </c>
      <c r="K13" s="15">
        <f>ROUND(K9*Inputs!$B$35,0)</f>
        <v>133</v>
      </c>
      <c r="L13" s="15">
        <f>ROUND(L9*Inputs!$B$35,0)</f>
        <v>142</v>
      </c>
      <c r="M13" s="15">
        <f>ROUND(M9*Inputs!$B$35,0)</f>
        <v>151</v>
      </c>
    </row>
    <row r="14" spans="1:17" x14ac:dyDescent="0.25">
      <c r="A14" s="16" t="s">
        <v>156</v>
      </c>
      <c r="B14" s="15">
        <v>0</v>
      </c>
      <c r="C14" s="15">
        <f>ROUND(C9*Inputs!$B$36,0)</f>
        <v>19</v>
      </c>
      <c r="D14" s="15">
        <f>ROUND(D9*Inputs!$B$36,0)</f>
        <v>26</v>
      </c>
      <c r="E14" s="15">
        <f>ROUND(E9*Inputs!$B$36,0)</f>
        <v>33</v>
      </c>
      <c r="F14" s="15">
        <f>ROUND(F9*Inputs!$B$36,0)</f>
        <v>39</v>
      </c>
      <c r="G14" s="15">
        <f>ROUND(G9*Inputs!$B$36,0)</f>
        <v>45</v>
      </c>
      <c r="H14" s="15">
        <f>ROUND(H9*Inputs!$B$36,0)</f>
        <v>51</v>
      </c>
      <c r="I14" s="15">
        <f>ROUND(I9*Inputs!$B$36,0)</f>
        <v>56</v>
      </c>
      <c r="J14" s="15">
        <f>ROUND(J9*Inputs!$B$36,0)</f>
        <v>62</v>
      </c>
      <c r="K14" s="15">
        <f>ROUND(K9*Inputs!$B$36,0)</f>
        <v>66</v>
      </c>
      <c r="L14" s="15">
        <f>ROUND(L9*Inputs!$B$36,0)</f>
        <v>71</v>
      </c>
      <c r="M14" s="15">
        <f>ROUND(M9*Inputs!$B$36,0)</f>
        <v>76</v>
      </c>
    </row>
    <row r="15" spans="1:17" x14ac:dyDescent="0.25">
      <c r="A15" s="16" t="s">
        <v>157</v>
      </c>
      <c r="B15" s="15">
        <v>0</v>
      </c>
      <c r="C15" s="15">
        <f>ROUND(C9*Inputs!$B$37,0)</f>
        <v>9</v>
      </c>
      <c r="D15" s="15">
        <f>ROUND(D9*Inputs!$B$37,0)</f>
        <v>13</v>
      </c>
      <c r="E15" s="15">
        <f>ROUND(E9*Inputs!$B$37,0)</f>
        <v>16</v>
      </c>
      <c r="F15" s="15">
        <f>ROUND(F9*Inputs!$B$37,0)</f>
        <v>20</v>
      </c>
      <c r="G15" s="15">
        <f>ROUND(G9*Inputs!$B$37,0)</f>
        <v>23</v>
      </c>
      <c r="H15" s="15">
        <f>ROUND(H9*Inputs!$B$37,0)</f>
        <v>25</v>
      </c>
      <c r="I15" s="15">
        <f>ROUND(I9*Inputs!$B$37,0)</f>
        <v>28</v>
      </c>
      <c r="J15" s="15">
        <f>ROUND(J9*Inputs!$B$37,0)</f>
        <v>31</v>
      </c>
      <c r="K15" s="15">
        <f>ROUND(K9*Inputs!$B$37,0)</f>
        <v>33</v>
      </c>
      <c r="L15" s="15">
        <f>ROUND(L9*Inputs!$B$37,0)</f>
        <v>36</v>
      </c>
      <c r="M15" s="15">
        <f>ROUND(M9*Inputs!$B$37,0)</f>
        <v>38</v>
      </c>
    </row>
    <row r="16" spans="1:17" x14ac:dyDescent="0.25">
      <c r="A16" s="16" t="s">
        <v>158</v>
      </c>
      <c r="B16" s="15">
        <v>0</v>
      </c>
      <c r="C16" s="15">
        <f>ROUND(C9*Inputs!$B$38,0)</f>
        <v>0</v>
      </c>
      <c r="D16" s="15">
        <f>ROUND(D9*Inputs!$B$38,0)</f>
        <v>0</v>
      </c>
      <c r="E16" s="15">
        <f>ROUND(E9*Inputs!$B$38,0)</f>
        <v>0</v>
      </c>
      <c r="F16" s="15">
        <f>ROUND(F9*Inputs!$B$38,0)</f>
        <v>0</v>
      </c>
      <c r="G16" s="15">
        <f>ROUND(G9*Inputs!$B$38,0)</f>
        <v>0</v>
      </c>
      <c r="H16" s="15">
        <f>ROUND(H9*Inputs!$B$38,0)</f>
        <v>0</v>
      </c>
      <c r="I16" s="15">
        <f>ROUND(I9*Inputs!$B$38,0)</f>
        <v>0</v>
      </c>
      <c r="J16" s="15">
        <f>ROUND(J9*Inputs!$B$38,0)</f>
        <v>0</v>
      </c>
      <c r="K16" s="15">
        <f>ROUND(K9*Inputs!$B$38,0)</f>
        <v>0</v>
      </c>
      <c r="L16" s="15">
        <f>ROUND(L9*Inputs!$B$38,0)</f>
        <v>0</v>
      </c>
      <c r="M16" s="15">
        <f>ROUND(M9*Inputs!$B$38,0)</f>
        <v>0</v>
      </c>
    </row>
    <row r="17" spans="1:13" ht="18.75" customHeight="1" x14ac:dyDescent="0.3">
      <c r="A17" s="1" t="s">
        <v>159</v>
      </c>
    </row>
    <row r="18" spans="1:13" x14ac:dyDescent="0.25">
      <c r="A18" s="16" t="s">
        <v>160</v>
      </c>
      <c r="B18" s="15">
        <f t="shared" ref="B18:M18" si="4">B7</f>
        <v>115</v>
      </c>
      <c r="C18" s="15">
        <f t="shared" si="4"/>
        <v>80</v>
      </c>
      <c r="D18" s="15">
        <f t="shared" si="4"/>
        <v>80</v>
      </c>
      <c r="E18" s="15">
        <f t="shared" si="4"/>
        <v>80</v>
      </c>
      <c r="F18" s="15">
        <f t="shared" si="4"/>
        <v>80</v>
      </c>
      <c r="G18" s="15">
        <f t="shared" si="4"/>
        <v>80</v>
      </c>
      <c r="H18" s="15">
        <f t="shared" si="4"/>
        <v>80</v>
      </c>
      <c r="I18" s="15">
        <f t="shared" si="4"/>
        <v>80</v>
      </c>
      <c r="J18" s="15">
        <f t="shared" si="4"/>
        <v>80</v>
      </c>
      <c r="K18" s="15">
        <f t="shared" si="4"/>
        <v>80</v>
      </c>
      <c r="L18" s="15">
        <f t="shared" si="4"/>
        <v>80</v>
      </c>
      <c r="M18" s="15">
        <f t="shared" si="4"/>
        <v>80</v>
      </c>
    </row>
    <row r="19" spans="1:13" x14ac:dyDescent="0.25">
      <c r="A19" s="16" t="s">
        <v>161</v>
      </c>
      <c r="B19" s="15">
        <v>0</v>
      </c>
      <c r="C19" s="15">
        <f t="shared" ref="C19:M19" si="5">MAX(0,(C13+C14+C15+C16)-(B13+B14+B15+B16))</f>
        <v>66</v>
      </c>
      <c r="D19" s="15">
        <f t="shared" si="5"/>
        <v>25</v>
      </c>
      <c r="E19" s="15">
        <f t="shared" si="5"/>
        <v>23</v>
      </c>
      <c r="F19" s="15">
        <f t="shared" si="5"/>
        <v>23</v>
      </c>
      <c r="G19" s="15">
        <f t="shared" si="5"/>
        <v>21</v>
      </c>
      <c r="H19" s="15">
        <f t="shared" si="5"/>
        <v>20</v>
      </c>
      <c r="I19" s="15">
        <f t="shared" si="5"/>
        <v>19</v>
      </c>
      <c r="J19" s="15">
        <f t="shared" si="5"/>
        <v>19</v>
      </c>
      <c r="K19" s="15">
        <f t="shared" si="5"/>
        <v>16</v>
      </c>
      <c r="L19" s="15">
        <f t="shared" si="5"/>
        <v>17</v>
      </c>
      <c r="M19" s="15">
        <f t="shared" si="5"/>
        <v>16</v>
      </c>
    </row>
    <row r="20" spans="1:13" x14ac:dyDescent="0.25">
      <c r="A20" s="16" t="s">
        <v>162</v>
      </c>
      <c r="B20" s="15">
        <f t="shared" ref="B20:M20" si="6">B18+B19</f>
        <v>115</v>
      </c>
      <c r="C20" s="15">
        <f t="shared" si="6"/>
        <v>146</v>
      </c>
      <c r="D20" s="15">
        <f t="shared" si="6"/>
        <v>105</v>
      </c>
      <c r="E20" s="15">
        <f t="shared" si="6"/>
        <v>103</v>
      </c>
      <c r="F20" s="15">
        <f t="shared" si="6"/>
        <v>103</v>
      </c>
      <c r="G20" s="15">
        <f t="shared" si="6"/>
        <v>101</v>
      </c>
      <c r="H20" s="15">
        <f t="shared" si="6"/>
        <v>100</v>
      </c>
      <c r="I20" s="15">
        <f t="shared" si="6"/>
        <v>99</v>
      </c>
      <c r="J20" s="15">
        <f t="shared" si="6"/>
        <v>99</v>
      </c>
      <c r="K20" s="15">
        <f t="shared" si="6"/>
        <v>96</v>
      </c>
      <c r="L20" s="15">
        <f t="shared" si="6"/>
        <v>97</v>
      </c>
      <c r="M20" s="15">
        <f t="shared" si="6"/>
        <v>96</v>
      </c>
    </row>
    <row r="21" spans="1:13" x14ac:dyDescent="0.25">
      <c r="A21" s="16" t="s">
        <v>163</v>
      </c>
      <c r="B21" s="15">
        <v>0</v>
      </c>
      <c r="C21" s="15">
        <f t="shared" ref="C21:M21" si="7">MAX(0,(B13+B14+B15+B16)-(C13+C14+C15+C16))</f>
        <v>0</v>
      </c>
      <c r="D21" s="15">
        <f t="shared" si="7"/>
        <v>0</v>
      </c>
      <c r="E21" s="15">
        <f t="shared" si="7"/>
        <v>0</v>
      </c>
      <c r="F21" s="15">
        <f t="shared" si="7"/>
        <v>0</v>
      </c>
      <c r="G21" s="15">
        <f t="shared" si="7"/>
        <v>0</v>
      </c>
      <c r="H21" s="15">
        <f t="shared" si="7"/>
        <v>0</v>
      </c>
      <c r="I21" s="15">
        <f t="shared" si="7"/>
        <v>0</v>
      </c>
      <c r="J21" s="15">
        <f t="shared" si="7"/>
        <v>0</v>
      </c>
      <c r="K21" s="15">
        <f t="shared" si="7"/>
        <v>0</v>
      </c>
      <c r="L21" s="15">
        <f t="shared" si="7"/>
        <v>0</v>
      </c>
      <c r="M21" s="15">
        <f t="shared" si="7"/>
        <v>0</v>
      </c>
    </row>
  </sheetData>
  <mergeCells count="1">
    <mergeCell ref="A1:N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workbookViewId="0">
      <selection activeCell="D28" sqref="D28"/>
    </sheetView>
  </sheetViews>
  <sheetFormatPr defaultRowHeight="15" x14ac:dyDescent="0.25"/>
  <cols>
    <col min="1" max="1" width="38" customWidth="1"/>
    <col min="2" max="13" width="12" customWidth="1"/>
  </cols>
  <sheetData>
    <row r="1" spans="1:14" ht="21" customHeight="1" x14ac:dyDescent="0.35">
      <c r="A1" s="27" t="s">
        <v>164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ht="15.75" customHeight="1" x14ac:dyDescent="0.25">
      <c r="A3" s="2" t="s">
        <v>132</v>
      </c>
      <c r="B3" s="2" t="s">
        <v>133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 t="s">
        <v>140</v>
      </c>
      <c r="J3" s="2" t="s">
        <v>141</v>
      </c>
      <c r="K3" s="2" t="s">
        <v>142</v>
      </c>
      <c r="L3" s="2" t="s">
        <v>143</v>
      </c>
      <c r="M3" s="2" t="s">
        <v>144</v>
      </c>
    </row>
    <row r="4" spans="1:14" ht="18.75" customHeight="1" x14ac:dyDescent="0.3">
      <c r="A4" s="1" t="s">
        <v>165</v>
      </c>
    </row>
    <row r="5" spans="1:14" x14ac:dyDescent="0.25">
      <c r="A5" s="25" t="s">
        <v>166</v>
      </c>
      <c r="B5" s="15">
        <f>ROUND('Affiliate Projection'!B18*'VIP Levels'!$B$14+'Affiliate Projection'!B19*IFERROR(SUMPRODUCT('VIP Levels'!$B$15:$B$18,Inputs!$B$35:$B$38)/SUM(Inputs!$B$35:$B$38),0),0)</f>
        <v>115</v>
      </c>
      <c r="C5" s="15">
        <f>ROUND('Affiliate Projection'!C18*'VIP Levels'!$B$14+'Affiliate Projection'!C19*IFERROR(SUMPRODUCT('VIP Levels'!$B$15:$B$18,Inputs!$B$35:$B$38)/SUM(Inputs!$B$35:$B$38),0),0)</f>
        <v>193</v>
      </c>
      <c r="D5" s="15">
        <f>ROUND('Affiliate Projection'!D18*'VIP Levels'!$B$14+'Affiliate Projection'!D19*IFERROR(SUMPRODUCT('VIP Levels'!$B$15:$B$18,Inputs!$B$35:$B$38)/SUM(Inputs!$B$35:$B$38),0),0)</f>
        <v>123</v>
      </c>
      <c r="E5" s="15">
        <f>ROUND('Affiliate Projection'!E18*'VIP Levels'!$B$14+'Affiliate Projection'!E19*IFERROR(SUMPRODUCT('VIP Levels'!$B$15:$B$18,Inputs!$B$35:$B$38)/SUM(Inputs!$B$35:$B$38),0),0)</f>
        <v>119</v>
      </c>
      <c r="F5" s="15">
        <f>ROUND('Affiliate Projection'!F18*'VIP Levels'!$B$14+'Affiliate Projection'!F19*IFERROR(SUMPRODUCT('VIP Levels'!$B$15:$B$18,Inputs!$B$35:$B$38)/SUM(Inputs!$B$35:$B$38),0),0)</f>
        <v>119</v>
      </c>
      <c r="G5" s="15">
        <f>ROUND('Affiliate Projection'!G18*'VIP Levels'!$B$14+'Affiliate Projection'!G19*IFERROR(SUMPRODUCT('VIP Levels'!$B$15:$B$18,Inputs!$B$35:$B$38)/SUM(Inputs!$B$35:$B$38),0),0)</f>
        <v>116</v>
      </c>
      <c r="H5" s="15">
        <f>ROUND('Affiliate Projection'!H18*'VIP Levels'!$B$14+'Affiliate Projection'!H19*IFERROR(SUMPRODUCT('VIP Levels'!$B$15:$B$18,Inputs!$B$35:$B$38)/SUM(Inputs!$B$35:$B$38),0),0)</f>
        <v>114</v>
      </c>
      <c r="I5" s="15">
        <f>ROUND('Affiliate Projection'!I18*'VIP Levels'!$B$14+'Affiliate Projection'!I19*IFERROR(SUMPRODUCT('VIP Levels'!$B$15:$B$18,Inputs!$B$35:$B$38)/SUM(Inputs!$B$35:$B$38),0),0)</f>
        <v>113</v>
      </c>
      <c r="J5" s="15">
        <f>ROUND('Affiliate Projection'!J18*'VIP Levels'!$B$14+'Affiliate Projection'!J19*IFERROR(SUMPRODUCT('VIP Levels'!$B$15:$B$18,Inputs!$B$35:$B$38)/SUM(Inputs!$B$35:$B$38),0),0)</f>
        <v>113</v>
      </c>
      <c r="K5" s="15">
        <f>ROUND('Affiliate Projection'!K18*'VIP Levels'!$B$14+'Affiliate Projection'!K19*IFERROR(SUMPRODUCT('VIP Levels'!$B$15:$B$18,Inputs!$B$35:$B$38)/SUM(Inputs!$B$35:$B$38),0),0)</f>
        <v>107</v>
      </c>
      <c r="L5" s="15">
        <f>ROUND('Affiliate Projection'!L18*'VIP Levels'!$B$14+'Affiliate Projection'!L19*IFERROR(SUMPRODUCT('VIP Levels'!$B$15:$B$18,Inputs!$B$35:$B$38)/SUM(Inputs!$B$35:$B$38),0),0)</f>
        <v>109</v>
      </c>
      <c r="M5" s="15">
        <f>ROUND('Affiliate Projection'!M18*'VIP Levels'!$B$14+'Affiliate Projection'!M19*IFERROR(SUMPRODUCT('VIP Levels'!$B$15:$B$18,Inputs!$B$35:$B$38)/SUM(Inputs!$B$35:$B$38),0),0)</f>
        <v>107</v>
      </c>
    </row>
    <row r="6" spans="1:14" x14ac:dyDescent="0.25">
      <c r="A6" s="16" t="s">
        <v>167</v>
      </c>
      <c r="B6" s="15">
        <f>ROUND('Affiliate Projection'!B18*'VIP Levels'!$E$14+'Affiliate Projection'!B19*IFERROR(SUMPRODUCT('VIP Levels'!$E$15:$E$18,Inputs!$B$35:$B$38)/SUM(Inputs!$B$35:$B$38),0),0)</f>
        <v>0</v>
      </c>
      <c r="C6" s="15">
        <f>ROUND('Affiliate Projection'!C18*'VIP Levels'!$E$14+'Affiliate Projection'!C19*IFERROR(SUMPRODUCT('VIP Levels'!$E$15:$E$18,Inputs!$B$35:$B$38)/SUM(Inputs!$B$35:$B$38),0),0)</f>
        <v>75</v>
      </c>
      <c r="D6" s="15">
        <f>ROUND('Affiliate Projection'!D18*'VIP Levels'!$E$14+'Affiliate Projection'!D19*IFERROR(SUMPRODUCT('VIP Levels'!$E$15:$E$18,Inputs!$B$35:$B$38)/SUM(Inputs!$B$35:$B$38),0),0)</f>
        <v>29</v>
      </c>
      <c r="E6" s="15">
        <f>ROUND('Affiliate Projection'!E18*'VIP Levels'!$E$14+'Affiliate Projection'!E19*IFERROR(SUMPRODUCT('VIP Levels'!$E$15:$E$18,Inputs!$B$35:$B$38)/SUM(Inputs!$B$35:$B$38),0),0)</f>
        <v>26</v>
      </c>
      <c r="F6" s="15">
        <f>ROUND('Affiliate Projection'!F18*'VIP Levels'!$E$14+'Affiliate Projection'!F19*IFERROR(SUMPRODUCT('VIP Levels'!$E$15:$E$18,Inputs!$B$35:$B$38)/SUM(Inputs!$B$35:$B$38),0),0)</f>
        <v>26</v>
      </c>
      <c r="G6" s="15">
        <f>ROUND('Affiliate Projection'!G18*'VIP Levels'!$E$14+'Affiliate Projection'!G19*IFERROR(SUMPRODUCT('VIP Levels'!$E$15:$E$18,Inputs!$B$35:$B$38)/SUM(Inputs!$B$35:$B$38),0),0)</f>
        <v>24</v>
      </c>
      <c r="H6" s="15">
        <f>ROUND('Affiliate Projection'!H18*'VIP Levels'!$E$14+'Affiliate Projection'!H19*IFERROR(SUMPRODUCT('VIP Levels'!$E$15:$E$18,Inputs!$B$35:$B$38)/SUM(Inputs!$B$35:$B$38),0),0)</f>
        <v>23</v>
      </c>
      <c r="I6" s="15">
        <f>ROUND('Affiliate Projection'!I18*'VIP Levels'!$E$14+'Affiliate Projection'!I19*IFERROR(SUMPRODUCT('VIP Levels'!$E$15:$E$18,Inputs!$B$35:$B$38)/SUM(Inputs!$B$35:$B$38),0),0)</f>
        <v>22</v>
      </c>
      <c r="J6" s="15">
        <f>ROUND('Affiliate Projection'!J18*'VIP Levels'!$E$14+'Affiliate Projection'!J19*IFERROR(SUMPRODUCT('VIP Levels'!$E$15:$E$18,Inputs!$B$35:$B$38)/SUM(Inputs!$B$35:$B$38),0),0)</f>
        <v>22</v>
      </c>
      <c r="K6" s="15">
        <f>ROUND('Affiliate Projection'!K18*'VIP Levels'!$E$14+'Affiliate Projection'!K19*IFERROR(SUMPRODUCT('VIP Levels'!$E$15:$E$18,Inputs!$B$35:$B$38)/SUM(Inputs!$B$35:$B$38),0),0)</f>
        <v>18</v>
      </c>
      <c r="L6" s="15">
        <f>ROUND('Affiliate Projection'!L18*'VIP Levels'!$E$14+'Affiliate Projection'!L19*IFERROR(SUMPRODUCT('VIP Levels'!$E$15:$E$18,Inputs!$B$35:$B$38)/SUM(Inputs!$B$35:$B$38),0),0)</f>
        <v>19</v>
      </c>
      <c r="M6" s="15">
        <f>ROUND('Affiliate Projection'!M18*'VIP Levels'!$E$14+'Affiliate Projection'!M19*IFERROR(SUMPRODUCT('VIP Levels'!$E$15:$E$18,Inputs!$B$35:$B$38)/SUM(Inputs!$B$35:$B$38),0),0)</f>
        <v>18</v>
      </c>
    </row>
    <row r="7" spans="1:14" x14ac:dyDescent="0.25">
      <c r="A7" s="16" t="s">
        <v>168</v>
      </c>
      <c r="B7" s="15">
        <f>ROUND('Affiliate Projection'!B18*'VIP Levels'!$G$14+'Affiliate Projection'!B19*IFERROR(SUMPRODUCT('VIP Levels'!$G$15:$G$18,Inputs!$B$35:$B$38)/SUM(Inputs!$B$35:$B$38),0),0)</f>
        <v>230</v>
      </c>
      <c r="C7" s="15">
        <f>ROUND('Affiliate Projection'!C18*'VIP Levels'!$G$14+'Affiliate Projection'!C19*IFERROR(SUMPRODUCT('VIP Levels'!$G$15:$G$18,Inputs!$B$35:$B$38)/SUM(Inputs!$B$35:$B$38),0),0)</f>
        <v>301</v>
      </c>
      <c r="D7" s="15">
        <f>ROUND('Affiliate Projection'!D18*'VIP Levels'!$G$14+'Affiliate Projection'!D19*IFERROR(SUMPRODUCT('VIP Levels'!$G$15:$G$18,Inputs!$B$35:$B$38)/SUM(Inputs!$B$35:$B$38),0),0)</f>
        <v>214</v>
      </c>
      <c r="E7" s="15">
        <f>ROUND('Affiliate Projection'!E18*'VIP Levels'!$G$14+'Affiliate Projection'!E19*IFERROR(SUMPRODUCT('VIP Levels'!$G$15:$G$18,Inputs!$B$35:$B$38)/SUM(Inputs!$B$35:$B$38),0),0)</f>
        <v>209</v>
      </c>
      <c r="F7" s="15">
        <f>ROUND('Affiliate Projection'!F18*'VIP Levels'!$G$14+'Affiliate Projection'!F19*IFERROR(SUMPRODUCT('VIP Levels'!$G$15:$G$18,Inputs!$B$35:$B$38)/SUM(Inputs!$B$35:$B$38),0),0)</f>
        <v>209</v>
      </c>
      <c r="G7" s="15">
        <f>ROUND('Affiliate Projection'!G18*'VIP Levels'!$G$14+'Affiliate Projection'!G19*IFERROR(SUMPRODUCT('VIP Levels'!$G$15:$G$18,Inputs!$B$35:$B$38)/SUM(Inputs!$B$35:$B$38),0),0)</f>
        <v>205</v>
      </c>
      <c r="H7" s="15">
        <f>ROUND('Affiliate Projection'!H18*'VIP Levels'!$G$14+'Affiliate Projection'!H19*IFERROR(SUMPRODUCT('VIP Levels'!$G$15:$G$18,Inputs!$B$35:$B$38)/SUM(Inputs!$B$35:$B$38),0),0)</f>
        <v>203</v>
      </c>
      <c r="I7" s="15">
        <f>ROUND('Affiliate Projection'!I18*'VIP Levels'!$G$14+'Affiliate Projection'!I19*IFERROR(SUMPRODUCT('VIP Levels'!$G$15:$G$18,Inputs!$B$35:$B$38)/SUM(Inputs!$B$35:$B$38),0),0)</f>
        <v>201</v>
      </c>
      <c r="J7" s="15">
        <f>ROUND('Affiliate Projection'!J18*'VIP Levels'!$G$14+'Affiliate Projection'!J19*IFERROR(SUMPRODUCT('VIP Levels'!$G$15:$G$18,Inputs!$B$35:$B$38)/SUM(Inputs!$B$35:$B$38),0),0)</f>
        <v>201</v>
      </c>
      <c r="K7" s="15">
        <f>ROUND('Affiliate Projection'!K18*'VIP Levels'!$G$14+'Affiliate Projection'!K19*IFERROR(SUMPRODUCT('VIP Levels'!$G$15:$G$18,Inputs!$B$35:$B$38)/SUM(Inputs!$B$35:$B$38),0),0)</f>
        <v>194</v>
      </c>
      <c r="L7" s="15">
        <f>ROUND('Affiliate Projection'!L18*'VIP Levels'!$G$14+'Affiliate Projection'!L19*IFERROR(SUMPRODUCT('VIP Levels'!$G$15:$G$18,Inputs!$B$35:$B$38)/SUM(Inputs!$B$35:$B$38),0),0)</f>
        <v>196</v>
      </c>
      <c r="M7" s="15">
        <f>ROUND('Affiliate Projection'!M18*'VIP Levels'!$G$14+'Affiliate Projection'!M19*IFERROR(SUMPRODUCT('VIP Levels'!$G$15:$G$18,Inputs!$B$35:$B$38)/SUM(Inputs!$B$35:$B$38),0),0)</f>
        <v>194</v>
      </c>
    </row>
    <row r="8" spans="1:14" x14ac:dyDescent="0.25">
      <c r="A8" s="16" t="s">
        <v>169</v>
      </c>
      <c r="B8" s="15">
        <f>ROUND('Affiliate Projection'!B18*'VIP Levels'!$I$14+'Affiliate Projection'!B19*IFERROR(SUMPRODUCT('VIP Levels'!$I$15:$I$18,Inputs!$B$35:$B$38)/SUM(Inputs!$B$35:$B$38),0),0)</f>
        <v>0</v>
      </c>
      <c r="C8" s="15">
        <f>ROUND('Affiliate Projection'!C18*'VIP Levels'!$I$14+'Affiliate Projection'!C19*IFERROR(SUMPRODUCT('VIP Levels'!$I$15:$I$18,Inputs!$B$35:$B$38)/SUM(Inputs!$B$35:$B$38),0),0)</f>
        <v>75</v>
      </c>
      <c r="D8" s="15">
        <f>ROUND('Affiliate Projection'!D18*'VIP Levels'!$I$14+'Affiliate Projection'!D19*IFERROR(SUMPRODUCT('VIP Levels'!$I$15:$I$18,Inputs!$B$35:$B$38)/SUM(Inputs!$B$35:$B$38),0),0)</f>
        <v>29</v>
      </c>
      <c r="E8" s="15">
        <f>ROUND('Affiliate Projection'!E18*'VIP Levels'!$I$14+'Affiliate Projection'!E19*IFERROR(SUMPRODUCT('VIP Levels'!$I$15:$I$18,Inputs!$B$35:$B$38)/SUM(Inputs!$B$35:$B$38),0),0)</f>
        <v>26</v>
      </c>
      <c r="F8" s="15">
        <f>ROUND('Affiliate Projection'!F18*'VIP Levels'!$I$14+'Affiliate Projection'!F19*IFERROR(SUMPRODUCT('VIP Levels'!$I$15:$I$18,Inputs!$B$35:$B$38)/SUM(Inputs!$B$35:$B$38),0),0)</f>
        <v>26</v>
      </c>
      <c r="G8" s="15">
        <f>ROUND('Affiliate Projection'!G18*'VIP Levels'!$I$14+'Affiliate Projection'!G19*IFERROR(SUMPRODUCT('VIP Levels'!$I$15:$I$18,Inputs!$B$35:$B$38)/SUM(Inputs!$B$35:$B$38),0),0)</f>
        <v>24</v>
      </c>
      <c r="H8" s="15">
        <f>ROUND('Affiliate Projection'!H18*'VIP Levels'!$I$14+'Affiliate Projection'!H19*IFERROR(SUMPRODUCT('VIP Levels'!$I$15:$I$18,Inputs!$B$35:$B$38)/SUM(Inputs!$B$35:$B$38),0),0)</f>
        <v>23</v>
      </c>
      <c r="I8" s="15">
        <f>ROUND('Affiliate Projection'!I18*'VIP Levels'!$I$14+'Affiliate Projection'!I19*IFERROR(SUMPRODUCT('VIP Levels'!$I$15:$I$18,Inputs!$B$35:$B$38)/SUM(Inputs!$B$35:$B$38),0),0)</f>
        <v>22</v>
      </c>
      <c r="J8" s="15">
        <f>ROUND('Affiliate Projection'!J18*'VIP Levels'!$I$14+'Affiliate Projection'!J19*IFERROR(SUMPRODUCT('VIP Levels'!$I$15:$I$18,Inputs!$B$35:$B$38)/SUM(Inputs!$B$35:$B$38),0),0)</f>
        <v>22</v>
      </c>
      <c r="K8" s="15">
        <f>ROUND('Affiliate Projection'!K18*'VIP Levels'!$I$14+'Affiliate Projection'!K19*IFERROR(SUMPRODUCT('VIP Levels'!$I$15:$I$18,Inputs!$B$35:$B$38)/SUM(Inputs!$B$35:$B$38),0),0)</f>
        <v>18</v>
      </c>
      <c r="L8" s="15">
        <f>ROUND('Affiliate Projection'!L18*'VIP Levels'!$I$14+'Affiliate Projection'!L19*IFERROR(SUMPRODUCT('VIP Levels'!$I$15:$I$18,Inputs!$B$35:$B$38)/SUM(Inputs!$B$35:$B$38),0),0)</f>
        <v>19</v>
      </c>
      <c r="M8" s="15">
        <f>ROUND('Affiliate Projection'!M18*'VIP Levels'!$I$14+'Affiliate Projection'!M19*IFERROR(SUMPRODUCT('VIP Levels'!$I$15:$I$18,Inputs!$B$35:$B$38)/SUM(Inputs!$B$35:$B$38),0),0)</f>
        <v>18</v>
      </c>
    </row>
    <row r="9" spans="1:14" x14ac:dyDescent="0.25">
      <c r="A9" s="16" t="s">
        <v>170</v>
      </c>
      <c r="B9" s="15">
        <f>ROUND('Affiliate Projection'!B18*'VIP Levels'!$K$14+'Affiliate Projection'!B19*IFERROR(SUMPRODUCT('VIP Levels'!$K$15:$K$18,Inputs!$B$35:$B$38)/SUM(Inputs!$B$35:$B$38),0),0)</f>
        <v>0</v>
      </c>
      <c r="C9" s="15">
        <f>ROUND('Affiliate Projection'!C18*'VIP Levels'!$K$14+'Affiliate Projection'!C19*IFERROR(SUMPRODUCT('VIP Levels'!$K$15:$K$18,Inputs!$B$35:$B$38)/SUM(Inputs!$B$35:$B$38),0),0)</f>
        <v>28</v>
      </c>
      <c r="D9" s="15">
        <f>ROUND('Affiliate Projection'!D18*'VIP Levels'!$K$14+'Affiliate Projection'!D19*IFERROR(SUMPRODUCT('VIP Levels'!$K$15:$K$18,Inputs!$B$35:$B$38)/SUM(Inputs!$B$35:$B$38),0),0)</f>
        <v>11</v>
      </c>
      <c r="E9" s="15">
        <f>ROUND('Affiliate Projection'!E18*'VIP Levels'!$K$14+'Affiliate Projection'!E19*IFERROR(SUMPRODUCT('VIP Levels'!$K$15:$K$18,Inputs!$B$35:$B$38)/SUM(Inputs!$B$35:$B$38),0),0)</f>
        <v>10</v>
      </c>
      <c r="F9" s="15">
        <f>ROUND('Affiliate Projection'!F18*'VIP Levels'!$K$14+'Affiliate Projection'!F19*IFERROR(SUMPRODUCT('VIP Levels'!$K$15:$K$18,Inputs!$B$35:$B$38)/SUM(Inputs!$B$35:$B$38),0),0)</f>
        <v>10</v>
      </c>
      <c r="G9" s="15">
        <f>ROUND('Affiliate Projection'!G18*'VIP Levels'!$K$14+'Affiliate Projection'!G19*IFERROR(SUMPRODUCT('VIP Levels'!$K$15:$K$18,Inputs!$B$35:$B$38)/SUM(Inputs!$B$35:$B$38),0),0)</f>
        <v>9</v>
      </c>
      <c r="H9" s="15">
        <f>ROUND('Affiliate Projection'!H18*'VIP Levels'!$K$14+'Affiliate Projection'!H19*IFERROR(SUMPRODUCT('VIP Levels'!$K$15:$K$18,Inputs!$B$35:$B$38)/SUM(Inputs!$B$35:$B$38),0),0)</f>
        <v>9</v>
      </c>
      <c r="I9" s="15">
        <f>ROUND('Affiliate Projection'!I18*'VIP Levels'!$K$14+'Affiliate Projection'!I19*IFERROR(SUMPRODUCT('VIP Levels'!$K$15:$K$18,Inputs!$B$35:$B$38)/SUM(Inputs!$B$35:$B$38),0),0)</f>
        <v>8</v>
      </c>
      <c r="J9" s="15">
        <f>ROUND('Affiliate Projection'!J18*'VIP Levels'!$K$14+'Affiliate Projection'!J19*IFERROR(SUMPRODUCT('VIP Levels'!$K$15:$K$18,Inputs!$B$35:$B$38)/SUM(Inputs!$B$35:$B$38),0),0)</f>
        <v>8</v>
      </c>
      <c r="K9" s="15">
        <f>ROUND('Affiliate Projection'!K18*'VIP Levels'!$K$14+'Affiliate Projection'!K19*IFERROR(SUMPRODUCT('VIP Levels'!$K$15:$K$18,Inputs!$B$35:$B$38)/SUM(Inputs!$B$35:$B$38),0),0)</f>
        <v>7</v>
      </c>
      <c r="L9" s="15">
        <f>ROUND('Affiliate Projection'!L18*'VIP Levels'!$K$14+'Affiliate Projection'!L19*IFERROR(SUMPRODUCT('VIP Levels'!$K$15:$K$18,Inputs!$B$35:$B$38)/SUM(Inputs!$B$35:$B$38),0),0)</f>
        <v>7</v>
      </c>
      <c r="M9" s="15">
        <f>ROUND('Affiliate Projection'!M18*'VIP Levels'!$K$14+'Affiliate Projection'!M19*IFERROR(SUMPRODUCT('VIP Levels'!$K$15:$K$18,Inputs!$B$35:$B$38)/SUM(Inputs!$B$35:$B$38),0),0)</f>
        <v>7</v>
      </c>
    </row>
    <row r="10" spans="1:14" x14ac:dyDescent="0.25">
      <c r="A10" s="16" t="s">
        <v>171</v>
      </c>
      <c r="B10" s="15">
        <f>ROUND('Affiliate Projection'!B18*'VIP Levels'!$M$14+'Affiliate Projection'!B19*IFERROR(SUMPRODUCT('VIP Levels'!$M$15:$M$18,Inputs!$B$35:$B$38)/SUM(Inputs!$B$35:$B$38),0),0)</f>
        <v>0</v>
      </c>
      <c r="C10" s="15">
        <f>ROUND('Affiliate Projection'!C18*'VIP Levels'!$M$14+'Affiliate Projection'!C19*IFERROR(SUMPRODUCT('VIP Levels'!$M$15:$M$18,Inputs!$B$35:$B$38)/SUM(Inputs!$B$35:$B$38),0),0)</f>
        <v>9</v>
      </c>
      <c r="D10" s="15">
        <f>ROUND('Affiliate Projection'!D18*'VIP Levels'!$M$14+'Affiliate Projection'!D19*IFERROR(SUMPRODUCT('VIP Levels'!$M$15:$M$18,Inputs!$B$35:$B$38)/SUM(Inputs!$B$35:$B$38),0),0)</f>
        <v>4</v>
      </c>
      <c r="E10" s="15">
        <f>ROUND('Affiliate Projection'!E18*'VIP Levels'!$M$14+'Affiliate Projection'!E19*IFERROR(SUMPRODUCT('VIP Levels'!$M$15:$M$18,Inputs!$B$35:$B$38)/SUM(Inputs!$B$35:$B$38),0),0)</f>
        <v>3</v>
      </c>
      <c r="F10" s="15">
        <f>ROUND('Affiliate Projection'!F18*'VIP Levels'!$M$14+'Affiliate Projection'!F19*IFERROR(SUMPRODUCT('VIP Levels'!$M$15:$M$18,Inputs!$B$35:$B$38)/SUM(Inputs!$B$35:$B$38),0),0)</f>
        <v>3</v>
      </c>
      <c r="G10" s="15">
        <f>ROUND('Affiliate Projection'!G18*'VIP Levels'!$M$14+'Affiliate Projection'!G19*IFERROR(SUMPRODUCT('VIP Levels'!$M$15:$M$18,Inputs!$B$35:$B$38)/SUM(Inputs!$B$35:$B$38),0),0)</f>
        <v>3</v>
      </c>
      <c r="H10" s="15">
        <f>ROUND('Affiliate Projection'!H18*'VIP Levels'!$M$14+'Affiliate Projection'!H19*IFERROR(SUMPRODUCT('VIP Levels'!$M$15:$M$18,Inputs!$B$35:$B$38)/SUM(Inputs!$B$35:$B$38),0),0)</f>
        <v>3</v>
      </c>
      <c r="I10" s="15">
        <f>ROUND('Affiliate Projection'!I18*'VIP Levels'!$M$14+'Affiliate Projection'!I19*IFERROR(SUMPRODUCT('VIP Levels'!$M$15:$M$18,Inputs!$B$35:$B$38)/SUM(Inputs!$B$35:$B$38),0),0)</f>
        <v>3</v>
      </c>
      <c r="J10" s="15">
        <f>ROUND('Affiliate Projection'!J18*'VIP Levels'!$M$14+'Affiliate Projection'!J19*IFERROR(SUMPRODUCT('VIP Levels'!$M$15:$M$18,Inputs!$B$35:$B$38)/SUM(Inputs!$B$35:$B$38),0),0)</f>
        <v>3</v>
      </c>
      <c r="K10" s="15">
        <f>ROUND('Affiliate Projection'!K18*'VIP Levels'!$M$14+'Affiliate Projection'!K19*IFERROR(SUMPRODUCT('VIP Levels'!$M$15:$M$18,Inputs!$B$35:$B$38)/SUM(Inputs!$B$35:$B$38),0),0)</f>
        <v>2</v>
      </c>
      <c r="L10" s="15">
        <f>ROUND('Affiliate Projection'!L18*'VIP Levels'!$M$14+'Affiliate Projection'!L19*IFERROR(SUMPRODUCT('VIP Levels'!$M$15:$M$18,Inputs!$B$35:$B$38)/SUM(Inputs!$B$35:$B$38),0),0)</f>
        <v>2</v>
      </c>
      <c r="M10" s="15">
        <f>ROUND('Affiliate Projection'!M18*'VIP Levels'!$M$14+'Affiliate Projection'!M19*IFERROR(SUMPRODUCT('VIP Levels'!$M$15:$M$18,Inputs!$B$35:$B$38)/SUM(Inputs!$B$35:$B$38),0),0)</f>
        <v>2</v>
      </c>
    </row>
    <row r="11" spans="1:14" x14ac:dyDescent="0.25">
      <c r="A11" s="16"/>
    </row>
    <row r="12" spans="1:14" ht="18.75" customHeight="1" x14ac:dyDescent="0.3">
      <c r="A12" s="1" t="s">
        <v>172</v>
      </c>
    </row>
    <row r="13" spans="1:14" x14ac:dyDescent="0.25">
      <c r="A13" s="16" t="s">
        <v>173</v>
      </c>
      <c r="B13" s="15">
        <f>ROUND('Affiliate Projection'!B12*Missions!$B$31*Missions!$C$31,0)</f>
        <v>196</v>
      </c>
      <c r="C13" s="15">
        <f>ROUND('Affiliate Projection'!C12*Missions!$B$31*Missions!$C$31,0)</f>
        <v>209</v>
      </c>
      <c r="D13" s="15">
        <f>ROUND('Affiliate Projection'!D12*Missions!$B$31*Missions!$C$31,0)</f>
        <v>287</v>
      </c>
      <c r="E13" s="15">
        <f>ROUND('Affiliate Projection'!E12*Missions!$B$31*Missions!$C$31,0)</f>
        <v>362</v>
      </c>
      <c r="F13" s="15">
        <f>ROUND('Affiliate Projection'!F12*Missions!$B$31*Missions!$C$31,0)</f>
        <v>432</v>
      </c>
      <c r="G13" s="15">
        <f>ROUND('Affiliate Projection'!G12*Missions!$B$31*Missions!$C$31,0)</f>
        <v>498</v>
      </c>
      <c r="H13" s="15">
        <f>ROUND('Affiliate Projection'!H12*Missions!$B$31*Missions!$C$31,0)</f>
        <v>561</v>
      </c>
      <c r="I13" s="15">
        <f>ROUND('Affiliate Projection'!I12*Missions!$B$31*Missions!$C$31,0)</f>
        <v>622</v>
      </c>
      <c r="J13" s="15">
        <f>ROUND('Affiliate Projection'!J12*Missions!$B$31*Missions!$C$31,0)</f>
        <v>680</v>
      </c>
      <c r="K13" s="15">
        <f>ROUND('Affiliate Projection'!K12*Missions!$B$31*Missions!$C$31,0)</f>
        <v>734</v>
      </c>
      <c r="L13" s="15">
        <f>ROUND('Affiliate Projection'!L12*Missions!$B$31*Missions!$C$31,0)</f>
        <v>785</v>
      </c>
      <c r="M13" s="15">
        <f>ROUND('Affiliate Projection'!M12*Missions!$B$31*Missions!$C$31,0)</f>
        <v>835</v>
      </c>
    </row>
    <row r="14" spans="1:14" x14ac:dyDescent="0.25">
      <c r="A14" s="16" t="s">
        <v>174</v>
      </c>
      <c r="B14" s="15">
        <f>ROUND('Affiliate Projection'!B13*Missions!$B$32*Missions!$C$32,0)</f>
        <v>0</v>
      </c>
      <c r="C14" s="15">
        <f>ROUND('Affiliate Projection'!C13*Missions!$B$32*Missions!$C$32,0)</f>
        <v>76</v>
      </c>
      <c r="D14" s="15">
        <f>ROUND('Affiliate Projection'!D13*Missions!$B$32*Missions!$C$32,0)</f>
        <v>104</v>
      </c>
      <c r="E14" s="15">
        <f>ROUND('Affiliate Projection'!E13*Missions!$B$32*Missions!$C$32,0)</f>
        <v>130</v>
      </c>
      <c r="F14" s="15">
        <f>ROUND('Affiliate Projection'!F13*Missions!$B$32*Missions!$C$32,0)</f>
        <v>156</v>
      </c>
      <c r="G14" s="15">
        <f>ROUND('Affiliate Projection'!G13*Missions!$B$32*Missions!$C$32,0)</f>
        <v>180</v>
      </c>
      <c r="H14" s="15">
        <f>ROUND('Affiliate Projection'!H13*Missions!$B$32*Missions!$C$32,0)</f>
        <v>204</v>
      </c>
      <c r="I14" s="15">
        <f>ROUND('Affiliate Projection'!I13*Missions!$B$32*Missions!$C$32,0)</f>
        <v>226</v>
      </c>
      <c r="J14" s="15">
        <f>ROUND('Affiliate Projection'!J13*Missions!$B$32*Missions!$C$32,0)</f>
        <v>246</v>
      </c>
      <c r="K14" s="15">
        <f>ROUND('Affiliate Projection'!K13*Missions!$B$32*Missions!$C$32,0)</f>
        <v>266</v>
      </c>
      <c r="L14" s="15">
        <f>ROUND('Affiliate Projection'!L13*Missions!$B$32*Missions!$C$32,0)</f>
        <v>284</v>
      </c>
      <c r="M14" s="15">
        <f>ROUND('Affiliate Projection'!M13*Missions!$B$32*Missions!$C$32,0)</f>
        <v>302</v>
      </c>
    </row>
    <row r="15" spans="1:14" x14ac:dyDescent="0.25">
      <c r="A15" s="16" t="s">
        <v>175</v>
      </c>
      <c r="B15" s="15">
        <f>ROUND('Affiliate Projection'!B14*Missions!$B$33*Missions!$C$33,0)</f>
        <v>0</v>
      </c>
      <c r="C15" s="15">
        <f>ROUND('Affiliate Projection'!C14*Missions!$B$33*Missions!$C$33,0)</f>
        <v>36</v>
      </c>
      <c r="D15" s="15">
        <f>ROUND('Affiliate Projection'!D14*Missions!$B$33*Missions!$C$33,0)</f>
        <v>49</v>
      </c>
      <c r="E15" s="15">
        <f>ROUND('Affiliate Projection'!E14*Missions!$B$33*Missions!$C$33,0)</f>
        <v>63</v>
      </c>
      <c r="F15" s="15">
        <f>ROUND('Affiliate Projection'!F14*Missions!$B$33*Missions!$C$33,0)</f>
        <v>74</v>
      </c>
      <c r="G15" s="15">
        <f>ROUND('Affiliate Projection'!G14*Missions!$B$33*Missions!$C$33,0)</f>
        <v>86</v>
      </c>
      <c r="H15" s="15">
        <f>ROUND('Affiliate Projection'!H14*Missions!$B$33*Missions!$C$33,0)</f>
        <v>97</v>
      </c>
      <c r="I15" s="15">
        <f>ROUND('Affiliate Projection'!I14*Missions!$B$33*Missions!$C$33,0)</f>
        <v>106</v>
      </c>
      <c r="J15" s="15">
        <f>ROUND('Affiliate Projection'!J14*Missions!$B$33*Missions!$C$33,0)</f>
        <v>118</v>
      </c>
      <c r="K15" s="15">
        <f>ROUND('Affiliate Projection'!K14*Missions!$B$33*Missions!$C$33,0)</f>
        <v>125</v>
      </c>
      <c r="L15" s="15">
        <f>ROUND('Affiliate Projection'!L14*Missions!$B$33*Missions!$C$33,0)</f>
        <v>135</v>
      </c>
      <c r="M15" s="15">
        <f>ROUND('Affiliate Projection'!M14*Missions!$B$33*Missions!$C$33,0)</f>
        <v>144</v>
      </c>
    </row>
    <row r="16" spans="1:14" x14ac:dyDescent="0.25">
      <c r="A16" s="16" t="s">
        <v>176</v>
      </c>
      <c r="B16" s="15">
        <f>ROUND('Affiliate Projection'!B15*Missions!$B$34*Missions!$C$34,0)</f>
        <v>0</v>
      </c>
      <c r="C16" s="15">
        <f>ROUND('Affiliate Projection'!C15*Missions!$B$34*Missions!$C$34,0)</f>
        <v>14</v>
      </c>
      <c r="D16" s="15">
        <f>ROUND('Affiliate Projection'!D15*Missions!$B$34*Missions!$C$34,0)</f>
        <v>21</v>
      </c>
      <c r="E16" s="15">
        <f>ROUND('Affiliate Projection'!E15*Missions!$B$34*Missions!$C$34,0)</f>
        <v>26</v>
      </c>
      <c r="F16" s="15">
        <f>ROUND('Affiliate Projection'!F15*Missions!$B$34*Missions!$C$34,0)</f>
        <v>32</v>
      </c>
      <c r="G16" s="15">
        <f>ROUND('Affiliate Projection'!G15*Missions!$B$34*Missions!$C$34,0)</f>
        <v>37</v>
      </c>
      <c r="H16" s="15">
        <f>ROUND('Affiliate Projection'!H15*Missions!$B$34*Missions!$C$34,0)</f>
        <v>40</v>
      </c>
      <c r="I16" s="15">
        <f>ROUND('Affiliate Projection'!I15*Missions!$B$34*Missions!$C$34,0)</f>
        <v>45</v>
      </c>
      <c r="J16" s="15">
        <f>ROUND('Affiliate Projection'!J15*Missions!$B$34*Missions!$C$34,0)</f>
        <v>50</v>
      </c>
      <c r="K16" s="15">
        <f>ROUND('Affiliate Projection'!K15*Missions!$B$34*Missions!$C$34,0)</f>
        <v>53</v>
      </c>
      <c r="L16" s="15">
        <f>ROUND('Affiliate Projection'!L15*Missions!$B$34*Missions!$C$34,0)</f>
        <v>58</v>
      </c>
      <c r="M16" s="15">
        <f>ROUND('Affiliate Projection'!M15*Missions!$B$34*Missions!$C$34,0)</f>
        <v>61</v>
      </c>
    </row>
    <row r="17" spans="1:13" x14ac:dyDescent="0.25">
      <c r="A17" s="16" t="s">
        <v>177</v>
      </c>
      <c r="B17" s="15">
        <f>ROUND('Affiliate Projection'!B16*Missions!$B$35*Missions!$C$35,0)</f>
        <v>0</v>
      </c>
      <c r="C17" s="15">
        <f>ROUND('Affiliate Projection'!C16*Missions!$B$35*Missions!$C$35,0)</f>
        <v>0</v>
      </c>
      <c r="D17" s="15">
        <f>ROUND('Affiliate Projection'!D16*Missions!$B$35*Missions!$C$35,0)</f>
        <v>0</v>
      </c>
      <c r="E17" s="15">
        <f>ROUND('Affiliate Projection'!E16*Missions!$B$35*Missions!$C$35,0)</f>
        <v>0</v>
      </c>
      <c r="F17" s="15">
        <f>ROUND('Affiliate Projection'!F16*Missions!$B$35*Missions!$C$35,0)</f>
        <v>0</v>
      </c>
      <c r="G17" s="15">
        <f>ROUND('Affiliate Projection'!G16*Missions!$B$35*Missions!$C$35,0)</f>
        <v>0</v>
      </c>
      <c r="H17" s="15">
        <f>ROUND('Affiliate Projection'!H16*Missions!$B$35*Missions!$C$35,0)</f>
        <v>0</v>
      </c>
      <c r="I17" s="15">
        <f>ROUND('Affiliate Projection'!I16*Missions!$B$35*Missions!$C$35,0)</f>
        <v>0</v>
      </c>
      <c r="J17" s="15">
        <f>ROUND('Affiliate Projection'!J16*Missions!$B$35*Missions!$C$35,0)</f>
        <v>0</v>
      </c>
      <c r="K17" s="15">
        <f>ROUND('Affiliate Projection'!K16*Missions!$B$35*Missions!$C$35,0)</f>
        <v>0</v>
      </c>
      <c r="L17" s="15">
        <f>ROUND('Affiliate Projection'!L16*Missions!$B$35*Missions!$C$35,0)</f>
        <v>0</v>
      </c>
      <c r="M17" s="15">
        <f>ROUND('Affiliate Projection'!M16*Missions!$B$35*Missions!$C$35,0)</f>
        <v>0</v>
      </c>
    </row>
    <row r="18" spans="1:13" x14ac:dyDescent="0.25">
      <c r="A18" s="16" t="s">
        <v>178</v>
      </c>
      <c r="B18" s="15">
        <f t="shared" ref="B18:M18" si="0">SUM(B13:B17)</f>
        <v>196</v>
      </c>
      <c r="C18" s="15">
        <f t="shared" si="0"/>
        <v>335</v>
      </c>
      <c r="D18" s="15">
        <f t="shared" si="0"/>
        <v>461</v>
      </c>
      <c r="E18" s="15">
        <f t="shared" si="0"/>
        <v>581</v>
      </c>
      <c r="F18" s="15">
        <f t="shared" si="0"/>
        <v>694</v>
      </c>
      <c r="G18" s="15">
        <f t="shared" si="0"/>
        <v>801</v>
      </c>
      <c r="H18" s="15">
        <f t="shared" si="0"/>
        <v>902</v>
      </c>
      <c r="I18" s="15">
        <f t="shared" si="0"/>
        <v>999</v>
      </c>
      <c r="J18" s="15">
        <f t="shared" si="0"/>
        <v>1094</v>
      </c>
      <c r="K18" s="15">
        <f t="shared" si="0"/>
        <v>1178</v>
      </c>
      <c r="L18" s="15">
        <f t="shared" si="0"/>
        <v>1262</v>
      </c>
      <c r="M18" s="15">
        <f t="shared" si="0"/>
        <v>1342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"/>
  <sheetViews>
    <sheetView workbookViewId="0">
      <selection activeCell="G12" sqref="G12"/>
    </sheetView>
  </sheetViews>
  <sheetFormatPr defaultRowHeight="15" x14ac:dyDescent="0.25"/>
  <cols>
    <col min="1" max="1" width="35" customWidth="1"/>
    <col min="2" max="13" width="12" customWidth="1"/>
  </cols>
  <sheetData>
    <row r="1" spans="1:14" ht="21" customHeight="1" x14ac:dyDescent="0.35">
      <c r="A1" s="27" t="s">
        <v>179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ht="15.75" customHeight="1" x14ac:dyDescent="0.25">
      <c r="A3" s="2" t="s">
        <v>132</v>
      </c>
      <c r="B3" s="2" t="s">
        <v>133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 t="s">
        <v>140</v>
      </c>
      <c r="J3" s="2" t="s">
        <v>141</v>
      </c>
      <c r="K3" s="2" t="s">
        <v>142</v>
      </c>
      <c r="L3" s="2" t="s">
        <v>143</v>
      </c>
      <c r="M3" s="2" t="s">
        <v>144</v>
      </c>
    </row>
    <row r="4" spans="1:14" x14ac:dyDescent="0.25">
      <c r="A4" s="16" t="s">
        <v>180</v>
      </c>
      <c r="B4" s="15">
        <f>'Affiliate Projection'!B10</f>
        <v>230</v>
      </c>
      <c r="C4" s="15">
        <f>'Affiliate Projection'!C10</f>
        <v>927</v>
      </c>
      <c r="D4" s="15">
        <f>'Affiliate Projection'!D10</f>
        <v>1287</v>
      </c>
      <c r="E4" s="15">
        <f>'Affiliate Projection'!E10</f>
        <v>1612</v>
      </c>
      <c r="F4" s="15">
        <f>'Affiliate Projection'!F10</f>
        <v>1944</v>
      </c>
      <c r="G4" s="15">
        <f>'Affiliate Projection'!G10</f>
        <v>2241</v>
      </c>
      <c r="H4" s="15">
        <f>'Affiliate Projection'!H10</f>
        <v>2509</v>
      </c>
      <c r="I4" s="15">
        <f>'Affiliate Projection'!I10</f>
        <v>2782</v>
      </c>
      <c r="J4" s="15">
        <f>'Affiliate Projection'!J10</f>
        <v>3057</v>
      </c>
      <c r="K4" s="15">
        <f>'Affiliate Projection'!K10</f>
        <v>3279</v>
      </c>
      <c r="L4" s="15">
        <f>'Affiliate Projection'!L10</f>
        <v>3528</v>
      </c>
      <c r="M4" s="15">
        <f>'Affiliate Projection'!M10</f>
        <v>3750</v>
      </c>
    </row>
    <row r="5" spans="1:14" x14ac:dyDescent="0.25">
      <c r="A5" s="16" t="s">
        <v>37</v>
      </c>
      <c r="B5" s="14">
        <f>Inputs!$B$15</f>
        <v>100</v>
      </c>
      <c r="C5" s="14">
        <f>Inputs!$B$15</f>
        <v>100</v>
      </c>
      <c r="D5" s="14">
        <f>Inputs!$B$15</f>
        <v>100</v>
      </c>
      <c r="E5" s="14">
        <f>Inputs!$B$15</f>
        <v>100</v>
      </c>
      <c r="F5" s="14">
        <f>Inputs!$B$15</f>
        <v>100</v>
      </c>
      <c r="G5" s="14">
        <f>Inputs!$B$15</f>
        <v>100</v>
      </c>
      <c r="H5" s="14">
        <f>Inputs!$B$15</f>
        <v>100</v>
      </c>
      <c r="I5" s="14">
        <f>Inputs!$B$15</f>
        <v>100</v>
      </c>
      <c r="J5" s="14">
        <f>Inputs!$B$15</f>
        <v>100</v>
      </c>
      <c r="K5" s="14">
        <f>Inputs!$B$15</f>
        <v>100</v>
      </c>
      <c r="L5" s="14">
        <f>Inputs!$B$15</f>
        <v>100</v>
      </c>
      <c r="M5" s="14">
        <f>Inputs!$B$15</f>
        <v>100</v>
      </c>
    </row>
    <row r="6" spans="1:14" x14ac:dyDescent="0.25">
      <c r="A6" s="16" t="s">
        <v>181</v>
      </c>
      <c r="B6" s="17">
        <f t="shared" ref="B6:M6" si="0">B4*B5</f>
        <v>23000</v>
      </c>
      <c r="C6" s="17">
        <f t="shared" si="0"/>
        <v>92700</v>
      </c>
      <c r="D6" s="17">
        <f t="shared" si="0"/>
        <v>128700</v>
      </c>
      <c r="E6" s="17">
        <f t="shared" si="0"/>
        <v>161200</v>
      </c>
      <c r="F6" s="17">
        <f t="shared" si="0"/>
        <v>194400</v>
      </c>
      <c r="G6" s="17">
        <f t="shared" si="0"/>
        <v>224100</v>
      </c>
      <c r="H6" s="17">
        <f t="shared" si="0"/>
        <v>250900</v>
      </c>
      <c r="I6" s="17">
        <f t="shared" si="0"/>
        <v>278200</v>
      </c>
      <c r="J6" s="17">
        <f t="shared" si="0"/>
        <v>305700</v>
      </c>
      <c r="K6" s="17">
        <f t="shared" si="0"/>
        <v>327900</v>
      </c>
      <c r="L6" s="17">
        <f t="shared" si="0"/>
        <v>352800</v>
      </c>
      <c r="M6" s="17">
        <f t="shared" si="0"/>
        <v>375000</v>
      </c>
    </row>
    <row r="7" spans="1:14" x14ac:dyDescent="0.25">
      <c r="A7" s="16" t="s">
        <v>182</v>
      </c>
      <c r="B7" s="9">
        <f>SUMPRODUCT('VIP Levels'!$H$14:$H$18,Inputs!$B$34:$B$38)</f>
        <v>0.16000000000000003</v>
      </c>
      <c r="C7" s="9">
        <f>SUMPRODUCT('VIP Levels'!$H$14:$H$18,Inputs!$B$34:$B$38)</f>
        <v>0.16000000000000003</v>
      </c>
      <c r="D7" s="9">
        <f>SUMPRODUCT('VIP Levels'!$H$14:$H$18,Inputs!$B$34:$B$38)</f>
        <v>0.16000000000000003</v>
      </c>
      <c r="E7" s="9">
        <f>SUMPRODUCT('VIP Levels'!$H$14:$H$18,Inputs!$B$34:$B$38)</f>
        <v>0.16000000000000003</v>
      </c>
      <c r="F7" s="9">
        <f>SUMPRODUCT('VIP Levels'!$H$14:$H$18,Inputs!$B$34:$B$38)</f>
        <v>0.16000000000000003</v>
      </c>
      <c r="G7" s="9">
        <f>SUMPRODUCT('VIP Levels'!$H$14:$H$18,Inputs!$B$34:$B$38)</f>
        <v>0.16000000000000003</v>
      </c>
      <c r="H7" s="9">
        <f>SUMPRODUCT('VIP Levels'!$H$14:$H$18,Inputs!$B$34:$B$38)</f>
        <v>0.16000000000000003</v>
      </c>
      <c r="I7" s="9">
        <f>SUMPRODUCT('VIP Levels'!$H$14:$H$18,Inputs!$B$34:$B$38)</f>
        <v>0.16000000000000003</v>
      </c>
      <c r="J7" s="9">
        <f>SUMPRODUCT('VIP Levels'!$H$14:$H$18,Inputs!$B$34:$B$38)</f>
        <v>0.16000000000000003</v>
      </c>
      <c r="K7" s="9">
        <f>SUMPRODUCT('VIP Levels'!$H$14:$H$18,Inputs!$B$34:$B$38)</f>
        <v>0.16000000000000003</v>
      </c>
      <c r="L7" s="9">
        <f>SUMPRODUCT('VIP Levels'!$H$14:$H$18,Inputs!$B$34:$B$38)</f>
        <v>0.16000000000000003</v>
      </c>
      <c r="M7" s="9">
        <f>SUMPRODUCT('VIP Levels'!$H$14:$H$18,Inputs!$B$34:$B$38)</f>
        <v>0.16000000000000003</v>
      </c>
    </row>
    <row r="8" spans="1:14" x14ac:dyDescent="0.25">
      <c r="A8" s="16" t="s">
        <v>44</v>
      </c>
      <c r="B8" s="9">
        <f>Inputs!$B$21</f>
        <v>0.3</v>
      </c>
      <c r="C8" s="9">
        <f>Inputs!$B$21</f>
        <v>0.3</v>
      </c>
      <c r="D8" s="9">
        <f>Inputs!$B$21</f>
        <v>0.3</v>
      </c>
      <c r="E8" s="9">
        <f>Inputs!$B$21</f>
        <v>0.3</v>
      </c>
      <c r="F8" s="9">
        <f>Inputs!$B$21</f>
        <v>0.3</v>
      </c>
      <c r="G8" s="9">
        <f>Inputs!$B$21</f>
        <v>0.3</v>
      </c>
      <c r="H8" s="9">
        <f>Inputs!$B$21</f>
        <v>0.3</v>
      </c>
      <c r="I8" s="9">
        <f>Inputs!$B$21</f>
        <v>0.3</v>
      </c>
      <c r="J8" s="9">
        <f>Inputs!$B$21</f>
        <v>0.3</v>
      </c>
      <c r="K8" s="9">
        <f>Inputs!$B$21</f>
        <v>0.3</v>
      </c>
      <c r="L8" s="9">
        <f>Inputs!$B$21</f>
        <v>0.3</v>
      </c>
      <c r="M8" s="9">
        <f>Inputs!$B$21</f>
        <v>0.3</v>
      </c>
    </row>
    <row r="9" spans="1:14" x14ac:dyDescent="0.25">
      <c r="A9" s="16" t="s">
        <v>183</v>
      </c>
      <c r="B9" s="15">
        <f t="shared" ref="B9:M9" si="1">ROUND(B4*B8,0)</f>
        <v>69</v>
      </c>
      <c r="C9" s="15">
        <f t="shared" si="1"/>
        <v>278</v>
      </c>
      <c r="D9" s="15">
        <f t="shared" si="1"/>
        <v>386</v>
      </c>
      <c r="E9" s="15">
        <f t="shared" si="1"/>
        <v>484</v>
      </c>
      <c r="F9" s="15">
        <f t="shared" si="1"/>
        <v>583</v>
      </c>
      <c r="G9" s="15">
        <f t="shared" si="1"/>
        <v>672</v>
      </c>
      <c r="H9" s="15">
        <f t="shared" si="1"/>
        <v>753</v>
      </c>
      <c r="I9" s="15">
        <f t="shared" si="1"/>
        <v>835</v>
      </c>
      <c r="J9" s="15">
        <f t="shared" si="1"/>
        <v>917</v>
      </c>
      <c r="K9" s="15">
        <f t="shared" si="1"/>
        <v>984</v>
      </c>
      <c r="L9" s="15">
        <f t="shared" si="1"/>
        <v>1058</v>
      </c>
      <c r="M9" s="15">
        <f t="shared" si="1"/>
        <v>1125</v>
      </c>
    </row>
    <row r="10" spans="1:14" x14ac:dyDescent="0.25">
      <c r="A10" s="16" t="s">
        <v>184</v>
      </c>
      <c r="B10" s="14">
        <f t="shared" ref="B10:M10" si="2">B5*(1-B7*B8)</f>
        <v>95.199999999999989</v>
      </c>
      <c r="C10" s="14">
        <f t="shared" si="2"/>
        <v>95.199999999999989</v>
      </c>
      <c r="D10" s="14">
        <f t="shared" si="2"/>
        <v>95.199999999999989</v>
      </c>
      <c r="E10" s="14">
        <f t="shared" si="2"/>
        <v>95.199999999999989</v>
      </c>
      <c r="F10" s="14">
        <f t="shared" si="2"/>
        <v>95.199999999999989</v>
      </c>
      <c r="G10" s="14">
        <f t="shared" si="2"/>
        <v>95.199999999999989</v>
      </c>
      <c r="H10" s="14">
        <f t="shared" si="2"/>
        <v>95.199999999999989</v>
      </c>
      <c r="I10" s="14">
        <f t="shared" si="2"/>
        <v>95.199999999999989</v>
      </c>
      <c r="J10" s="14">
        <f t="shared" si="2"/>
        <v>95.199999999999989</v>
      </c>
      <c r="K10" s="14">
        <f t="shared" si="2"/>
        <v>95.199999999999989</v>
      </c>
      <c r="L10" s="14">
        <f t="shared" si="2"/>
        <v>95.199999999999989</v>
      </c>
      <c r="M10" s="14">
        <f t="shared" si="2"/>
        <v>95.199999999999989</v>
      </c>
    </row>
    <row r="11" spans="1:14" x14ac:dyDescent="0.25">
      <c r="A11" s="16" t="s">
        <v>185</v>
      </c>
      <c r="B11" s="17">
        <f t="shared" ref="B11:M11" si="3">B4*B10</f>
        <v>21895.999999999996</v>
      </c>
      <c r="C11" s="17">
        <f t="shared" si="3"/>
        <v>88250.4</v>
      </c>
      <c r="D11" s="17">
        <f t="shared" si="3"/>
        <v>122522.39999999998</v>
      </c>
      <c r="E11" s="17">
        <f t="shared" si="3"/>
        <v>153462.39999999999</v>
      </c>
      <c r="F11" s="17">
        <f t="shared" si="3"/>
        <v>185068.79999999999</v>
      </c>
      <c r="G11" s="17">
        <f t="shared" si="3"/>
        <v>213343.19999999998</v>
      </c>
      <c r="H11" s="17">
        <f t="shared" si="3"/>
        <v>238856.79999999996</v>
      </c>
      <c r="I11" s="17">
        <f t="shared" si="3"/>
        <v>264846.39999999997</v>
      </c>
      <c r="J11" s="17">
        <f t="shared" si="3"/>
        <v>291026.39999999997</v>
      </c>
      <c r="K11" s="17">
        <f t="shared" si="3"/>
        <v>312160.8</v>
      </c>
      <c r="L11" s="17">
        <f t="shared" si="3"/>
        <v>335865.59999999998</v>
      </c>
      <c r="M11" s="17">
        <f t="shared" si="3"/>
        <v>356999.99999999994</v>
      </c>
    </row>
    <row r="12" spans="1:14" x14ac:dyDescent="0.25">
      <c r="A12" s="16" t="s">
        <v>186</v>
      </c>
      <c r="B12" s="17">
        <f t="shared" ref="B12:M12" si="4">B6-B11</f>
        <v>1104.0000000000036</v>
      </c>
      <c r="C12" s="17">
        <f t="shared" si="4"/>
        <v>4449.6000000000058</v>
      </c>
      <c r="D12" s="17">
        <f t="shared" si="4"/>
        <v>6177.6000000000204</v>
      </c>
      <c r="E12" s="17">
        <f t="shared" si="4"/>
        <v>7737.6000000000058</v>
      </c>
      <c r="F12" s="17">
        <f t="shared" si="4"/>
        <v>9331.2000000000116</v>
      </c>
      <c r="G12" s="17">
        <f t="shared" si="4"/>
        <v>10756.800000000017</v>
      </c>
      <c r="H12" s="17">
        <f t="shared" si="4"/>
        <v>12043.200000000041</v>
      </c>
      <c r="I12" s="17">
        <f t="shared" si="4"/>
        <v>13353.600000000035</v>
      </c>
      <c r="J12" s="17">
        <f t="shared" si="4"/>
        <v>14673.600000000035</v>
      </c>
      <c r="K12" s="17">
        <f t="shared" si="4"/>
        <v>15739.200000000012</v>
      </c>
      <c r="L12" s="17">
        <f t="shared" si="4"/>
        <v>16934.400000000023</v>
      </c>
      <c r="M12" s="17">
        <f t="shared" si="4"/>
        <v>18000.000000000058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"/>
  <sheetViews>
    <sheetView workbookViewId="0">
      <selection activeCell="M7" sqref="M7"/>
    </sheetView>
  </sheetViews>
  <sheetFormatPr defaultRowHeight="15" x14ac:dyDescent="0.25"/>
  <cols>
    <col min="1" max="1" width="35" customWidth="1"/>
    <col min="2" max="13" width="12" customWidth="1"/>
  </cols>
  <sheetData>
    <row r="1" spans="1:14" ht="21" customHeight="1" x14ac:dyDescent="0.35">
      <c r="A1" s="27" t="s">
        <v>187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3" spans="1:14" ht="15.75" customHeight="1" x14ac:dyDescent="0.25">
      <c r="A3" s="2" t="s">
        <v>132</v>
      </c>
      <c r="B3" s="2" t="s">
        <v>133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 t="s">
        <v>140</v>
      </c>
      <c r="J3" s="2" t="s">
        <v>141</v>
      </c>
      <c r="K3" s="2" t="s">
        <v>142</v>
      </c>
      <c r="L3" s="2" t="s">
        <v>143</v>
      </c>
      <c r="M3" s="2" t="s">
        <v>144</v>
      </c>
    </row>
    <row r="4" spans="1:14" ht="18.75" customHeight="1" x14ac:dyDescent="0.3">
      <c r="A4" s="1" t="s">
        <v>188</v>
      </c>
    </row>
    <row r="5" spans="1:14" x14ac:dyDescent="0.25">
      <c r="A5" s="16" t="s">
        <v>189</v>
      </c>
      <c r="B5" s="17">
        <f>'Affiliate Projection'!B10*SUMPRODUCT('VIP Levels'!$D$5:$D$9,Inputs!$B$34:$B$38)*Revenue!B10</f>
        <v>2583.7279999999996</v>
      </c>
      <c r="C5" s="17">
        <f>'Affiliate Projection'!C10*SUMPRODUCT('VIP Levels'!$D$5:$D$9,Inputs!$B$34:$B$38)*Revenue!C10</f>
        <v>10413.547199999999</v>
      </c>
      <c r="D5" s="17">
        <f>'Affiliate Projection'!D10*SUMPRODUCT('VIP Levels'!$D$5:$D$9,Inputs!$B$34:$B$38)*Revenue!D10</f>
        <v>14457.643199999997</v>
      </c>
      <c r="E5" s="17">
        <f>'Affiliate Projection'!E10*SUMPRODUCT('VIP Levels'!$D$5:$D$9,Inputs!$B$34:$B$38)*Revenue!E10</f>
        <v>18108.563199999997</v>
      </c>
      <c r="F5" s="17">
        <f>'Affiliate Projection'!F10*SUMPRODUCT('VIP Levels'!$D$5:$D$9,Inputs!$B$34:$B$38)*Revenue!F10</f>
        <v>21838.118399999996</v>
      </c>
      <c r="G5" s="17">
        <f>'Affiliate Projection'!G10*SUMPRODUCT('VIP Levels'!$D$5:$D$9,Inputs!$B$34:$B$38)*Revenue!G10</f>
        <v>25174.497599999995</v>
      </c>
      <c r="H5" s="17">
        <f>'Affiliate Projection'!H10*SUMPRODUCT('VIP Levels'!$D$5:$D$9,Inputs!$B$34:$B$38)*Revenue!H10</f>
        <v>28185.102399999996</v>
      </c>
      <c r="I5" s="17">
        <f>'Affiliate Projection'!I10*SUMPRODUCT('VIP Levels'!$D$5:$D$9,Inputs!$B$34:$B$38)*Revenue!I10</f>
        <v>31251.875199999999</v>
      </c>
      <c r="J5" s="17">
        <f>'Affiliate Projection'!J10*SUMPRODUCT('VIP Levels'!$D$5:$D$9,Inputs!$B$34:$B$38)*Revenue!J10</f>
        <v>34341.115199999993</v>
      </c>
      <c r="K5" s="17">
        <f>'Affiliate Projection'!K10*SUMPRODUCT('VIP Levels'!$D$5:$D$9,Inputs!$B$34:$B$38)*Revenue!K10</f>
        <v>36834.974399999992</v>
      </c>
      <c r="L5" s="17">
        <f>'Affiliate Projection'!L10*SUMPRODUCT('VIP Levels'!$D$5:$D$9,Inputs!$B$34:$B$38)*Revenue!L10</f>
        <v>39632.140799999994</v>
      </c>
      <c r="M5" s="17">
        <f>'Affiliate Projection'!M10*SUMPRODUCT('VIP Levels'!$D$5:$D$9,Inputs!$B$34:$B$38)*Revenue!M10</f>
        <v>42125.999999999993</v>
      </c>
    </row>
    <row r="6" spans="1:14" x14ac:dyDescent="0.25">
      <c r="A6" s="16" t="s">
        <v>190</v>
      </c>
      <c r="B6" s="17">
        <f>'Reward Triggers'!B5*SUMPRODUCT('VIP Levels'!$E$5:$E$9,Inputs!$B$34:$B$38)*'VIP Levels'!$B$22*Revenue!B10</f>
        <v>6909.5564999999988</v>
      </c>
      <c r="C6" s="17">
        <f>'Reward Triggers'!C5*SUMPRODUCT('VIP Levels'!$E$5:$E$9,Inputs!$B$34:$B$38)*'VIP Levels'!$B$22*Revenue!C10</f>
        <v>11596.038299999998</v>
      </c>
      <c r="D6" s="17">
        <f>'Reward Triggers'!D5*SUMPRODUCT('VIP Levels'!$E$5:$E$9,Inputs!$B$34:$B$38)*'VIP Levels'!$B$22*Revenue!D10</f>
        <v>7390.2212999999992</v>
      </c>
      <c r="E6" s="17">
        <f>'Reward Triggers'!E5*SUMPRODUCT('VIP Levels'!$E$5:$E$9,Inputs!$B$34:$B$38)*'VIP Levels'!$B$22*Revenue!E10</f>
        <v>7149.8889000000008</v>
      </c>
      <c r="F6" s="17">
        <f>'Reward Triggers'!F5*SUMPRODUCT('VIP Levels'!$E$5:$E$9,Inputs!$B$34:$B$38)*'VIP Levels'!$B$22*Revenue!F10</f>
        <v>7149.8889000000008</v>
      </c>
      <c r="G6" s="17">
        <f>'Reward Triggers'!G5*SUMPRODUCT('VIP Levels'!$E$5:$E$9,Inputs!$B$34:$B$38)*'VIP Levels'!$B$22*Revenue!G10</f>
        <v>6969.6396000000004</v>
      </c>
      <c r="H6" s="17">
        <f>'Reward Triggers'!H5*SUMPRODUCT('VIP Levels'!$E$5:$E$9,Inputs!$B$34:$B$38)*'VIP Levels'!$B$22*Revenue!H10</f>
        <v>6849.4734000000008</v>
      </c>
      <c r="I6" s="17">
        <f>'Reward Triggers'!I5*SUMPRODUCT('VIP Levels'!$E$5:$E$9,Inputs!$B$34:$B$38)*'VIP Levels'!$B$22*Revenue!I10</f>
        <v>6789.3903</v>
      </c>
      <c r="J6" s="17">
        <f>'Reward Triggers'!J5*SUMPRODUCT('VIP Levels'!$E$5:$E$9,Inputs!$B$34:$B$38)*'VIP Levels'!$B$22*Revenue!J10</f>
        <v>6789.3903</v>
      </c>
      <c r="K6" s="17">
        <f>'Reward Triggers'!K5*SUMPRODUCT('VIP Levels'!$E$5:$E$9,Inputs!$B$34:$B$38)*'VIP Levels'!$B$22*Revenue!K10</f>
        <v>6428.8916999999983</v>
      </c>
      <c r="L6" s="17">
        <f>'Reward Triggers'!L5*SUMPRODUCT('VIP Levels'!$E$5:$E$9,Inputs!$B$34:$B$38)*'VIP Levels'!$B$22*Revenue!L10</f>
        <v>6549.0579000000007</v>
      </c>
      <c r="M6" s="17">
        <f>'Reward Triggers'!M5*SUMPRODUCT('VIP Levels'!$E$5:$E$9,Inputs!$B$34:$B$38)*'VIP Levels'!$B$22*Revenue!M10</f>
        <v>6428.8916999999983</v>
      </c>
    </row>
    <row r="7" spans="1:14" x14ac:dyDescent="0.25">
      <c r="A7" s="16" t="s">
        <v>191</v>
      </c>
      <c r="B7" s="17">
        <f>SUMPRODUCT((Missions!$F$6:$F$26="Commission Boost")*(Missions!$A$6:$A$26="Bronze")*'Affiliate Projection'!B12*Missions!$E$6:$E$26*Missions!$J$6:$J$26)+SUMPRODUCT((Missions!$F$6:$F$26="Commission Boost")*(Missions!$A$6:$A$26="Silver")*'Affiliate Projection'!B13*Missions!$E$6:$E$26*Missions!$J$6:$J$26)+SUMPRODUCT((Missions!$F$6:$F$26="Commission Boost")*(Missions!$A$6:$A$26="Gold")*'Affiliate Projection'!B14*Missions!$E$6:$E$26*Missions!$J$6:$J$26)+SUMPRODUCT((Missions!$F$6:$F$26="Commission Boost")*(Missions!$A$6:$A$26="Platinum")*'Affiliate Projection'!B15*Missions!$E$6:$E$26*Missions!$J$6:$J$26)+SUMPRODUCT((Missions!$F$6:$F$26="Commission Boost")*(Missions!$A$6:$A$26="Diamond")*'Affiliate Projection'!B16*Missions!$E$6:$E$26*Missions!$J$6:$J$26)</f>
        <v>0</v>
      </c>
      <c r="C7" s="17">
        <f>SUMPRODUCT((Missions!$F$6:$F$26="Commission Boost")*(Missions!$A$6:$A$26="Bronze")*'Affiliate Projection'!C12*Missions!$E$6:$E$26*Missions!$J$6:$J$26)+SUMPRODUCT((Missions!$F$6:$F$26="Commission Boost")*(Missions!$A$6:$A$26="Silver")*'Affiliate Projection'!C13*Missions!$E$6:$E$26*Missions!$J$6:$J$26)+SUMPRODUCT((Missions!$F$6:$F$26="Commission Boost")*(Missions!$A$6:$A$26="Gold")*'Affiliate Projection'!C14*Missions!$E$6:$E$26*Missions!$J$6:$J$26)+SUMPRODUCT((Missions!$F$6:$F$26="Commission Boost")*(Missions!$A$6:$A$26="Platinum")*'Affiliate Projection'!C15*Missions!$E$6:$E$26*Missions!$J$6:$J$26)+SUMPRODUCT((Missions!$F$6:$F$26="Commission Boost")*(Missions!$A$6:$A$26="Diamond")*'Affiliate Projection'!C16*Missions!$E$6:$E$26*Missions!$J$6:$J$26)</f>
        <v>1183.1931999999999</v>
      </c>
      <c r="D7" s="17">
        <f>SUMPRODUCT((Missions!$F$6:$F$26="Commission Boost")*(Missions!$A$6:$A$26="Bronze")*'Affiliate Projection'!D12*Missions!$E$6:$E$26*Missions!$J$6:$J$26)+SUMPRODUCT((Missions!$F$6:$F$26="Commission Boost")*(Missions!$A$6:$A$26="Silver")*'Affiliate Projection'!D13*Missions!$E$6:$E$26*Missions!$J$6:$J$26)+SUMPRODUCT((Missions!$F$6:$F$26="Commission Boost")*(Missions!$A$6:$A$26="Gold")*'Affiliate Projection'!D14*Missions!$E$6:$E$26*Missions!$J$6:$J$26)+SUMPRODUCT((Missions!$F$6:$F$26="Commission Boost")*(Missions!$A$6:$A$26="Platinum")*'Affiliate Projection'!D15*Missions!$E$6:$E$26*Missions!$J$6:$J$26)+SUMPRODUCT((Missions!$F$6:$F$26="Commission Boost")*(Missions!$A$6:$A$26="Diamond")*'Affiliate Projection'!D16*Missions!$E$6:$E$26*Missions!$J$6:$J$26)</f>
        <v>1659.0028</v>
      </c>
      <c r="E7" s="17">
        <f>SUMPRODUCT((Missions!$F$6:$F$26="Commission Boost")*(Missions!$A$6:$A$26="Bronze")*'Affiliate Projection'!E12*Missions!$E$6:$E$26*Missions!$J$6:$J$26)+SUMPRODUCT((Missions!$F$6:$F$26="Commission Boost")*(Missions!$A$6:$A$26="Silver")*'Affiliate Projection'!E13*Missions!$E$6:$E$26*Missions!$J$6:$J$26)+SUMPRODUCT((Missions!$F$6:$F$26="Commission Boost")*(Missions!$A$6:$A$26="Gold")*'Affiliate Projection'!E14*Missions!$E$6:$E$26*Missions!$J$6:$J$26)+SUMPRODUCT((Missions!$F$6:$F$26="Commission Boost")*(Missions!$A$6:$A$26="Platinum")*'Affiliate Projection'!E15*Missions!$E$6:$E$26*Missions!$J$6:$J$26)+SUMPRODUCT((Missions!$F$6:$F$26="Commission Boost")*(Missions!$A$6:$A$26="Diamond")*'Affiliate Projection'!E16*Missions!$E$6:$E$26*Missions!$J$6:$J$26)</f>
        <v>2068.5056</v>
      </c>
      <c r="F7" s="17">
        <f>SUMPRODUCT((Missions!$F$6:$F$26="Commission Boost")*(Missions!$A$6:$A$26="Bronze")*'Affiliate Projection'!F12*Missions!$E$6:$E$26*Missions!$J$6:$J$26)+SUMPRODUCT((Missions!$F$6:$F$26="Commission Boost")*(Missions!$A$6:$A$26="Silver")*'Affiliate Projection'!F13*Missions!$E$6:$E$26*Missions!$J$6:$J$26)+SUMPRODUCT((Missions!$F$6:$F$26="Commission Boost")*(Missions!$A$6:$A$26="Gold")*'Affiliate Projection'!F14*Missions!$E$6:$E$26*Missions!$J$6:$J$26)+SUMPRODUCT((Missions!$F$6:$F$26="Commission Boost")*(Missions!$A$6:$A$26="Platinum")*'Affiliate Projection'!F15*Missions!$E$6:$E$26*Missions!$J$6:$J$26)+SUMPRODUCT((Missions!$F$6:$F$26="Commission Boost")*(Missions!$A$6:$A$26="Diamond")*'Affiliate Projection'!F16*Missions!$E$6:$E$26*Missions!$J$6:$J$26)</f>
        <v>2517.6592000000001</v>
      </c>
      <c r="G7" s="17">
        <f>SUMPRODUCT((Missions!$F$6:$F$26="Commission Boost")*(Missions!$A$6:$A$26="Bronze")*'Affiliate Projection'!G12*Missions!$E$6:$E$26*Missions!$J$6:$J$26)+SUMPRODUCT((Missions!$F$6:$F$26="Commission Boost")*(Missions!$A$6:$A$26="Silver")*'Affiliate Projection'!G13*Missions!$E$6:$E$26*Missions!$J$6:$J$26)+SUMPRODUCT((Missions!$F$6:$F$26="Commission Boost")*(Missions!$A$6:$A$26="Gold")*'Affiliate Projection'!G14*Missions!$E$6:$E$26*Missions!$J$6:$J$26)+SUMPRODUCT((Missions!$F$6:$F$26="Commission Boost")*(Missions!$A$6:$A$26="Platinum")*'Affiliate Projection'!G15*Missions!$E$6:$E$26*Missions!$J$6:$J$26)+SUMPRODUCT((Missions!$F$6:$F$26="Commission Boost")*(Missions!$A$6:$A$26="Diamond")*'Affiliate Projection'!G16*Missions!$E$6:$E$26*Missions!$J$6:$J$26)</f>
        <v>2900.5059999999994</v>
      </c>
      <c r="H7" s="17">
        <f>SUMPRODUCT((Missions!$F$6:$F$26="Commission Boost")*(Missions!$A$6:$A$26="Bronze")*'Affiliate Projection'!H12*Missions!$E$6:$E$26*Missions!$J$6:$J$26)+SUMPRODUCT((Missions!$F$6:$F$26="Commission Boost")*(Missions!$A$6:$A$26="Silver")*'Affiliate Projection'!H13*Missions!$E$6:$E$26*Missions!$J$6:$J$26)+SUMPRODUCT((Missions!$F$6:$F$26="Commission Boost")*(Missions!$A$6:$A$26="Gold")*'Affiliate Projection'!H14*Missions!$E$6:$E$26*Missions!$J$6:$J$26)+SUMPRODUCT((Missions!$F$6:$F$26="Commission Boost")*(Missions!$A$6:$A$26="Platinum")*'Affiliate Projection'!H15*Missions!$E$6:$E$26*Missions!$J$6:$J$26)+SUMPRODUCT((Missions!$F$6:$F$26="Commission Boost")*(Missions!$A$6:$A$26="Diamond")*'Affiliate Projection'!H16*Missions!$E$6:$E$26*Missions!$J$6:$J$26)</f>
        <v>3225.0427999999997</v>
      </c>
      <c r="I7" s="17">
        <f>SUMPRODUCT((Missions!$F$6:$F$26="Commission Boost")*(Missions!$A$6:$A$26="Bronze")*'Affiliate Projection'!I12*Missions!$E$6:$E$26*Missions!$J$6:$J$26)+SUMPRODUCT((Missions!$F$6:$F$26="Commission Boost")*(Missions!$A$6:$A$26="Silver")*'Affiliate Projection'!I13*Missions!$E$6:$E$26*Missions!$J$6:$J$26)+SUMPRODUCT((Missions!$F$6:$F$26="Commission Boost")*(Missions!$A$6:$A$26="Gold")*'Affiliate Projection'!I14*Missions!$E$6:$E$26*Missions!$J$6:$J$26)+SUMPRODUCT((Missions!$F$6:$F$26="Commission Boost")*(Missions!$A$6:$A$26="Platinum")*'Affiliate Projection'!I15*Missions!$E$6:$E$26*Missions!$J$6:$J$26)+SUMPRODUCT((Missions!$F$6:$F$26="Commission Boost")*(Missions!$A$6:$A$26="Diamond")*'Affiliate Projection'!I16*Missions!$E$6:$E$26*Missions!$J$6:$J$26)</f>
        <v>3581.2335999999996</v>
      </c>
      <c r="J7" s="17">
        <f>SUMPRODUCT((Missions!$F$6:$F$26="Commission Boost")*(Missions!$A$6:$A$26="Bronze")*'Affiliate Projection'!J12*Missions!$E$6:$E$26*Missions!$J$6:$J$26)+SUMPRODUCT((Missions!$F$6:$F$26="Commission Boost")*(Missions!$A$6:$A$26="Silver")*'Affiliate Projection'!J13*Missions!$E$6:$E$26*Missions!$J$6:$J$26)+SUMPRODUCT((Missions!$F$6:$F$26="Commission Boost")*(Missions!$A$6:$A$26="Gold")*'Affiliate Projection'!J14*Missions!$E$6:$E$26*Missions!$J$6:$J$26)+SUMPRODUCT((Missions!$F$6:$F$26="Commission Boost")*(Missions!$A$6:$A$26="Platinum")*'Affiliate Projection'!J15*Missions!$E$6:$E$26*Missions!$J$6:$J$26)+SUMPRODUCT((Missions!$F$6:$F$26="Commission Boost")*(Missions!$A$6:$A$26="Diamond")*'Affiliate Projection'!J16*Missions!$E$6:$E$26*Missions!$J$6:$J$26)</f>
        <v>3948.0868</v>
      </c>
      <c r="K7" s="17">
        <f>SUMPRODUCT((Missions!$F$6:$F$26="Commission Boost")*(Missions!$A$6:$A$26="Bronze")*'Affiliate Projection'!K12*Missions!$E$6:$E$26*Missions!$J$6:$J$26)+SUMPRODUCT((Missions!$F$6:$F$26="Commission Boost")*(Missions!$A$6:$A$26="Silver")*'Affiliate Projection'!K13*Missions!$E$6:$E$26*Missions!$J$6:$J$26)+SUMPRODUCT((Missions!$F$6:$F$26="Commission Boost")*(Missions!$A$6:$A$26="Gold")*'Affiliate Projection'!K14*Missions!$E$6:$E$26*Missions!$J$6:$J$26)+SUMPRODUCT((Missions!$F$6:$F$26="Commission Boost")*(Missions!$A$6:$A$26="Platinum")*'Affiliate Projection'!K15*Missions!$E$6:$E$26*Missions!$J$6:$J$26)+SUMPRODUCT((Missions!$F$6:$F$26="Commission Boost")*(Missions!$A$6:$A$26="Diamond")*'Affiliate Projection'!K16*Missions!$E$6:$E$26*Missions!$J$6:$J$26)</f>
        <v>4219.3115999999991</v>
      </c>
      <c r="L7" s="17">
        <f>SUMPRODUCT((Missions!$F$6:$F$26="Commission Boost")*(Missions!$A$6:$A$26="Bronze")*'Affiliate Projection'!L12*Missions!$E$6:$E$26*Missions!$J$6:$J$26)+SUMPRODUCT((Missions!$F$6:$F$26="Commission Boost")*(Missions!$A$6:$A$26="Silver")*'Affiliate Projection'!L13*Missions!$E$6:$E$26*Missions!$J$6:$J$26)+SUMPRODUCT((Missions!$F$6:$F$26="Commission Boost")*(Missions!$A$6:$A$26="Gold")*'Affiliate Projection'!L14*Missions!$E$6:$E$26*Missions!$J$6:$J$26)+SUMPRODUCT((Missions!$F$6:$F$26="Commission Boost")*(Missions!$A$6:$A$26="Platinum")*'Affiliate Projection'!L15*Missions!$E$6:$E$26*Missions!$J$6:$J$26)+SUMPRODUCT((Missions!$F$6:$F$26="Commission Boost")*(Missions!$A$6:$A$26="Diamond")*'Affiliate Projection'!L16*Missions!$E$6:$E$26*Missions!$J$6:$J$26)</f>
        <v>4559.5087999999996</v>
      </c>
      <c r="M7" s="17">
        <f>SUMPRODUCT((Missions!$F$6:$F$26="Commission Boost")*(Missions!$A$6:$A$26="Bronze")*'Affiliate Projection'!M12*Missions!$E$6:$E$26*Missions!$J$6:$J$26)+SUMPRODUCT((Missions!$F$6:$F$26="Commission Boost")*(Missions!$A$6:$A$26="Silver")*'Affiliate Projection'!M13*Missions!$E$6:$E$26*Missions!$J$6:$J$26)+SUMPRODUCT((Missions!$F$6:$F$26="Commission Boost")*(Missions!$A$6:$A$26="Gold")*'Affiliate Projection'!M14*Missions!$E$6:$E$26*Missions!$J$6:$J$26)+SUMPRODUCT((Missions!$F$6:$F$26="Commission Boost")*(Missions!$A$6:$A$26="Platinum")*'Affiliate Projection'!M15*Missions!$E$6:$E$26*Missions!$J$6:$J$26)+SUMPRODUCT((Missions!$F$6:$F$26="Commission Boost")*(Missions!$A$6:$A$26="Diamond")*'Affiliate Projection'!M16*Missions!$E$6:$E$26*Missions!$J$6:$J$26)</f>
        <v>4841.3959999999997</v>
      </c>
    </row>
    <row r="8" spans="1:14" x14ac:dyDescent="0.25">
      <c r="A8" s="16" t="s">
        <v>192</v>
      </c>
      <c r="B8" s="17">
        <f>Revenue!B12</f>
        <v>1104.0000000000036</v>
      </c>
      <c r="C8" s="17">
        <f>Revenue!C12</f>
        <v>4449.6000000000058</v>
      </c>
      <c r="D8" s="17">
        <f>Revenue!D12</f>
        <v>6177.6000000000204</v>
      </c>
      <c r="E8" s="17">
        <f>Revenue!E12</f>
        <v>7737.6000000000058</v>
      </c>
      <c r="F8" s="17">
        <f>Revenue!F12</f>
        <v>9331.2000000000116</v>
      </c>
      <c r="G8" s="17">
        <f>Revenue!G12</f>
        <v>10756.800000000017</v>
      </c>
      <c r="H8" s="17">
        <f>Revenue!H12</f>
        <v>12043.200000000041</v>
      </c>
      <c r="I8" s="17">
        <f>Revenue!I12</f>
        <v>13353.600000000035</v>
      </c>
      <c r="J8" s="17">
        <f>Revenue!J12</f>
        <v>14673.600000000035</v>
      </c>
      <c r="K8" s="17">
        <f>Revenue!K12</f>
        <v>15739.200000000012</v>
      </c>
      <c r="L8" s="17">
        <f>Revenue!L12</f>
        <v>16934.400000000023</v>
      </c>
      <c r="M8" s="17">
        <f>Revenue!M12</f>
        <v>18000.000000000058</v>
      </c>
    </row>
    <row r="9" spans="1:14" x14ac:dyDescent="0.25">
      <c r="A9" s="25" t="s">
        <v>193</v>
      </c>
      <c r="B9" s="17">
        <f>SUMPRODUCT((Missions!$F$6:$F$26="Discount")*(Missions!$A$6:$A$26="Bronze")*'Affiliate Projection'!B12*Missions!$E$6:$E$26*Missions!$J$6:$J$26)+SUMPRODUCT((Missions!$F$6:$F$26="Discount")*(Missions!$A$6:$A$26="Silver")*'Affiliate Projection'!B13*Missions!$E$6:$E$26*Missions!$J$6:$J$26)+SUMPRODUCT((Missions!$F$6:$F$26="Discount")*(Missions!$A$6:$A$26="Gold")*'Affiliate Projection'!B14*Missions!$E$6:$E$26*Missions!$J$6:$J$26)+SUMPRODUCT((Missions!$F$6:$F$26="Discount")*(Missions!$A$6:$A$26="Platinum")*'Affiliate Projection'!B15*Missions!$E$6:$E$26*Missions!$J$6:$J$26)+SUMPRODUCT((Missions!$F$6:$F$26="Discount")*(Missions!$A$6:$A$26="Diamond")*'Affiliate Projection'!B16*Missions!$E$6:$E$26*Missions!$J$6:$J$26)</f>
        <v>0</v>
      </c>
      <c r="C9" s="17">
        <f>SUMPRODUCT((Missions!$F$6:$F$26="Discount")*(Missions!$A$6:$A$26="Bronze")*'Affiliate Projection'!C12*Missions!$E$6:$E$26*Missions!$J$6:$J$26)+SUMPRODUCT((Missions!$F$6:$F$26="Discount")*(Missions!$A$6:$A$26="Silver")*'Affiliate Projection'!C13*Missions!$E$6:$E$26*Missions!$J$6:$J$26)+SUMPRODUCT((Missions!$F$6:$F$26="Discount")*(Missions!$A$6:$A$26="Gold")*'Affiliate Projection'!C14*Missions!$E$6:$E$26*Missions!$J$6:$J$26)+SUMPRODUCT((Missions!$F$6:$F$26="Discount")*(Missions!$A$6:$A$26="Platinum")*'Affiliate Projection'!C15*Missions!$E$6:$E$26*Missions!$J$6:$J$26)+SUMPRODUCT((Missions!$F$6:$F$26="Discount")*(Missions!$A$6:$A$26="Diamond")*'Affiliate Projection'!C16*Missions!$E$6:$E$26*Missions!$J$6:$J$26)</f>
        <v>102.15</v>
      </c>
      <c r="D9" s="17">
        <f>SUMPRODUCT((Missions!$F$6:$F$26="Discount")*(Missions!$A$6:$A$26="Bronze")*'Affiliate Projection'!D12*Missions!$E$6:$E$26*Missions!$J$6:$J$26)+SUMPRODUCT((Missions!$F$6:$F$26="Discount")*(Missions!$A$6:$A$26="Silver")*'Affiliate Projection'!D13*Missions!$E$6:$E$26*Missions!$J$6:$J$26)+SUMPRODUCT((Missions!$F$6:$F$26="Discount")*(Missions!$A$6:$A$26="Gold")*'Affiliate Projection'!D14*Missions!$E$6:$E$26*Missions!$J$6:$J$26)+SUMPRODUCT((Missions!$F$6:$F$26="Discount")*(Missions!$A$6:$A$26="Platinum")*'Affiliate Projection'!D15*Missions!$E$6:$E$26*Missions!$J$6:$J$26)+SUMPRODUCT((Missions!$F$6:$F$26="Discount")*(Missions!$A$6:$A$26="Diamond")*'Affiliate Projection'!D16*Missions!$E$6:$E$26*Missions!$J$6:$J$26)</f>
        <v>142.35000000000002</v>
      </c>
      <c r="E9" s="17">
        <f>SUMPRODUCT((Missions!$F$6:$F$26="Discount")*(Missions!$A$6:$A$26="Bronze")*'Affiliate Projection'!E12*Missions!$E$6:$E$26*Missions!$J$6:$J$26)+SUMPRODUCT((Missions!$F$6:$F$26="Discount")*(Missions!$A$6:$A$26="Silver")*'Affiliate Projection'!E13*Missions!$E$6:$E$26*Missions!$J$6:$J$26)+SUMPRODUCT((Missions!$F$6:$F$26="Discount")*(Missions!$A$6:$A$26="Gold")*'Affiliate Projection'!E14*Missions!$E$6:$E$26*Missions!$J$6:$J$26)+SUMPRODUCT((Missions!$F$6:$F$26="Discount")*(Missions!$A$6:$A$26="Platinum")*'Affiliate Projection'!E15*Missions!$E$6:$E$26*Missions!$J$6:$J$26)+SUMPRODUCT((Missions!$F$6:$F$26="Discount")*(Missions!$A$6:$A$26="Diamond")*'Affiliate Projection'!E16*Missions!$E$6:$E$26*Missions!$J$6:$J$26)</f>
        <v>177.84</v>
      </c>
      <c r="F9" s="17">
        <f>SUMPRODUCT((Missions!$F$6:$F$26="Discount")*(Missions!$A$6:$A$26="Bronze")*'Affiliate Projection'!F12*Missions!$E$6:$E$26*Missions!$J$6:$J$26)+SUMPRODUCT((Missions!$F$6:$F$26="Discount")*(Missions!$A$6:$A$26="Silver")*'Affiliate Projection'!F13*Missions!$E$6:$E$26*Missions!$J$6:$J$26)+SUMPRODUCT((Missions!$F$6:$F$26="Discount")*(Missions!$A$6:$A$26="Gold")*'Affiliate Projection'!F14*Missions!$E$6:$E$26*Missions!$J$6:$J$26)+SUMPRODUCT((Missions!$F$6:$F$26="Discount")*(Missions!$A$6:$A$26="Platinum")*'Affiliate Projection'!F15*Missions!$E$6:$E$26*Missions!$J$6:$J$26)+SUMPRODUCT((Missions!$F$6:$F$26="Discount")*(Missions!$A$6:$A$26="Diamond")*'Affiliate Projection'!F16*Missions!$E$6:$E$26*Missions!$J$6:$J$26)</f>
        <v>215.40000000000003</v>
      </c>
      <c r="G9" s="17">
        <f>SUMPRODUCT((Missions!$F$6:$F$26="Discount")*(Missions!$A$6:$A$26="Bronze")*'Affiliate Projection'!G12*Missions!$E$6:$E$26*Missions!$J$6:$J$26)+SUMPRODUCT((Missions!$F$6:$F$26="Discount")*(Missions!$A$6:$A$26="Silver")*'Affiliate Projection'!G13*Missions!$E$6:$E$26*Missions!$J$6:$J$26)+SUMPRODUCT((Missions!$F$6:$F$26="Discount")*(Missions!$A$6:$A$26="Gold")*'Affiliate Projection'!G14*Missions!$E$6:$E$26*Missions!$J$6:$J$26)+SUMPRODUCT((Missions!$F$6:$F$26="Discount")*(Missions!$A$6:$A$26="Platinum")*'Affiliate Projection'!G15*Missions!$E$6:$E$26*Missions!$J$6:$J$26)+SUMPRODUCT((Missions!$F$6:$F$26="Discount")*(Missions!$A$6:$A$26="Diamond")*'Affiliate Projection'!G16*Missions!$E$6:$E$26*Missions!$J$6:$J$26)</f>
        <v>248.25</v>
      </c>
      <c r="H9" s="17">
        <f>SUMPRODUCT((Missions!$F$6:$F$26="Discount")*(Missions!$A$6:$A$26="Bronze")*'Affiliate Projection'!H12*Missions!$E$6:$E$26*Missions!$J$6:$J$26)+SUMPRODUCT((Missions!$F$6:$F$26="Discount")*(Missions!$A$6:$A$26="Silver")*'Affiliate Projection'!H13*Missions!$E$6:$E$26*Missions!$J$6:$J$26)+SUMPRODUCT((Missions!$F$6:$F$26="Discount")*(Missions!$A$6:$A$26="Gold")*'Affiliate Projection'!H14*Missions!$E$6:$E$26*Missions!$J$6:$J$26)+SUMPRODUCT((Missions!$F$6:$F$26="Discount")*(Missions!$A$6:$A$26="Platinum")*'Affiliate Projection'!H15*Missions!$E$6:$E$26*Missions!$J$6:$J$26)+SUMPRODUCT((Missions!$F$6:$F$26="Discount")*(Missions!$A$6:$A$26="Diamond")*'Affiliate Projection'!H16*Missions!$E$6:$E$26*Missions!$J$6:$J$26)</f>
        <v>277.35000000000002</v>
      </c>
      <c r="I9" s="17">
        <f>SUMPRODUCT((Missions!$F$6:$F$26="Discount")*(Missions!$A$6:$A$26="Bronze")*'Affiliate Projection'!I12*Missions!$E$6:$E$26*Missions!$J$6:$J$26)+SUMPRODUCT((Missions!$F$6:$F$26="Discount")*(Missions!$A$6:$A$26="Silver")*'Affiliate Projection'!I13*Missions!$E$6:$E$26*Missions!$J$6:$J$26)+SUMPRODUCT((Missions!$F$6:$F$26="Discount")*(Missions!$A$6:$A$26="Gold")*'Affiliate Projection'!I14*Missions!$E$6:$E$26*Missions!$J$6:$J$26)+SUMPRODUCT((Missions!$F$6:$F$26="Discount")*(Missions!$A$6:$A$26="Platinum")*'Affiliate Projection'!I15*Missions!$E$6:$E$26*Missions!$J$6:$J$26)+SUMPRODUCT((Missions!$F$6:$F$26="Discount")*(Missions!$A$6:$A$26="Diamond")*'Affiliate Projection'!I16*Missions!$E$6:$E$26*Missions!$J$6:$J$26)</f>
        <v>307.56</v>
      </c>
      <c r="J9" s="17">
        <f>SUMPRODUCT((Missions!$F$6:$F$26="Discount")*(Missions!$A$6:$A$26="Bronze")*'Affiliate Projection'!J12*Missions!$E$6:$E$26*Missions!$J$6:$J$26)+SUMPRODUCT((Missions!$F$6:$F$26="Discount")*(Missions!$A$6:$A$26="Silver")*'Affiliate Projection'!J13*Missions!$E$6:$E$26*Missions!$J$6:$J$26)+SUMPRODUCT((Missions!$F$6:$F$26="Discount")*(Missions!$A$6:$A$26="Gold")*'Affiliate Projection'!J14*Missions!$E$6:$E$26*Missions!$J$6:$J$26)+SUMPRODUCT((Missions!$F$6:$F$26="Discount")*(Missions!$A$6:$A$26="Platinum")*'Affiliate Projection'!J15*Missions!$E$6:$E$26*Missions!$J$6:$J$26)+SUMPRODUCT((Missions!$F$6:$F$26="Discount")*(Missions!$A$6:$A$26="Diamond")*'Affiliate Projection'!J16*Missions!$E$6:$E$26*Missions!$J$6:$J$26)</f>
        <v>338.49</v>
      </c>
      <c r="K9" s="17">
        <f>SUMPRODUCT((Missions!$F$6:$F$26="Discount")*(Missions!$A$6:$A$26="Bronze")*'Affiliate Projection'!K12*Missions!$E$6:$E$26*Missions!$J$6:$J$26)+SUMPRODUCT((Missions!$F$6:$F$26="Discount")*(Missions!$A$6:$A$26="Silver")*'Affiliate Projection'!K13*Missions!$E$6:$E$26*Missions!$J$6:$J$26)+SUMPRODUCT((Missions!$F$6:$F$26="Discount")*(Missions!$A$6:$A$26="Gold")*'Affiliate Projection'!K14*Missions!$E$6:$E$26*Missions!$J$6:$J$26)+SUMPRODUCT((Missions!$F$6:$F$26="Discount")*(Missions!$A$6:$A$26="Platinum")*'Affiliate Projection'!K15*Missions!$E$6:$E$26*Missions!$J$6:$J$26)+SUMPRODUCT((Missions!$F$6:$F$26="Discount")*(Missions!$A$6:$A$26="Diamond")*'Affiliate Projection'!K16*Missions!$E$6:$E$26*Missions!$J$6:$J$26)</f>
        <v>362.31000000000006</v>
      </c>
      <c r="L9" s="17">
        <f>SUMPRODUCT((Missions!$F$6:$F$26="Discount")*(Missions!$A$6:$A$26="Bronze")*'Affiliate Projection'!L12*Missions!$E$6:$E$26*Missions!$J$6:$J$26)+SUMPRODUCT((Missions!$F$6:$F$26="Discount")*(Missions!$A$6:$A$26="Silver")*'Affiliate Projection'!L13*Missions!$E$6:$E$26*Missions!$J$6:$J$26)+SUMPRODUCT((Missions!$F$6:$F$26="Discount")*(Missions!$A$6:$A$26="Gold")*'Affiliate Projection'!L14*Missions!$E$6:$E$26*Missions!$J$6:$J$26)+SUMPRODUCT((Missions!$F$6:$F$26="Discount")*(Missions!$A$6:$A$26="Platinum")*'Affiliate Projection'!L15*Missions!$E$6:$E$26*Missions!$J$6:$J$26)+SUMPRODUCT((Missions!$F$6:$F$26="Discount")*(Missions!$A$6:$A$26="Diamond")*'Affiliate Projection'!L16*Missions!$E$6:$E$26*Missions!$J$6:$J$26)</f>
        <v>390.6</v>
      </c>
      <c r="M9" s="17">
        <f>SUMPRODUCT((Missions!$F$6:$F$26="Discount")*(Missions!$A$6:$A$26="Bronze")*'Affiliate Projection'!M12*Missions!$E$6:$E$26*Missions!$J$6:$J$26)+SUMPRODUCT((Missions!$F$6:$F$26="Discount")*(Missions!$A$6:$A$26="Silver")*'Affiliate Projection'!M13*Missions!$E$6:$E$26*Missions!$J$6:$J$26)+SUMPRODUCT((Missions!$F$6:$F$26="Discount")*(Missions!$A$6:$A$26="Gold")*'Affiliate Projection'!M14*Missions!$E$6:$E$26*Missions!$J$6:$J$26)+SUMPRODUCT((Missions!$F$6:$F$26="Discount")*(Missions!$A$6:$A$26="Platinum")*'Affiliate Projection'!M15*Missions!$E$6:$E$26*Missions!$J$6:$J$26)+SUMPRODUCT((Missions!$F$6:$F$26="Discount")*(Missions!$A$6:$A$26="Diamond")*'Affiliate Projection'!M16*Missions!$E$6:$E$26*Missions!$J$6:$J$26)</f>
        <v>415.14000000000004</v>
      </c>
    </row>
    <row r="10" spans="1:14" x14ac:dyDescent="0.25">
      <c r="A10" s="16" t="s">
        <v>194</v>
      </c>
      <c r="B10" s="18">
        <f t="shared" ref="B10:M10" si="0">SUM(B5:B9)</f>
        <v>10597.284500000002</v>
      </c>
      <c r="C10" s="18">
        <f t="shared" si="0"/>
        <v>27744.528700000006</v>
      </c>
      <c r="D10" s="18">
        <f t="shared" si="0"/>
        <v>29826.817300000013</v>
      </c>
      <c r="E10" s="18">
        <f t="shared" si="0"/>
        <v>35242.397700000001</v>
      </c>
      <c r="F10" s="18">
        <f t="shared" si="0"/>
        <v>41052.266500000012</v>
      </c>
      <c r="G10" s="18">
        <f t="shared" si="0"/>
        <v>46049.693200000016</v>
      </c>
      <c r="H10" s="18">
        <f t="shared" si="0"/>
        <v>50580.168600000041</v>
      </c>
      <c r="I10" s="18">
        <f t="shared" si="0"/>
        <v>55283.659100000034</v>
      </c>
      <c r="J10" s="18">
        <f t="shared" si="0"/>
        <v>60090.682300000022</v>
      </c>
      <c r="K10" s="18">
        <f t="shared" si="0"/>
        <v>63584.687700000002</v>
      </c>
      <c r="L10" s="18">
        <f t="shared" si="0"/>
        <v>68065.707500000019</v>
      </c>
      <c r="M10" s="18">
        <f t="shared" si="0"/>
        <v>71811.427700000044</v>
      </c>
    </row>
    <row r="11" spans="1:14" ht="18.75" customHeight="1" x14ac:dyDescent="0.25">
      <c r="A11" s="16"/>
    </row>
    <row r="12" spans="1:14" ht="18.75" x14ac:dyDescent="0.3">
      <c r="A12" s="1" t="s">
        <v>195</v>
      </c>
    </row>
    <row r="13" spans="1:14" x14ac:dyDescent="0.25">
      <c r="A13" s="16" t="s">
        <v>196</v>
      </c>
      <c r="B13" s="17">
        <f>'Reward Triggers'!B6*'VIP Levels'!$B$23</f>
        <v>0</v>
      </c>
      <c r="C13" s="17">
        <f>'Reward Triggers'!C6*'VIP Levels'!$B$23</f>
        <v>2625</v>
      </c>
      <c r="D13" s="17">
        <f>'Reward Triggers'!D6*'VIP Levels'!$B$23</f>
        <v>1015</v>
      </c>
      <c r="E13" s="17">
        <f>'Reward Triggers'!E6*'VIP Levels'!$B$23</f>
        <v>910</v>
      </c>
      <c r="F13" s="17">
        <f>'Reward Triggers'!F6*'VIP Levels'!$B$23</f>
        <v>910</v>
      </c>
      <c r="G13" s="17">
        <f>'Reward Triggers'!G6*'VIP Levels'!$B$23</f>
        <v>840</v>
      </c>
      <c r="H13" s="17">
        <f>'Reward Triggers'!H6*'VIP Levels'!$B$23</f>
        <v>805</v>
      </c>
      <c r="I13" s="17">
        <f>'Reward Triggers'!I6*'VIP Levels'!$B$23</f>
        <v>770</v>
      </c>
      <c r="J13" s="17">
        <f>'Reward Triggers'!J6*'VIP Levels'!$B$23</f>
        <v>770</v>
      </c>
      <c r="K13" s="17">
        <f>'Reward Triggers'!K6*'VIP Levels'!$B$23</f>
        <v>630</v>
      </c>
      <c r="L13" s="17">
        <f>'Reward Triggers'!L6*'VIP Levels'!$B$23</f>
        <v>665</v>
      </c>
      <c r="M13" s="17">
        <f>'Reward Triggers'!M6*'VIP Levels'!$B$23</f>
        <v>630</v>
      </c>
    </row>
    <row r="14" spans="1:14" x14ac:dyDescent="0.25">
      <c r="A14" s="16" t="s">
        <v>197</v>
      </c>
      <c r="B14" s="17">
        <f>SUMPRODUCT((Missions!$F$6:$F$26="Gift Card")*(Missions!$A$6:$A$26="Bronze")*'Affiliate Projection'!B12*Missions!$E$6:$E$26*Missions!$J$6:$J$26)+SUMPRODUCT((Missions!$F$6:$F$26="Gift Card")*(Missions!$A$6:$A$26="Silver")*'Affiliate Projection'!B13*Missions!$E$6:$E$26*Missions!$J$6:$J$26)+SUMPRODUCT((Missions!$F$6:$F$26="Gift Card")*(Missions!$A$6:$A$26="Gold")*'Affiliate Projection'!B14*Missions!$E$6:$E$26*Missions!$J$6:$J$26)+SUMPRODUCT((Missions!$F$6:$F$26="Gift Card")*(Missions!$A$6:$A$26="Platinum")*'Affiliate Projection'!B15*Missions!$E$6:$E$26*Missions!$J$6:$J$26)+SUMPRODUCT((Missions!$F$6:$F$26="Gift Card")*(Missions!$A$6:$A$26="Diamond")*'Affiliate Projection'!B16*Missions!$E$6:$E$26*Missions!$J$6:$J$26)</f>
        <v>2300</v>
      </c>
      <c r="C14" s="17">
        <f>SUMPRODUCT((Missions!$F$6:$F$26="Gift Card")*(Missions!$A$6:$A$26="Bronze")*'Affiliate Projection'!C12*Missions!$E$6:$E$26*Missions!$J$6:$J$26)+SUMPRODUCT((Missions!$F$6:$F$26="Gift Card")*(Missions!$A$6:$A$26="Silver")*'Affiliate Projection'!C13*Missions!$E$6:$E$26*Missions!$J$6:$J$26)+SUMPRODUCT((Missions!$F$6:$F$26="Gift Card")*(Missions!$A$6:$A$26="Gold")*'Affiliate Projection'!C14*Missions!$E$6:$E$26*Missions!$J$6:$J$26)+SUMPRODUCT((Missions!$F$6:$F$26="Gift Card")*(Missions!$A$6:$A$26="Platinum")*'Affiliate Projection'!C15*Missions!$E$6:$E$26*Missions!$J$6:$J$26)+SUMPRODUCT((Missions!$F$6:$F$26="Gift Card")*(Missions!$A$6:$A$26="Diamond")*'Affiliate Projection'!C16*Missions!$E$6:$E$26*Missions!$J$6:$J$26)</f>
        <v>6465</v>
      </c>
      <c r="D14" s="17">
        <f>SUMPRODUCT((Missions!$F$6:$F$26="Gift Card")*(Missions!$A$6:$A$26="Bronze")*'Affiliate Projection'!D12*Missions!$E$6:$E$26*Missions!$J$6:$J$26)+SUMPRODUCT((Missions!$F$6:$F$26="Gift Card")*(Missions!$A$6:$A$26="Silver")*'Affiliate Projection'!D13*Missions!$E$6:$E$26*Missions!$J$6:$J$26)+SUMPRODUCT((Missions!$F$6:$F$26="Gift Card")*(Missions!$A$6:$A$26="Gold")*'Affiliate Projection'!D14*Missions!$E$6:$E$26*Missions!$J$6:$J$26)+SUMPRODUCT((Missions!$F$6:$F$26="Gift Card")*(Missions!$A$6:$A$26="Platinum")*'Affiliate Projection'!D15*Missions!$E$6:$E$26*Missions!$J$6:$J$26)+SUMPRODUCT((Missions!$F$6:$F$26="Gift Card")*(Missions!$A$6:$A$26="Diamond")*'Affiliate Projection'!D16*Missions!$E$6:$E$26*Missions!$J$6:$J$26)</f>
        <v>8970</v>
      </c>
      <c r="E14" s="17">
        <f>SUMPRODUCT((Missions!$F$6:$F$26="Gift Card")*(Missions!$A$6:$A$26="Bronze")*'Affiliate Projection'!E12*Missions!$E$6:$E$26*Missions!$J$6:$J$26)+SUMPRODUCT((Missions!$F$6:$F$26="Gift Card")*(Missions!$A$6:$A$26="Silver")*'Affiliate Projection'!E13*Missions!$E$6:$E$26*Missions!$J$6:$J$26)+SUMPRODUCT((Missions!$F$6:$F$26="Gift Card")*(Missions!$A$6:$A$26="Gold")*'Affiliate Projection'!E14*Missions!$E$6:$E$26*Missions!$J$6:$J$26)+SUMPRODUCT((Missions!$F$6:$F$26="Gift Card")*(Missions!$A$6:$A$26="Platinum")*'Affiliate Projection'!E15*Missions!$E$6:$E$26*Missions!$J$6:$J$26)+SUMPRODUCT((Missions!$F$6:$F$26="Gift Card")*(Missions!$A$6:$A$26="Diamond")*'Affiliate Projection'!E16*Missions!$E$6:$E$26*Missions!$J$6:$J$26)</f>
        <v>11245</v>
      </c>
      <c r="F14" s="17">
        <f>SUMPRODUCT((Missions!$F$6:$F$26="Gift Card")*(Missions!$A$6:$A$26="Bronze")*'Affiliate Projection'!F12*Missions!$E$6:$E$26*Missions!$J$6:$J$26)+SUMPRODUCT((Missions!$F$6:$F$26="Gift Card")*(Missions!$A$6:$A$26="Silver")*'Affiliate Projection'!F13*Missions!$E$6:$E$26*Missions!$J$6:$J$26)+SUMPRODUCT((Missions!$F$6:$F$26="Gift Card")*(Missions!$A$6:$A$26="Gold")*'Affiliate Projection'!F14*Missions!$E$6:$E$26*Missions!$J$6:$J$26)+SUMPRODUCT((Missions!$F$6:$F$26="Gift Card")*(Missions!$A$6:$A$26="Platinum")*'Affiliate Projection'!F15*Missions!$E$6:$E$26*Missions!$J$6:$J$26)+SUMPRODUCT((Missions!$F$6:$F$26="Gift Card")*(Missions!$A$6:$A$26="Diamond")*'Affiliate Projection'!F16*Missions!$E$6:$E$26*Missions!$J$6:$J$26)</f>
        <v>13545</v>
      </c>
      <c r="G14" s="17">
        <f>SUMPRODUCT((Missions!$F$6:$F$26="Gift Card")*(Missions!$A$6:$A$26="Bronze")*'Affiliate Projection'!G12*Missions!$E$6:$E$26*Missions!$J$6:$J$26)+SUMPRODUCT((Missions!$F$6:$F$26="Gift Card")*(Missions!$A$6:$A$26="Silver")*'Affiliate Projection'!G13*Missions!$E$6:$E$26*Missions!$J$6:$J$26)+SUMPRODUCT((Missions!$F$6:$F$26="Gift Card")*(Missions!$A$6:$A$26="Gold")*'Affiliate Projection'!G14*Missions!$E$6:$E$26*Missions!$J$6:$J$26)+SUMPRODUCT((Missions!$F$6:$F$26="Gift Card")*(Missions!$A$6:$A$26="Platinum")*'Affiliate Projection'!G15*Missions!$E$6:$E$26*Missions!$J$6:$J$26)+SUMPRODUCT((Missions!$F$6:$F$26="Gift Card")*(Missions!$A$6:$A$26="Diamond")*'Affiliate Projection'!G16*Missions!$E$6:$E$26*Missions!$J$6:$J$26)</f>
        <v>15615</v>
      </c>
      <c r="H14" s="17">
        <f>SUMPRODUCT((Missions!$F$6:$F$26="Gift Card")*(Missions!$A$6:$A$26="Bronze")*'Affiliate Projection'!H12*Missions!$E$6:$E$26*Missions!$J$6:$J$26)+SUMPRODUCT((Missions!$F$6:$F$26="Gift Card")*(Missions!$A$6:$A$26="Silver")*'Affiliate Projection'!H13*Missions!$E$6:$E$26*Missions!$J$6:$J$26)+SUMPRODUCT((Missions!$F$6:$F$26="Gift Card")*(Missions!$A$6:$A$26="Gold")*'Affiliate Projection'!H14*Missions!$E$6:$E$26*Missions!$J$6:$J$26)+SUMPRODUCT((Missions!$F$6:$F$26="Gift Card")*(Missions!$A$6:$A$26="Platinum")*'Affiliate Projection'!H15*Missions!$E$6:$E$26*Missions!$J$6:$J$26)+SUMPRODUCT((Missions!$F$6:$F$26="Gift Card")*(Missions!$A$6:$A$26="Diamond")*'Affiliate Projection'!H16*Missions!$E$6:$E$26*Missions!$J$6:$J$26)</f>
        <v>17485</v>
      </c>
      <c r="I14" s="17">
        <f>SUMPRODUCT((Missions!$F$6:$F$26="Gift Card")*(Missions!$A$6:$A$26="Bronze")*'Affiliate Projection'!I12*Missions!$E$6:$E$26*Missions!$J$6:$J$26)+SUMPRODUCT((Missions!$F$6:$F$26="Gift Card")*(Missions!$A$6:$A$26="Silver")*'Affiliate Projection'!I13*Missions!$E$6:$E$26*Missions!$J$6:$J$26)+SUMPRODUCT((Missions!$F$6:$F$26="Gift Card")*(Missions!$A$6:$A$26="Gold")*'Affiliate Projection'!I14*Missions!$E$6:$E$26*Missions!$J$6:$J$26)+SUMPRODUCT((Missions!$F$6:$F$26="Gift Card")*(Missions!$A$6:$A$26="Platinum")*'Affiliate Projection'!I15*Missions!$E$6:$E$26*Missions!$J$6:$J$26)+SUMPRODUCT((Missions!$F$6:$F$26="Gift Card")*(Missions!$A$6:$A$26="Diamond")*'Affiliate Projection'!I16*Missions!$E$6:$E$26*Missions!$J$6:$J$26)</f>
        <v>19390</v>
      </c>
      <c r="J14" s="17">
        <f>SUMPRODUCT((Missions!$F$6:$F$26="Gift Card")*(Missions!$A$6:$A$26="Bronze")*'Affiliate Projection'!J12*Missions!$E$6:$E$26*Missions!$J$6:$J$26)+SUMPRODUCT((Missions!$F$6:$F$26="Gift Card")*(Missions!$A$6:$A$26="Silver")*'Affiliate Projection'!J13*Missions!$E$6:$E$26*Missions!$J$6:$J$26)+SUMPRODUCT((Missions!$F$6:$F$26="Gift Card")*(Missions!$A$6:$A$26="Gold")*'Affiliate Projection'!J14*Missions!$E$6:$E$26*Missions!$J$6:$J$26)+SUMPRODUCT((Missions!$F$6:$F$26="Gift Card")*(Missions!$A$6:$A$26="Platinum")*'Affiliate Projection'!J15*Missions!$E$6:$E$26*Missions!$J$6:$J$26)+SUMPRODUCT((Missions!$F$6:$F$26="Gift Card")*(Missions!$A$6:$A$26="Diamond")*'Affiliate Projection'!J16*Missions!$E$6:$E$26*Missions!$J$6:$J$26)</f>
        <v>21300</v>
      </c>
      <c r="K14" s="17">
        <f>SUMPRODUCT((Missions!$F$6:$F$26="Gift Card")*(Missions!$A$6:$A$26="Bronze")*'Affiliate Projection'!K12*Missions!$E$6:$E$26*Missions!$J$6:$J$26)+SUMPRODUCT((Missions!$F$6:$F$26="Gift Card")*(Missions!$A$6:$A$26="Silver")*'Affiliate Projection'!K13*Missions!$E$6:$E$26*Missions!$J$6:$J$26)+SUMPRODUCT((Missions!$F$6:$F$26="Gift Card")*(Missions!$A$6:$A$26="Gold")*'Affiliate Projection'!K14*Missions!$E$6:$E$26*Missions!$J$6:$J$26)+SUMPRODUCT((Missions!$F$6:$F$26="Gift Card")*(Missions!$A$6:$A$26="Platinum")*'Affiliate Projection'!K15*Missions!$E$6:$E$26*Missions!$J$6:$J$26)+SUMPRODUCT((Missions!$F$6:$F$26="Gift Card")*(Missions!$A$6:$A$26="Diamond")*'Affiliate Projection'!K16*Missions!$E$6:$E$26*Missions!$J$6:$J$26)</f>
        <v>22860</v>
      </c>
      <c r="L14" s="17">
        <f>SUMPRODUCT((Missions!$F$6:$F$26="Gift Card")*(Missions!$A$6:$A$26="Bronze")*'Affiliate Projection'!L12*Missions!$E$6:$E$26*Missions!$J$6:$J$26)+SUMPRODUCT((Missions!$F$6:$F$26="Gift Card")*(Missions!$A$6:$A$26="Silver")*'Affiliate Projection'!L13*Missions!$E$6:$E$26*Missions!$J$6:$J$26)+SUMPRODUCT((Missions!$F$6:$F$26="Gift Card")*(Missions!$A$6:$A$26="Gold")*'Affiliate Projection'!L14*Missions!$E$6:$E$26*Missions!$J$6:$J$26)+SUMPRODUCT((Missions!$F$6:$F$26="Gift Card")*(Missions!$A$6:$A$26="Platinum")*'Affiliate Projection'!L15*Missions!$E$6:$E$26*Missions!$J$6:$J$26)+SUMPRODUCT((Missions!$F$6:$F$26="Gift Card")*(Missions!$A$6:$A$26="Diamond")*'Affiliate Projection'!L16*Missions!$E$6:$E$26*Missions!$J$6:$J$26)</f>
        <v>24585</v>
      </c>
      <c r="M14" s="17">
        <f>SUMPRODUCT((Missions!$F$6:$F$26="Gift Card")*(Missions!$A$6:$A$26="Bronze")*'Affiliate Projection'!M12*Missions!$E$6:$E$26*Missions!$J$6:$J$26)+SUMPRODUCT((Missions!$F$6:$F$26="Gift Card")*(Missions!$A$6:$A$26="Silver")*'Affiliate Projection'!M13*Missions!$E$6:$E$26*Missions!$J$6:$J$26)+SUMPRODUCT((Missions!$F$6:$F$26="Gift Card")*(Missions!$A$6:$A$26="Gold")*'Affiliate Projection'!M14*Missions!$E$6:$E$26*Missions!$J$6:$J$26)+SUMPRODUCT((Missions!$F$6:$F$26="Gift Card")*(Missions!$A$6:$A$26="Platinum")*'Affiliate Projection'!M15*Missions!$E$6:$E$26*Missions!$J$6:$J$26)+SUMPRODUCT((Missions!$F$6:$F$26="Gift Card")*(Missions!$A$6:$A$26="Diamond")*'Affiliate Projection'!M16*Missions!$E$6:$E$26*Missions!$J$6:$J$26)</f>
        <v>26130</v>
      </c>
    </row>
    <row r="15" spans="1:14" x14ac:dyDescent="0.25">
      <c r="A15" s="16" t="s">
        <v>198</v>
      </c>
      <c r="B15" s="17">
        <f t="shared" ref="B15:M15" si="1">B13+B14</f>
        <v>2300</v>
      </c>
      <c r="C15" s="17">
        <f t="shared" si="1"/>
        <v>9090</v>
      </c>
      <c r="D15" s="17">
        <f t="shared" si="1"/>
        <v>9985</v>
      </c>
      <c r="E15" s="17">
        <f t="shared" si="1"/>
        <v>12155</v>
      </c>
      <c r="F15" s="17">
        <f t="shared" si="1"/>
        <v>14455</v>
      </c>
      <c r="G15" s="17">
        <f t="shared" si="1"/>
        <v>16455</v>
      </c>
      <c r="H15" s="17">
        <f t="shared" si="1"/>
        <v>18290</v>
      </c>
      <c r="I15" s="17">
        <f t="shared" si="1"/>
        <v>20160</v>
      </c>
      <c r="J15" s="17">
        <f t="shared" si="1"/>
        <v>22070</v>
      </c>
      <c r="K15" s="17">
        <f t="shared" si="1"/>
        <v>23490</v>
      </c>
      <c r="L15" s="17">
        <f t="shared" si="1"/>
        <v>25250</v>
      </c>
      <c r="M15" s="17">
        <f t="shared" si="1"/>
        <v>26760</v>
      </c>
    </row>
    <row r="16" spans="1:14" x14ac:dyDescent="0.25">
      <c r="A16" s="16" t="s">
        <v>199</v>
      </c>
      <c r="B16" s="18">
        <f t="shared" ref="B16:M16" si="2">B15</f>
        <v>2300</v>
      </c>
      <c r="C16" s="18">
        <f t="shared" si="2"/>
        <v>9090</v>
      </c>
      <c r="D16" s="18">
        <f t="shared" si="2"/>
        <v>9985</v>
      </c>
      <c r="E16" s="18">
        <f t="shared" si="2"/>
        <v>12155</v>
      </c>
      <c r="F16" s="18">
        <f t="shared" si="2"/>
        <v>14455</v>
      </c>
      <c r="G16" s="18">
        <f t="shared" si="2"/>
        <v>16455</v>
      </c>
      <c r="H16" s="18">
        <f t="shared" si="2"/>
        <v>18290</v>
      </c>
      <c r="I16" s="18">
        <f t="shared" si="2"/>
        <v>20160</v>
      </c>
      <c r="J16" s="18">
        <f t="shared" si="2"/>
        <v>22070</v>
      </c>
      <c r="K16" s="18">
        <f t="shared" si="2"/>
        <v>23490</v>
      </c>
      <c r="L16" s="18">
        <f t="shared" si="2"/>
        <v>25250</v>
      </c>
      <c r="M16" s="18">
        <f t="shared" si="2"/>
        <v>26760</v>
      </c>
    </row>
    <row r="17" spans="1:13" ht="18.75" customHeight="1" x14ac:dyDescent="0.25">
      <c r="A17" s="16"/>
    </row>
    <row r="18" spans="1:13" ht="18.75" x14ac:dyDescent="0.3">
      <c r="A18" s="1" t="s">
        <v>200</v>
      </c>
    </row>
    <row r="19" spans="1:13" x14ac:dyDescent="0.25">
      <c r="A19" s="16" t="s">
        <v>201</v>
      </c>
      <c r="B19" s="17">
        <f>'Reward Triggers'!B8*'VIP Levels'!$B$24</f>
        <v>0</v>
      </c>
      <c r="C19" s="17">
        <f>'Reward Triggers'!C8*'VIP Levels'!$B$24</f>
        <v>1312.5</v>
      </c>
      <c r="D19" s="17">
        <f>'Reward Triggers'!D8*'VIP Levels'!$B$24</f>
        <v>507.5</v>
      </c>
      <c r="E19" s="17">
        <f>'Reward Triggers'!E8*'VIP Levels'!$B$24</f>
        <v>455</v>
      </c>
      <c r="F19" s="17">
        <f>'Reward Triggers'!F8*'VIP Levels'!$B$24</f>
        <v>455</v>
      </c>
      <c r="G19" s="17">
        <f>'Reward Triggers'!G8*'VIP Levels'!$B$24</f>
        <v>420</v>
      </c>
      <c r="H19" s="17">
        <f>'Reward Triggers'!H8*'VIP Levels'!$B$24</f>
        <v>402.5</v>
      </c>
      <c r="I19" s="17">
        <f>'Reward Triggers'!I8*'VIP Levels'!$B$24</f>
        <v>385</v>
      </c>
      <c r="J19" s="17">
        <f>'Reward Triggers'!J8*'VIP Levels'!$B$24</f>
        <v>385</v>
      </c>
      <c r="K19" s="17">
        <f>'Reward Triggers'!K8*'VIP Levels'!$B$24</f>
        <v>315</v>
      </c>
      <c r="L19" s="17">
        <f>'Reward Triggers'!L8*'VIP Levels'!$B$24</f>
        <v>332.5</v>
      </c>
      <c r="M19" s="17">
        <f>'Reward Triggers'!M8*'VIP Levels'!$B$24</f>
        <v>315</v>
      </c>
    </row>
    <row r="20" spans="1:13" x14ac:dyDescent="0.25">
      <c r="A20" s="16" t="s">
        <v>202</v>
      </c>
      <c r="B20" s="17">
        <f>SUMPRODUCT((Missions!$F$6:$F$26="Spark Ads")*(Missions!$A$6:$A$26="Bronze")*'Affiliate Projection'!B12*Missions!$E$6:$E$26*Missions!$J$6:$J$26)+SUMPRODUCT((Missions!$F$6:$F$26="Spark Ads")*(Missions!$A$6:$A$26="Silver")*'Affiliate Projection'!B13*Missions!$E$6:$E$26*Missions!$J$6:$J$26)+SUMPRODUCT((Missions!$F$6:$F$26="Spark Ads")*(Missions!$A$6:$A$26="Gold")*'Affiliate Projection'!B14*Missions!$E$6:$E$26*Missions!$J$6:$J$26)+SUMPRODUCT((Missions!$F$6:$F$26="Spark Ads")*(Missions!$A$6:$A$26="Platinum")*'Affiliate Projection'!B15*Missions!$E$6:$E$26*Missions!$J$6:$J$26)+SUMPRODUCT((Missions!$F$6:$F$26="Spark Ads")*(Missions!$A$6:$A$26="Diamond")*'Affiliate Projection'!B16*Missions!$E$6:$E$26*Missions!$J$6:$J$26)</f>
        <v>0</v>
      </c>
      <c r="C20" s="17">
        <f>SUMPRODUCT((Missions!$F$6:$F$26="Spark Ads")*(Missions!$A$6:$A$26="Bronze")*'Affiliate Projection'!C12*Missions!$E$6:$E$26*Missions!$J$6:$J$26)+SUMPRODUCT((Missions!$F$6:$F$26="Spark Ads")*(Missions!$A$6:$A$26="Silver")*'Affiliate Projection'!C13*Missions!$E$6:$E$26*Missions!$J$6:$J$26)+SUMPRODUCT((Missions!$F$6:$F$26="Spark Ads")*(Missions!$A$6:$A$26="Gold")*'Affiliate Projection'!C14*Missions!$E$6:$E$26*Missions!$J$6:$J$26)+SUMPRODUCT((Missions!$F$6:$F$26="Spark Ads")*(Missions!$A$6:$A$26="Platinum")*'Affiliate Projection'!C15*Missions!$E$6:$E$26*Missions!$J$6:$J$26)+SUMPRODUCT((Missions!$F$6:$F$26="Spark Ads")*(Missions!$A$6:$A$26="Diamond")*'Affiliate Projection'!C16*Missions!$E$6:$E$26*Missions!$J$6:$J$26)</f>
        <v>0</v>
      </c>
      <c r="D20" s="17">
        <f>SUMPRODUCT((Missions!$F$6:$F$26="Spark Ads")*(Missions!$A$6:$A$26="Bronze")*'Affiliate Projection'!D12*Missions!$E$6:$E$26*Missions!$J$6:$J$26)+SUMPRODUCT((Missions!$F$6:$F$26="Spark Ads")*(Missions!$A$6:$A$26="Silver")*'Affiliate Projection'!D13*Missions!$E$6:$E$26*Missions!$J$6:$J$26)+SUMPRODUCT((Missions!$F$6:$F$26="Spark Ads")*(Missions!$A$6:$A$26="Gold")*'Affiliate Projection'!D14*Missions!$E$6:$E$26*Missions!$J$6:$J$26)+SUMPRODUCT((Missions!$F$6:$F$26="Spark Ads")*(Missions!$A$6:$A$26="Platinum")*'Affiliate Projection'!D15*Missions!$E$6:$E$26*Missions!$J$6:$J$26)+SUMPRODUCT((Missions!$F$6:$F$26="Spark Ads")*(Missions!$A$6:$A$26="Diamond")*'Affiliate Projection'!D16*Missions!$E$6:$E$26*Missions!$J$6:$J$26)</f>
        <v>0</v>
      </c>
      <c r="E20" s="17">
        <f>SUMPRODUCT((Missions!$F$6:$F$26="Spark Ads")*(Missions!$A$6:$A$26="Bronze")*'Affiliate Projection'!E12*Missions!$E$6:$E$26*Missions!$J$6:$J$26)+SUMPRODUCT((Missions!$F$6:$F$26="Spark Ads")*(Missions!$A$6:$A$26="Silver")*'Affiliate Projection'!E13*Missions!$E$6:$E$26*Missions!$J$6:$J$26)+SUMPRODUCT((Missions!$F$6:$F$26="Spark Ads")*(Missions!$A$6:$A$26="Gold")*'Affiliate Projection'!E14*Missions!$E$6:$E$26*Missions!$J$6:$J$26)+SUMPRODUCT((Missions!$F$6:$F$26="Spark Ads")*(Missions!$A$6:$A$26="Platinum")*'Affiliate Projection'!E15*Missions!$E$6:$E$26*Missions!$J$6:$J$26)+SUMPRODUCT((Missions!$F$6:$F$26="Spark Ads")*(Missions!$A$6:$A$26="Diamond")*'Affiliate Projection'!E16*Missions!$E$6:$E$26*Missions!$J$6:$J$26)</f>
        <v>0</v>
      </c>
      <c r="F20" s="17">
        <f>SUMPRODUCT((Missions!$F$6:$F$26="Spark Ads")*(Missions!$A$6:$A$26="Bronze")*'Affiliate Projection'!F12*Missions!$E$6:$E$26*Missions!$J$6:$J$26)+SUMPRODUCT((Missions!$F$6:$F$26="Spark Ads")*(Missions!$A$6:$A$26="Silver")*'Affiliate Projection'!F13*Missions!$E$6:$E$26*Missions!$J$6:$J$26)+SUMPRODUCT((Missions!$F$6:$F$26="Spark Ads")*(Missions!$A$6:$A$26="Gold")*'Affiliate Projection'!F14*Missions!$E$6:$E$26*Missions!$J$6:$J$26)+SUMPRODUCT((Missions!$F$6:$F$26="Spark Ads")*(Missions!$A$6:$A$26="Platinum")*'Affiliate Projection'!F15*Missions!$E$6:$E$26*Missions!$J$6:$J$26)+SUMPRODUCT((Missions!$F$6:$F$26="Spark Ads")*(Missions!$A$6:$A$26="Diamond")*'Affiliate Projection'!F16*Missions!$E$6:$E$26*Missions!$J$6:$J$26)</f>
        <v>0</v>
      </c>
      <c r="G20" s="17">
        <f>SUMPRODUCT((Missions!$F$6:$F$26="Spark Ads")*(Missions!$A$6:$A$26="Bronze")*'Affiliate Projection'!G12*Missions!$E$6:$E$26*Missions!$J$6:$J$26)+SUMPRODUCT((Missions!$F$6:$F$26="Spark Ads")*(Missions!$A$6:$A$26="Silver")*'Affiliate Projection'!G13*Missions!$E$6:$E$26*Missions!$J$6:$J$26)+SUMPRODUCT((Missions!$F$6:$F$26="Spark Ads")*(Missions!$A$6:$A$26="Gold")*'Affiliate Projection'!G14*Missions!$E$6:$E$26*Missions!$J$6:$J$26)+SUMPRODUCT((Missions!$F$6:$F$26="Spark Ads")*(Missions!$A$6:$A$26="Platinum")*'Affiliate Projection'!G15*Missions!$E$6:$E$26*Missions!$J$6:$J$26)+SUMPRODUCT((Missions!$F$6:$F$26="Spark Ads")*(Missions!$A$6:$A$26="Diamond")*'Affiliate Projection'!G16*Missions!$E$6:$E$26*Missions!$J$6:$J$26)</f>
        <v>0</v>
      </c>
      <c r="H20" s="17">
        <f>SUMPRODUCT((Missions!$F$6:$F$26="Spark Ads")*(Missions!$A$6:$A$26="Bronze")*'Affiliate Projection'!H12*Missions!$E$6:$E$26*Missions!$J$6:$J$26)+SUMPRODUCT((Missions!$F$6:$F$26="Spark Ads")*(Missions!$A$6:$A$26="Silver")*'Affiliate Projection'!H13*Missions!$E$6:$E$26*Missions!$J$6:$J$26)+SUMPRODUCT((Missions!$F$6:$F$26="Spark Ads")*(Missions!$A$6:$A$26="Gold")*'Affiliate Projection'!H14*Missions!$E$6:$E$26*Missions!$J$6:$J$26)+SUMPRODUCT((Missions!$F$6:$F$26="Spark Ads")*(Missions!$A$6:$A$26="Platinum")*'Affiliate Projection'!H15*Missions!$E$6:$E$26*Missions!$J$6:$J$26)+SUMPRODUCT((Missions!$F$6:$F$26="Spark Ads")*(Missions!$A$6:$A$26="Diamond")*'Affiliate Projection'!H16*Missions!$E$6:$E$26*Missions!$J$6:$J$26)</f>
        <v>0</v>
      </c>
      <c r="I20" s="17">
        <f>SUMPRODUCT((Missions!$F$6:$F$26="Spark Ads")*(Missions!$A$6:$A$26="Bronze")*'Affiliate Projection'!I12*Missions!$E$6:$E$26*Missions!$J$6:$J$26)+SUMPRODUCT((Missions!$F$6:$F$26="Spark Ads")*(Missions!$A$6:$A$26="Silver")*'Affiliate Projection'!I13*Missions!$E$6:$E$26*Missions!$J$6:$J$26)+SUMPRODUCT((Missions!$F$6:$F$26="Spark Ads")*(Missions!$A$6:$A$26="Gold")*'Affiliate Projection'!I14*Missions!$E$6:$E$26*Missions!$J$6:$J$26)+SUMPRODUCT((Missions!$F$6:$F$26="Spark Ads")*(Missions!$A$6:$A$26="Platinum")*'Affiliate Projection'!I15*Missions!$E$6:$E$26*Missions!$J$6:$J$26)+SUMPRODUCT((Missions!$F$6:$F$26="Spark Ads")*(Missions!$A$6:$A$26="Diamond")*'Affiliate Projection'!I16*Missions!$E$6:$E$26*Missions!$J$6:$J$26)</f>
        <v>0</v>
      </c>
      <c r="J20" s="17">
        <f>SUMPRODUCT((Missions!$F$6:$F$26="Spark Ads")*(Missions!$A$6:$A$26="Bronze")*'Affiliate Projection'!J12*Missions!$E$6:$E$26*Missions!$J$6:$J$26)+SUMPRODUCT((Missions!$F$6:$F$26="Spark Ads")*(Missions!$A$6:$A$26="Silver")*'Affiliate Projection'!J13*Missions!$E$6:$E$26*Missions!$J$6:$J$26)+SUMPRODUCT((Missions!$F$6:$F$26="Spark Ads")*(Missions!$A$6:$A$26="Gold")*'Affiliate Projection'!J14*Missions!$E$6:$E$26*Missions!$J$6:$J$26)+SUMPRODUCT((Missions!$F$6:$F$26="Spark Ads")*(Missions!$A$6:$A$26="Platinum")*'Affiliate Projection'!J15*Missions!$E$6:$E$26*Missions!$J$6:$J$26)+SUMPRODUCT((Missions!$F$6:$F$26="Spark Ads")*(Missions!$A$6:$A$26="Diamond")*'Affiliate Projection'!J16*Missions!$E$6:$E$26*Missions!$J$6:$J$26)</f>
        <v>0</v>
      </c>
      <c r="K20" s="17">
        <f>SUMPRODUCT((Missions!$F$6:$F$26="Spark Ads")*(Missions!$A$6:$A$26="Bronze")*'Affiliate Projection'!K12*Missions!$E$6:$E$26*Missions!$J$6:$J$26)+SUMPRODUCT((Missions!$F$6:$F$26="Spark Ads")*(Missions!$A$6:$A$26="Silver")*'Affiliate Projection'!K13*Missions!$E$6:$E$26*Missions!$J$6:$J$26)+SUMPRODUCT((Missions!$F$6:$F$26="Spark Ads")*(Missions!$A$6:$A$26="Gold")*'Affiliate Projection'!K14*Missions!$E$6:$E$26*Missions!$J$6:$J$26)+SUMPRODUCT((Missions!$F$6:$F$26="Spark Ads")*(Missions!$A$6:$A$26="Platinum")*'Affiliate Projection'!K15*Missions!$E$6:$E$26*Missions!$J$6:$J$26)+SUMPRODUCT((Missions!$F$6:$F$26="Spark Ads")*(Missions!$A$6:$A$26="Diamond")*'Affiliate Projection'!K16*Missions!$E$6:$E$26*Missions!$J$6:$J$26)</f>
        <v>0</v>
      </c>
      <c r="L20" s="17">
        <f>SUMPRODUCT((Missions!$F$6:$F$26="Spark Ads")*(Missions!$A$6:$A$26="Bronze")*'Affiliate Projection'!L12*Missions!$E$6:$E$26*Missions!$J$6:$J$26)+SUMPRODUCT((Missions!$F$6:$F$26="Spark Ads")*(Missions!$A$6:$A$26="Silver")*'Affiliate Projection'!L13*Missions!$E$6:$E$26*Missions!$J$6:$J$26)+SUMPRODUCT((Missions!$F$6:$F$26="Spark Ads")*(Missions!$A$6:$A$26="Gold")*'Affiliate Projection'!L14*Missions!$E$6:$E$26*Missions!$J$6:$J$26)+SUMPRODUCT((Missions!$F$6:$F$26="Spark Ads")*(Missions!$A$6:$A$26="Platinum")*'Affiliate Projection'!L15*Missions!$E$6:$E$26*Missions!$J$6:$J$26)+SUMPRODUCT((Missions!$F$6:$F$26="Spark Ads")*(Missions!$A$6:$A$26="Diamond")*'Affiliate Projection'!L16*Missions!$E$6:$E$26*Missions!$J$6:$J$26)</f>
        <v>0</v>
      </c>
      <c r="M20" s="17">
        <f>SUMPRODUCT((Missions!$F$6:$F$26="Spark Ads")*(Missions!$A$6:$A$26="Bronze")*'Affiliate Projection'!M12*Missions!$E$6:$E$26*Missions!$J$6:$J$26)+SUMPRODUCT((Missions!$F$6:$F$26="Spark Ads")*(Missions!$A$6:$A$26="Silver")*'Affiliate Projection'!M13*Missions!$E$6:$E$26*Missions!$J$6:$J$26)+SUMPRODUCT((Missions!$F$6:$F$26="Spark Ads")*(Missions!$A$6:$A$26="Gold")*'Affiliate Projection'!M14*Missions!$E$6:$E$26*Missions!$J$6:$J$26)+SUMPRODUCT((Missions!$F$6:$F$26="Spark Ads")*(Missions!$A$6:$A$26="Platinum")*'Affiliate Projection'!M15*Missions!$E$6:$E$26*Missions!$J$6:$J$26)+SUMPRODUCT((Missions!$F$6:$F$26="Spark Ads")*(Missions!$A$6:$A$26="Diamond")*'Affiliate Projection'!M16*Missions!$E$6:$E$26*Missions!$J$6:$J$26)</f>
        <v>0</v>
      </c>
    </row>
    <row r="21" spans="1:13" x14ac:dyDescent="0.25">
      <c r="A21" s="16" t="s">
        <v>203</v>
      </c>
      <c r="B21" s="17">
        <f>'Reward Triggers'!B9*'VIP Levels'!$B$25</f>
        <v>0</v>
      </c>
      <c r="C21" s="17">
        <f>'Reward Triggers'!C9*'VIP Levels'!$B$25</f>
        <v>245</v>
      </c>
      <c r="D21" s="17">
        <f>'Reward Triggers'!D9*'VIP Levels'!$B$25</f>
        <v>96.25</v>
      </c>
      <c r="E21" s="17">
        <f>'Reward Triggers'!E9*'VIP Levels'!$B$25</f>
        <v>87.5</v>
      </c>
      <c r="F21" s="17">
        <f>'Reward Triggers'!F9*'VIP Levels'!$B$25</f>
        <v>87.5</v>
      </c>
      <c r="G21" s="17">
        <f>'Reward Triggers'!G9*'VIP Levels'!$B$25</f>
        <v>78.75</v>
      </c>
      <c r="H21" s="17">
        <f>'Reward Triggers'!H9*'VIP Levels'!$B$25</f>
        <v>78.75</v>
      </c>
      <c r="I21" s="17">
        <f>'Reward Triggers'!I9*'VIP Levels'!$B$25</f>
        <v>70</v>
      </c>
      <c r="J21" s="17">
        <f>'Reward Triggers'!J9*'VIP Levels'!$B$25</f>
        <v>70</v>
      </c>
      <c r="K21" s="17">
        <f>'Reward Triggers'!K9*'VIP Levels'!$B$25</f>
        <v>61.25</v>
      </c>
      <c r="L21" s="17">
        <f>'Reward Triggers'!L9*'VIP Levels'!$B$25</f>
        <v>61.25</v>
      </c>
      <c r="M21" s="17">
        <f>'Reward Triggers'!M9*'VIP Levels'!$B$25</f>
        <v>61.25</v>
      </c>
    </row>
    <row r="22" spans="1:13" x14ac:dyDescent="0.25">
      <c r="A22" s="16" t="s">
        <v>204</v>
      </c>
      <c r="B22" s="17">
        <f>'Reward Triggers'!B10*'VIP Levels'!$B$26</f>
        <v>0</v>
      </c>
      <c r="C22" s="17">
        <f>'Reward Triggers'!C10*'VIP Levels'!$B$26</f>
        <v>45</v>
      </c>
      <c r="D22" s="17">
        <f>'Reward Triggers'!D10*'VIP Levels'!$B$26</f>
        <v>20</v>
      </c>
      <c r="E22" s="17">
        <f>'Reward Triggers'!E10*'VIP Levels'!$B$26</f>
        <v>15</v>
      </c>
      <c r="F22" s="17">
        <f>'Reward Triggers'!F10*'VIP Levels'!$B$26</f>
        <v>15</v>
      </c>
      <c r="G22" s="17">
        <f>'Reward Triggers'!G10*'VIP Levels'!$B$26</f>
        <v>15</v>
      </c>
      <c r="H22" s="17">
        <f>'Reward Triggers'!H10*'VIP Levels'!$B$26</f>
        <v>15</v>
      </c>
      <c r="I22" s="17">
        <f>'Reward Triggers'!I10*'VIP Levels'!$B$26</f>
        <v>15</v>
      </c>
      <c r="J22" s="17">
        <f>'Reward Triggers'!J10*'VIP Levels'!$B$26</f>
        <v>15</v>
      </c>
      <c r="K22" s="17">
        <f>'Reward Triggers'!K10*'VIP Levels'!$B$26</f>
        <v>10</v>
      </c>
      <c r="L22" s="17">
        <f>'Reward Triggers'!L10*'VIP Levels'!$B$26</f>
        <v>10</v>
      </c>
      <c r="M22" s="17">
        <f>'Reward Triggers'!M10*'VIP Levels'!$B$26</f>
        <v>10</v>
      </c>
    </row>
    <row r="23" spans="1:13" x14ac:dyDescent="0.25">
      <c r="A23" s="16" t="s">
        <v>205</v>
      </c>
      <c r="B23" s="17">
        <f>'Affiliate Projection'!B4*Inputs!$B$28</f>
        <v>2250</v>
      </c>
      <c r="C23" s="17">
        <f>'Affiliate Projection'!C4*Inputs!$B$28</f>
        <v>1500</v>
      </c>
      <c r="D23" s="17">
        <f>'Affiliate Projection'!D4*Inputs!$B$28</f>
        <v>1500</v>
      </c>
      <c r="E23" s="17">
        <f>'Affiliate Projection'!E4*Inputs!$B$28</f>
        <v>1500</v>
      </c>
      <c r="F23" s="17">
        <f>'Affiliate Projection'!F4*Inputs!$B$28</f>
        <v>1500</v>
      </c>
      <c r="G23" s="17">
        <f>'Affiliate Projection'!G4*Inputs!$B$28</f>
        <v>1500</v>
      </c>
      <c r="H23" s="17">
        <f>'Affiliate Projection'!H4*Inputs!$B$28</f>
        <v>1500</v>
      </c>
      <c r="I23" s="17">
        <f>'Affiliate Projection'!I4*Inputs!$B$28</f>
        <v>1500</v>
      </c>
      <c r="J23" s="17">
        <f>'Affiliate Projection'!J4*Inputs!$B$28</f>
        <v>1500</v>
      </c>
      <c r="K23" s="17">
        <f>'Affiliate Projection'!K4*Inputs!$B$28</f>
        <v>1500</v>
      </c>
      <c r="L23" s="17">
        <f>'Affiliate Projection'!L4*Inputs!$B$28</f>
        <v>1500</v>
      </c>
      <c r="M23" s="17">
        <f>'Affiliate Projection'!M4*Inputs!$B$28</f>
        <v>1500</v>
      </c>
    </row>
    <row r="24" spans="1:13" x14ac:dyDescent="0.25">
      <c r="A24" s="16" t="s">
        <v>206</v>
      </c>
      <c r="B24" s="18">
        <f t="shared" ref="B24:M24" si="3">SUM(B19:B23)</f>
        <v>2250</v>
      </c>
      <c r="C24" s="18">
        <f t="shared" si="3"/>
        <v>3102.5</v>
      </c>
      <c r="D24" s="18">
        <f t="shared" si="3"/>
        <v>2123.75</v>
      </c>
      <c r="E24" s="18">
        <f t="shared" si="3"/>
        <v>2057.5</v>
      </c>
      <c r="F24" s="18">
        <f t="shared" si="3"/>
        <v>2057.5</v>
      </c>
      <c r="G24" s="18">
        <f t="shared" si="3"/>
        <v>2013.75</v>
      </c>
      <c r="H24" s="18">
        <f t="shared" si="3"/>
        <v>1996.25</v>
      </c>
      <c r="I24" s="18">
        <f t="shared" si="3"/>
        <v>1970</v>
      </c>
      <c r="J24" s="18">
        <f t="shared" si="3"/>
        <v>1970</v>
      </c>
      <c r="K24" s="18">
        <f t="shared" si="3"/>
        <v>1886.25</v>
      </c>
      <c r="L24" s="18">
        <f t="shared" si="3"/>
        <v>1903.75</v>
      </c>
      <c r="M24" s="18">
        <f t="shared" si="3"/>
        <v>1886.25</v>
      </c>
    </row>
    <row r="25" spans="1:13" ht="18.75" customHeight="1" x14ac:dyDescent="0.25">
      <c r="A25" s="16"/>
    </row>
    <row r="26" spans="1:13" ht="18.75" x14ac:dyDescent="0.3">
      <c r="A26" s="1" t="s">
        <v>207</v>
      </c>
    </row>
    <row r="27" spans="1:13" x14ac:dyDescent="0.25">
      <c r="A27" s="16" t="s">
        <v>208</v>
      </c>
      <c r="B27" s="18">
        <f t="shared" ref="B27:M27" si="4">B10+B16+B24</f>
        <v>15147.284500000002</v>
      </c>
      <c r="C27" s="18">
        <f t="shared" si="4"/>
        <v>39937.02870000001</v>
      </c>
      <c r="D27" s="18">
        <f t="shared" si="4"/>
        <v>41935.56730000001</v>
      </c>
      <c r="E27" s="18">
        <f t="shared" si="4"/>
        <v>49454.897700000001</v>
      </c>
      <c r="F27" s="18">
        <f t="shared" si="4"/>
        <v>57564.766500000012</v>
      </c>
      <c r="G27" s="18">
        <f t="shared" si="4"/>
        <v>64518.443200000016</v>
      </c>
      <c r="H27" s="18">
        <f t="shared" si="4"/>
        <v>70866.418600000034</v>
      </c>
      <c r="I27" s="18">
        <f t="shared" si="4"/>
        <v>77413.659100000034</v>
      </c>
      <c r="J27" s="18">
        <f t="shared" si="4"/>
        <v>84130.682300000015</v>
      </c>
      <c r="K27" s="18">
        <f t="shared" si="4"/>
        <v>88960.937700000009</v>
      </c>
      <c r="L27" s="18">
        <f t="shared" si="4"/>
        <v>95219.457500000019</v>
      </c>
      <c r="M27" s="18">
        <f t="shared" si="4"/>
        <v>100457.67770000004</v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5"/>
  <sheetViews>
    <sheetView workbookViewId="0">
      <selection activeCell="E9" sqref="E9"/>
    </sheetView>
  </sheetViews>
  <sheetFormatPr defaultRowHeight="15" x14ac:dyDescent="0.25"/>
  <cols>
    <col min="1" max="1" width="32" customWidth="1"/>
    <col min="2" max="2" width="15" customWidth="1"/>
    <col min="3" max="14" width="10" customWidth="1"/>
  </cols>
  <sheetData>
    <row r="1" spans="1:5" ht="21" customHeight="1" x14ac:dyDescent="0.35">
      <c r="A1" s="27" t="s">
        <v>209</v>
      </c>
      <c r="B1" s="28"/>
      <c r="C1" s="28"/>
      <c r="D1" s="28"/>
      <c r="E1" s="28"/>
    </row>
    <row r="3" spans="1:5" ht="18.75" customHeight="1" x14ac:dyDescent="0.3">
      <c r="A3" s="1" t="s">
        <v>210</v>
      </c>
    </row>
    <row r="4" spans="1:5" ht="15.75" customHeight="1" x14ac:dyDescent="0.25">
      <c r="A4" s="2" t="s">
        <v>132</v>
      </c>
      <c r="B4" s="2" t="s">
        <v>3</v>
      </c>
    </row>
    <row r="5" spans="1:5" x14ac:dyDescent="0.25">
      <c r="A5" s="3" t="s">
        <v>211</v>
      </c>
      <c r="B5" s="15">
        <f>SUM('Affiliate Projection'!B4:M4)</f>
        <v>1250</v>
      </c>
    </row>
    <row r="6" spans="1:5" x14ac:dyDescent="0.25">
      <c r="A6" s="3" t="s">
        <v>148</v>
      </c>
      <c r="B6" s="15">
        <f>SUM('Affiliate Projection'!B7:M7)</f>
        <v>995</v>
      </c>
    </row>
    <row r="7" spans="1:5" x14ac:dyDescent="0.25">
      <c r="A7" s="3" t="s">
        <v>212</v>
      </c>
      <c r="B7" s="15">
        <f>'Affiliate Projection'!M9</f>
        <v>755</v>
      </c>
    </row>
    <row r="8" spans="1:5" x14ac:dyDescent="0.25">
      <c r="A8" s="3" t="s">
        <v>152</v>
      </c>
      <c r="B8" s="15">
        <f>SUM('Affiliate Projection'!B10:M10)</f>
        <v>27146</v>
      </c>
    </row>
    <row r="9" spans="1:5" x14ac:dyDescent="0.25">
      <c r="A9" s="3"/>
    </row>
    <row r="10" spans="1:5" x14ac:dyDescent="0.25">
      <c r="A10" s="3" t="s">
        <v>181</v>
      </c>
      <c r="B10" s="17">
        <f>SUM(Revenue!B6:M6)</f>
        <v>2714600</v>
      </c>
    </row>
    <row r="11" spans="1:5" x14ac:dyDescent="0.25">
      <c r="A11" s="3" t="s">
        <v>185</v>
      </c>
      <c r="B11" s="17">
        <f>SUM(Revenue!B11:M11)</f>
        <v>2584299.1999999997</v>
      </c>
    </row>
    <row r="12" spans="1:5" x14ac:dyDescent="0.25">
      <c r="A12" s="3"/>
    </row>
    <row r="13" spans="1:5" x14ac:dyDescent="0.25">
      <c r="A13" s="3" t="s">
        <v>194</v>
      </c>
      <c r="B13" s="17">
        <f>SUM(Costs!B9:M9)</f>
        <v>2977.44</v>
      </c>
    </row>
    <row r="14" spans="1:5" x14ac:dyDescent="0.25">
      <c r="A14" s="3" t="s">
        <v>199</v>
      </c>
      <c r="B14" s="17">
        <f>SUM(Costs!B15:M15)</f>
        <v>200460</v>
      </c>
    </row>
    <row r="15" spans="1:5" x14ac:dyDescent="0.25">
      <c r="A15" s="3" t="s">
        <v>206</v>
      </c>
      <c r="B15" s="17">
        <f>SUM(Costs!B23:M23)</f>
        <v>18750</v>
      </c>
    </row>
    <row r="16" spans="1:5" x14ac:dyDescent="0.25">
      <c r="A16" s="3" t="s">
        <v>208</v>
      </c>
      <c r="B16" s="17">
        <f>SUM(Costs!B26:M26)</f>
        <v>0</v>
      </c>
    </row>
    <row r="19" spans="1:14" ht="18.75" customHeight="1" x14ac:dyDescent="0.3">
      <c r="A19" s="1" t="s">
        <v>213</v>
      </c>
    </row>
    <row r="20" spans="1:14" ht="15.75" customHeight="1" x14ac:dyDescent="0.25">
      <c r="A20" s="2" t="s">
        <v>132</v>
      </c>
      <c r="B20" s="2" t="s">
        <v>3</v>
      </c>
    </row>
    <row r="21" spans="1:14" x14ac:dyDescent="0.25">
      <c r="A21" s="3" t="s">
        <v>214</v>
      </c>
      <c r="B21" s="13">
        <f>IF(B11&gt;0,B13/B11,0)</f>
        <v>1.1521266577801828E-3</v>
      </c>
    </row>
    <row r="22" spans="1:14" x14ac:dyDescent="0.25">
      <c r="A22" s="3" t="s">
        <v>215</v>
      </c>
      <c r="B22" s="13">
        <f>IF(B11&gt;0,B16/B11,0)</f>
        <v>0</v>
      </c>
    </row>
    <row r="23" spans="1:14" x14ac:dyDescent="0.25">
      <c r="A23" s="3" t="s">
        <v>216</v>
      </c>
      <c r="B23" s="14">
        <f>IF(B6&gt;0,B16/B6,0)</f>
        <v>0</v>
      </c>
    </row>
    <row r="24" spans="1:14" x14ac:dyDescent="0.25">
      <c r="A24" s="3" t="s">
        <v>217</v>
      </c>
      <c r="B24" s="14">
        <f>IF(B6&gt;0,B11/B6,0)</f>
        <v>2597.285628140703</v>
      </c>
    </row>
    <row r="25" spans="1:14" x14ac:dyDescent="0.25">
      <c r="A25" s="3" t="s">
        <v>218</v>
      </c>
      <c r="B25" s="13">
        <f>IF(B5&gt;0,B6/B5,0)</f>
        <v>0.79600000000000004</v>
      </c>
    </row>
    <row r="26" spans="1:14" x14ac:dyDescent="0.25">
      <c r="A26" s="3" t="s">
        <v>219</v>
      </c>
      <c r="B26" s="13">
        <f>SUMPRODUCT('VIP Levels'!$D$5:$D$9,Inputs!$B$34:$B$38)</f>
        <v>0.11799999999999999</v>
      </c>
    </row>
    <row r="29" spans="1:14" ht="18.75" customHeight="1" x14ac:dyDescent="0.3">
      <c r="A29" s="1" t="s">
        <v>220</v>
      </c>
    </row>
    <row r="30" spans="1:14" ht="15.75" customHeight="1" x14ac:dyDescent="0.25">
      <c r="A30" s="2" t="s">
        <v>132</v>
      </c>
      <c r="B30" s="2" t="s">
        <v>221</v>
      </c>
      <c r="C30" s="2" t="s">
        <v>222</v>
      </c>
      <c r="D30" s="2" t="s">
        <v>223</v>
      </c>
      <c r="E30" s="2" t="s">
        <v>224</v>
      </c>
      <c r="F30" s="2" t="s">
        <v>225</v>
      </c>
      <c r="G30" s="2" t="s">
        <v>226</v>
      </c>
      <c r="H30" s="2" t="s">
        <v>227</v>
      </c>
      <c r="I30" s="2" t="s">
        <v>228</v>
      </c>
      <c r="J30" s="2" t="s">
        <v>229</v>
      </c>
      <c r="K30" s="2" t="s">
        <v>230</v>
      </c>
      <c r="L30" s="2" t="s">
        <v>231</v>
      </c>
      <c r="M30" s="2" t="s">
        <v>232</v>
      </c>
      <c r="N30" s="2" t="s">
        <v>233</v>
      </c>
    </row>
    <row r="31" spans="1:14" x14ac:dyDescent="0.25">
      <c r="A31" s="3" t="s">
        <v>234</v>
      </c>
      <c r="B31" s="15">
        <f>'Affiliate Projection'!B9</f>
        <v>115</v>
      </c>
      <c r="C31" s="15">
        <f>'Affiliate Projection'!C9</f>
        <v>189</v>
      </c>
      <c r="D31" s="15">
        <f>'Affiliate Projection'!D9</f>
        <v>260</v>
      </c>
      <c r="E31" s="15">
        <f>'Affiliate Projection'!E9</f>
        <v>327</v>
      </c>
      <c r="F31" s="15">
        <f>'Affiliate Projection'!F9</f>
        <v>391</v>
      </c>
      <c r="G31" s="15">
        <f>'Affiliate Projection'!G9</f>
        <v>451</v>
      </c>
      <c r="H31" s="15">
        <f>'Affiliate Projection'!H9</f>
        <v>508</v>
      </c>
      <c r="I31" s="15">
        <f>'Affiliate Projection'!I9</f>
        <v>563</v>
      </c>
      <c r="J31" s="15">
        <f>'Affiliate Projection'!J9</f>
        <v>615</v>
      </c>
      <c r="K31" s="15">
        <f>'Affiliate Projection'!K9</f>
        <v>664</v>
      </c>
      <c r="L31" s="15">
        <f>'Affiliate Projection'!L9</f>
        <v>711</v>
      </c>
      <c r="M31" s="15">
        <f>'Affiliate Projection'!M9</f>
        <v>755</v>
      </c>
      <c r="N31" s="15">
        <f>M31</f>
        <v>755</v>
      </c>
    </row>
    <row r="32" spans="1:14" x14ac:dyDescent="0.25">
      <c r="A32" s="3" t="s">
        <v>152</v>
      </c>
      <c r="B32" s="15">
        <f>'Affiliate Projection'!B10</f>
        <v>230</v>
      </c>
      <c r="C32" s="15">
        <f>'Affiliate Projection'!C10</f>
        <v>927</v>
      </c>
      <c r="D32" s="15">
        <f>'Affiliate Projection'!D10</f>
        <v>1287</v>
      </c>
      <c r="E32" s="15">
        <f>'Affiliate Projection'!E10</f>
        <v>1612</v>
      </c>
      <c r="F32" s="15">
        <f>'Affiliate Projection'!F10</f>
        <v>1944</v>
      </c>
      <c r="G32" s="15">
        <f>'Affiliate Projection'!G10</f>
        <v>2241</v>
      </c>
      <c r="H32" s="15">
        <f>'Affiliate Projection'!H10</f>
        <v>2509</v>
      </c>
      <c r="I32" s="15">
        <f>'Affiliate Projection'!I10</f>
        <v>2782</v>
      </c>
      <c r="J32" s="15">
        <f>'Affiliate Projection'!J10</f>
        <v>3057</v>
      </c>
      <c r="K32" s="15">
        <f>'Affiliate Projection'!K10</f>
        <v>3279</v>
      </c>
      <c r="L32" s="15">
        <f>'Affiliate Projection'!L10</f>
        <v>3528</v>
      </c>
      <c r="M32" s="15">
        <f>'Affiliate Projection'!M10</f>
        <v>3750</v>
      </c>
      <c r="N32" s="15">
        <f>SUM(B32:M32)</f>
        <v>27146</v>
      </c>
    </row>
    <row r="33" spans="1:14" x14ac:dyDescent="0.25">
      <c r="A33" s="3" t="s">
        <v>185</v>
      </c>
      <c r="B33" s="17">
        <f>Revenue!B11</f>
        <v>21895.999999999996</v>
      </c>
      <c r="C33" s="17">
        <f>Revenue!C11</f>
        <v>88250.4</v>
      </c>
      <c r="D33" s="17">
        <f>Revenue!D11</f>
        <v>122522.39999999998</v>
      </c>
      <c r="E33" s="17">
        <f>Revenue!E11</f>
        <v>153462.39999999999</v>
      </c>
      <c r="F33" s="17">
        <f>Revenue!F11</f>
        <v>185068.79999999999</v>
      </c>
      <c r="G33" s="17">
        <f>Revenue!G11</f>
        <v>213343.19999999998</v>
      </c>
      <c r="H33" s="17">
        <f>Revenue!H11</f>
        <v>238856.79999999996</v>
      </c>
      <c r="I33" s="17">
        <f>Revenue!I11</f>
        <v>264846.39999999997</v>
      </c>
      <c r="J33" s="17">
        <f>Revenue!J11</f>
        <v>291026.39999999997</v>
      </c>
      <c r="K33" s="17">
        <f>Revenue!K11</f>
        <v>312160.8</v>
      </c>
      <c r="L33" s="17">
        <f>Revenue!L11</f>
        <v>335865.59999999998</v>
      </c>
      <c r="M33" s="17">
        <f>Revenue!M11</f>
        <v>356999.99999999994</v>
      </c>
      <c r="N33" s="17">
        <f>SUM(B33:M33)</f>
        <v>2584299.1999999997</v>
      </c>
    </row>
    <row r="34" spans="1:14" x14ac:dyDescent="0.25">
      <c r="A34" s="3" t="s">
        <v>208</v>
      </c>
      <c r="B34" s="17">
        <f>Costs!B26</f>
        <v>0</v>
      </c>
      <c r="C34" s="17">
        <f>Costs!C26</f>
        <v>0</v>
      </c>
      <c r="D34" s="17">
        <f>Costs!D26</f>
        <v>0</v>
      </c>
      <c r="E34" s="17">
        <f>Costs!E26</f>
        <v>0</v>
      </c>
      <c r="F34" s="17">
        <f>Costs!F26</f>
        <v>0</v>
      </c>
      <c r="G34" s="17">
        <f>Costs!G26</f>
        <v>0</v>
      </c>
      <c r="H34" s="17">
        <f>Costs!H26</f>
        <v>0</v>
      </c>
      <c r="I34" s="17">
        <f>Costs!I26</f>
        <v>0</v>
      </c>
      <c r="J34" s="17">
        <f>Costs!J26</f>
        <v>0</v>
      </c>
      <c r="K34" s="17">
        <f>Costs!K26</f>
        <v>0</v>
      </c>
      <c r="L34" s="17">
        <f>Costs!L26</f>
        <v>0</v>
      </c>
      <c r="M34" s="17">
        <f>Costs!M26</f>
        <v>0</v>
      </c>
      <c r="N34" s="17">
        <f>SUM(B34:M34)</f>
        <v>0</v>
      </c>
    </row>
    <row r="35" spans="1:14" x14ac:dyDescent="0.25">
      <c r="A35" s="3" t="s">
        <v>235</v>
      </c>
      <c r="B35" s="13">
        <f t="shared" ref="B35:N35" si="0">IF(B33&gt;0,B34/B33,0)</f>
        <v>0</v>
      </c>
      <c r="C35" s="13">
        <f t="shared" si="0"/>
        <v>0</v>
      </c>
      <c r="D35" s="13">
        <f t="shared" si="0"/>
        <v>0</v>
      </c>
      <c r="E35" s="13">
        <f t="shared" si="0"/>
        <v>0</v>
      </c>
      <c r="F35" s="13">
        <f t="shared" si="0"/>
        <v>0</v>
      </c>
      <c r="G35" s="13">
        <f t="shared" si="0"/>
        <v>0</v>
      </c>
      <c r="H35" s="13">
        <f t="shared" si="0"/>
        <v>0</v>
      </c>
      <c r="I35" s="13">
        <f t="shared" si="0"/>
        <v>0</v>
      </c>
      <c r="J35" s="13">
        <f t="shared" si="0"/>
        <v>0</v>
      </c>
      <c r="K35" s="13">
        <f t="shared" si="0"/>
        <v>0</v>
      </c>
      <c r="L35" s="13">
        <f t="shared" si="0"/>
        <v>0</v>
      </c>
      <c r="M35" s="13">
        <f t="shared" si="0"/>
        <v>0</v>
      </c>
      <c r="N35" s="13">
        <f t="shared" si="0"/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Inputs</vt:lpstr>
      <vt:lpstr>VIP Levels</vt:lpstr>
      <vt:lpstr>Missions</vt:lpstr>
      <vt:lpstr>Affiliate Projection</vt:lpstr>
      <vt:lpstr>Reward Triggers</vt:lpstr>
      <vt:lpstr>Revenue</vt:lpstr>
      <vt:lpstr>Costs</vt:lpstr>
      <vt:lpstr>Summary</vt:lpstr>
      <vt:lpstr>AffAttrition</vt:lpstr>
      <vt:lpstr>SampleAffConv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Naupari</cp:lastModifiedBy>
  <dcterms:created xsi:type="dcterms:W3CDTF">2025-12-13T15:56:41Z</dcterms:created>
  <dcterms:modified xsi:type="dcterms:W3CDTF">2025-12-17T23:04:02Z</dcterms:modified>
</cp:coreProperties>
</file>