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VIP Levels" sheetId="2" state="visible" r:id="rId2"/>
    <sheet name="Missions" sheetId="3" state="visible" r:id="rId3"/>
    <sheet name="Affiliate Projection" sheetId="4" state="visible" r:id="rId4"/>
    <sheet name="Reward Triggers" sheetId="5" state="visible" r:id="rId5"/>
    <sheet name="Revenue" sheetId="6" state="visible" r:id="rId6"/>
    <sheet name="Costs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%"/>
  </numFmts>
  <fonts count="7">
    <font>
      <name val="Calibri"/>
      <family val="2"/>
      <color theme="1"/>
      <sz val="11"/>
      <scheme val="minor"/>
    </font>
    <font>
      <b val="1"/>
      <color rgb="004472C4"/>
      <sz val="16"/>
    </font>
    <font>
      <b val="1"/>
      <color rgb="004472C4"/>
      <sz val="14"/>
    </font>
    <font>
      <b val="1"/>
      <color rgb="00FFFFFF"/>
      <sz val="12"/>
    </font>
    <font>
      <i val="1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9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1" pivotButton="0" quotePrefix="0" xfId="0"/>
    <xf numFmtId="9" fontId="0" fillId="4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1" applyAlignment="1" pivotButton="0" quotePrefix="0" xfId="0">
      <alignment horizontal="center"/>
    </xf>
    <xf numFmtId="166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6" fillId="0" borderId="1" pivotButton="0" quotePrefix="0" xfId="0"/>
    <xf numFmtId="165" fontId="0" fillId="4" borderId="1" applyAlignment="1" pivotButton="0" quotePrefix="0" xfId="0">
      <alignment horizontal="center"/>
    </xf>
    <xf numFmtId="165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45" customWidth="1" min="4" max="4"/>
  </cols>
  <sheetData>
    <row r="1">
      <c r="A1" s="1" t="inlineStr">
        <is>
          <t>LOYALTY PROGRAM FINANCIAL MODEL - INPUTS DASHBOARD</t>
        </is>
      </c>
    </row>
    <row r="3">
      <c r="A3" s="2" t="inlineStr">
        <is>
          <t>ACQUISITION INPUTS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Description</t>
        </is>
      </c>
    </row>
    <row r="5">
      <c r="A5" s="4" t="inlineStr">
        <is>
          <t>Samples Sent - Month 1</t>
        </is>
      </c>
      <c r="B5" s="5" t="n">
        <v>150</v>
      </c>
      <c r="C5" s="4" t="inlineStr">
        <is>
          <t>samples</t>
        </is>
      </c>
      <c r="D5" s="4" t="inlineStr">
        <is>
          <t>Initial month sample distribution</t>
        </is>
      </c>
    </row>
    <row r="6">
      <c r="A6" s="4" t="inlineStr">
        <is>
          <t>Samples Sent - Month 2+</t>
        </is>
      </c>
      <c r="B6" s="5" t="n">
        <v>100</v>
      </c>
      <c r="C6" s="4" t="inlineStr">
        <is>
          <t>samples</t>
        </is>
      </c>
      <c r="D6" s="4" t="inlineStr">
        <is>
          <t>Ongoing monthly sample distribution</t>
        </is>
      </c>
    </row>
    <row r="7">
      <c r="A7" s="4" t="inlineStr">
        <is>
          <t>Sample-to-Affiliate Conversion Rate</t>
        </is>
      </c>
      <c r="B7" s="6" t="n">
        <v>0.2</v>
      </c>
      <c r="C7" s="4" t="inlineStr">
        <is>
          <t>%</t>
        </is>
      </c>
      <c r="D7" s="4" t="inlineStr">
        <is>
          <t>Percentage of samples that convert to affiliates</t>
        </is>
      </c>
    </row>
    <row r="8">
      <c r="A8" s="4" t="inlineStr">
        <is>
          <t>Flywheel Affiliates per Month</t>
        </is>
      </c>
      <c r="B8" s="5" t="n">
        <v>10</v>
      </c>
      <c r="C8" s="4" t="inlineStr">
        <is>
          <t>affiliates</t>
        </is>
      </c>
      <c r="D8" s="4" t="inlineStr">
        <is>
          <t>Organic inbound affiliates monthly</t>
        </is>
      </c>
    </row>
    <row r="9">
      <c r="A9" s="4" t="inlineStr">
        <is>
          <t>Time to First Sale</t>
        </is>
      </c>
      <c r="B9" s="5" t="n">
        <v>14</v>
      </c>
      <c r="C9" s="4" t="inlineStr">
        <is>
          <t>days</t>
        </is>
      </c>
      <c r="D9" s="4" t="inlineStr">
        <is>
          <t>Lag between conversion and first sale</t>
        </is>
      </c>
    </row>
    <row r="10">
      <c r="A10" s="4" t="inlineStr">
        <is>
          <t>Affiliate Attrition Rate</t>
        </is>
      </c>
      <c r="B10" s="6" t="n">
        <v>0.05</v>
      </c>
      <c r="C10" s="4" t="inlineStr">
        <is>
          <t>%</t>
        </is>
      </c>
      <c r="D10" s="4" t="inlineStr">
        <is>
          <t>Monthly churn rate of affiliates</t>
        </is>
      </c>
    </row>
    <row r="12">
      <c r="A12" s="2" t="inlineStr">
        <is>
          <t>PERFORMANCE INPUTS</t>
        </is>
      </c>
    </row>
    <row r="13">
      <c r="A13" s="3" t="inlineStr">
        <is>
          <t>Parameter</t>
        </is>
      </c>
      <c r="B13" s="3" t="inlineStr">
        <is>
          <t>Value</t>
        </is>
      </c>
      <c r="C13" s="3" t="inlineStr">
        <is>
          <t>Unit</t>
        </is>
      </c>
      <c r="D13" s="3" t="inlineStr">
        <is>
          <t>Description</t>
        </is>
      </c>
    </row>
    <row r="14">
      <c r="A14" s="4" t="inlineStr">
        <is>
          <t>Average Sales per Affiliate per Month</t>
        </is>
      </c>
      <c r="B14" s="5" t="n">
        <v>5</v>
      </c>
      <c r="C14" s="4" t="inlineStr">
        <is>
          <t>sales</t>
        </is>
      </c>
      <c r="D14" s="4" t="inlineStr">
        <is>
          <t>Monthly sales velocity per active affiliate</t>
        </is>
      </c>
    </row>
    <row r="15">
      <c r="A15" s="4" t="inlineStr">
        <is>
          <t>Gross AOV</t>
        </is>
      </c>
      <c r="B15" s="7" t="n">
        <v>100</v>
      </c>
      <c r="C15" s="4" t="inlineStr">
        <is>
          <t>$</t>
        </is>
      </c>
      <c r="D15" s="4" t="inlineStr">
        <is>
          <t>Average order value before discounts</t>
        </is>
      </c>
    </row>
    <row r="16">
      <c r="A16" s="4" t="inlineStr">
        <is>
          <t>Rolling Window Duration</t>
        </is>
      </c>
      <c r="B16" s="5" t="n">
        <v>30</v>
      </c>
      <c r="C16" s="4" t="inlineStr">
        <is>
          <t>days</t>
        </is>
      </c>
      <c r="D16" s="4" t="inlineStr">
        <is>
          <t>Time period for VIP level qualification</t>
        </is>
      </c>
    </row>
    <row r="19">
      <c r="A19" s="2" t="inlineStr">
        <is>
          <t>REDEMPTION &amp; BEHAVIOR INPUTS</t>
        </is>
      </c>
    </row>
    <row r="20">
      <c r="A20" s="3" t="inlineStr">
        <is>
          <t>Parameter</t>
        </is>
      </c>
      <c r="B20" s="3" t="inlineStr">
        <is>
          <t>Value</t>
        </is>
      </c>
      <c r="C20" s="3" t="inlineStr">
        <is>
          <t>Unit</t>
        </is>
      </c>
      <c r="D20" s="3" t="inlineStr">
        <is>
          <t>Description</t>
        </is>
      </c>
    </row>
    <row r="21">
      <c r="A21" s="4" t="inlineStr">
        <is>
          <t>Discount Redemption Rate</t>
        </is>
      </c>
      <c r="B21" s="6" t="n">
        <v>0.3</v>
      </c>
      <c r="C21" s="4" t="inlineStr">
        <is>
          <t>%</t>
        </is>
      </c>
      <c r="D21" s="4" t="inlineStr">
        <is>
          <t>Percentage of discount coupons redeemed</t>
        </is>
      </c>
    </row>
    <row r="22">
      <c r="A22" s="4" t="inlineStr">
        <is>
          <t>Default Mission Completion Rate</t>
        </is>
      </c>
      <c r="B22" s="6" t="n">
        <v>0.25</v>
      </c>
      <c r="C22" s="4" t="inlineStr">
        <is>
          <t>%</t>
        </is>
      </c>
      <c r="D22" s="4" t="inlineStr">
        <is>
          <t>Default completion rate for missions</t>
        </is>
      </c>
    </row>
    <row r="23">
      <c r="A23" s="4" t="inlineStr">
        <is>
          <t>Avg Sales During Commission Boost</t>
        </is>
      </c>
      <c r="B23" s="5" t="n">
        <v>3</v>
      </c>
      <c r="C23" s="4" t="inlineStr">
        <is>
          <t>sales</t>
        </is>
      </c>
      <c r="D23" s="4" t="inlineStr">
        <is>
          <t>Expected sales an affiliate makes during boost period</t>
        </is>
      </c>
    </row>
    <row r="26">
      <c r="A26" s="2" t="inlineStr">
        <is>
          <t>COST INPUTS</t>
        </is>
      </c>
    </row>
    <row r="27">
      <c r="A27" s="3" t="inlineStr">
        <is>
          <t>Parameter</t>
        </is>
      </c>
      <c r="B27" s="3" t="inlineStr">
        <is>
          <t>Value</t>
        </is>
      </c>
      <c r="C27" s="3" t="inlineStr">
        <is>
          <t>Unit</t>
        </is>
      </c>
      <c r="D27" s="3" t="inlineStr">
        <is>
          <t>Description</t>
        </is>
      </c>
    </row>
    <row r="28">
      <c r="A28" s="4" t="inlineStr">
        <is>
          <t>Cost per Sample</t>
        </is>
      </c>
      <c r="B28" s="7" t="n">
        <v>15</v>
      </c>
      <c r="C28" s="4" t="inlineStr">
        <is>
          <t>$</t>
        </is>
      </c>
      <c r="D28" s="4" t="inlineStr">
        <is>
          <t>Cost of each sample sent (product + shipping)</t>
        </is>
      </c>
    </row>
    <row r="31">
      <c r="A31" s="2" t="inlineStr">
        <is>
          <t>LEVEL DISTRIBUTION ASSUMPTIONS</t>
        </is>
      </c>
    </row>
    <row r="32">
      <c r="A32" s="8" t="inlineStr">
        <is>
          <t>(Estimated % of affiliates at each level based on sales velocity vs thresholds)</t>
        </is>
      </c>
    </row>
    <row r="33">
      <c r="A33" s="3" t="inlineStr">
        <is>
          <t>Level</t>
        </is>
      </c>
      <c r="B33" s="3" t="inlineStr">
        <is>
          <t>% of Affiliates</t>
        </is>
      </c>
      <c r="C33" s="3" t="inlineStr">
        <is>
          <t>Description</t>
        </is>
      </c>
    </row>
    <row r="34">
      <c r="A34" s="4" t="inlineStr">
        <is>
          <t>Bronze</t>
        </is>
      </c>
      <c r="B34" s="6" t="n">
        <v>0.4</v>
      </c>
      <c r="C34" s="4" t="inlineStr">
        <is>
          <t>Affiliates below Silver threshold</t>
        </is>
      </c>
    </row>
    <row r="35">
      <c r="A35" s="4" t="inlineStr">
        <is>
          <t>Silver</t>
        </is>
      </c>
      <c r="B35" s="6" t="n">
        <v>0.3</v>
      </c>
      <c r="C35" s="4" t="inlineStr">
        <is>
          <t>Affiliates at Silver, below Gold</t>
        </is>
      </c>
    </row>
    <row r="36">
      <c r="A36" s="4" t="inlineStr">
        <is>
          <t>Gold</t>
        </is>
      </c>
      <c r="B36" s="6" t="n">
        <v>0.18</v>
      </c>
      <c r="C36" s="4" t="inlineStr">
        <is>
          <t>Affiliates at Gold, below Platinum</t>
        </is>
      </c>
    </row>
    <row r="37">
      <c r="A37" s="4" t="inlineStr">
        <is>
          <t>Platinum</t>
        </is>
      </c>
      <c r="B37" s="6" t="n">
        <v>0.09</v>
      </c>
      <c r="C37" s="4" t="inlineStr">
        <is>
          <t>Affiliates at Platinum, below Diamond</t>
        </is>
      </c>
    </row>
    <row r="38">
      <c r="A38" s="4" t="inlineStr">
        <is>
          <t>Diamond</t>
        </is>
      </c>
      <c r="B38" s="6" t="n">
        <v>0.03</v>
      </c>
      <c r="C38" s="4" t="inlineStr">
        <is>
          <t>Top performers at Diamond</t>
        </is>
      </c>
    </row>
    <row r="39">
      <c r="A39" s="9" t="inlineStr">
        <is>
          <t>Total (must = 100%)</t>
        </is>
      </c>
      <c r="B39" s="10">
        <f>SUM(B34:B38)</f>
        <v/>
      </c>
    </row>
    <row r="42">
      <c r="A42" s="2" t="inlineStr">
        <is>
          <t>LEGEND</t>
        </is>
      </c>
    </row>
    <row r="43">
      <c r="A43" t="inlineStr">
        <is>
          <t>Yellow cells</t>
        </is>
      </c>
      <c r="B43" s="11">
        <f> Editable inputs</f>
        <v/>
      </c>
    </row>
    <row r="44">
      <c r="A44" t="inlineStr">
        <is>
          <t>Green cells</t>
        </is>
      </c>
      <c r="B44" s="12">
        <f> Calculated values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VIP LEVEL CONFIGURATION</t>
        </is>
      </c>
    </row>
    <row r="3">
      <c r="A3" s="2" t="inlineStr">
        <is>
          <t>LEVEL THRESHOLDS &amp; COMMISSION</t>
        </is>
      </c>
    </row>
    <row r="4">
      <c r="A4" s="3" t="inlineStr">
        <is>
          <t>Level #</t>
        </is>
      </c>
      <c r="B4" s="3" t="inlineStr">
        <is>
          <t>Name</t>
        </is>
      </c>
      <c r="C4" s="3" t="inlineStr">
        <is>
          <t>Sales Threshold</t>
        </is>
      </c>
      <c r="D4" s="3" t="inlineStr">
        <is>
          <t>Base Commission %</t>
        </is>
      </c>
    </row>
    <row r="5">
      <c r="A5" s="4" t="n">
        <v>1</v>
      </c>
      <c r="B5" s="5" t="inlineStr">
        <is>
          <t>Bronze</t>
        </is>
      </c>
      <c r="C5" s="5" t="n">
        <v>0</v>
      </c>
      <c r="D5" s="6" t="n">
        <v>0.1</v>
      </c>
    </row>
    <row r="6">
      <c r="A6" s="4" t="n">
        <v>2</v>
      </c>
      <c r="B6" s="5" t="inlineStr">
        <is>
          <t>Silver</t>
        </is>
      </c>
      <c r="C6" s="5" t="n">
        <v>5</v>
      </c>
      <c r="D6" s="6" t="n">
        <v>0.12</v>
      </c>
    </row>
    <row r="7">
      <c r="A7" s="4" t="n">
        <v>3</v>
      </c>
      <c r="B7" s="5" t="inlineStr">
        <is>
          <t>Gold</t>
        </is>
      </c>
      <c r="C7" s="5" t="n">
        <v>20</v>
      </c>
      <c r="D7" s="6" t="n">
        <v>0.18</v>
      </c>
    </row>
    <row r="8">
      <c r="A8" s="4" t="n">
        <v>4</v>
      </c>
      <c r="B8" s="5" t="inlineStr">
        <is>
          <t>Platinum</t>
        </is>
      </c>
      <c r="C8" s="5" t="n">
        <v>50</v>
      </c>
      <c r="D8" s="6" t="n">
        <v>0.22</v>
      </c>
    </row>
    <row r="9">
      <c r="A9" s="4" t="n">
        <v>5</v>
      </c>
      <c r="B9" s="5" t="inlineStr">
        <is>
          <t>Diamond</t>
        </is>
      </c>
      <c r="C9" s="5" t="n">
        <v>100</v>
      </c>
      <c r="D9" s="6" t="n">
        <v>0.25</v>
      </c>
    </row>
    <row r="12">
      <c r="A12" s="2" t="inlineStr">
        <is>
          <t>WELCOME REWARDS (Per Level)</t>
        </is>
      </c>
    </row>
    <row r="13">
      <c r="A13" s="3" t="inlineStr">
        <is>
          <t>Level</t>
        </is>
      </c>
      <c r="B13" s="3" t="inlineStr">
        <is>
          <t>Comm Boost Qty</t>
        </is>
      </c>
      <c r="C13" s="3" t="inlineStr">
        <is>
          <t>Comm Boost %</t>
        </is>
      </c>
      <c r="D13" s="3" t="inlineStr">
        <is>
          <t>Comm Boost Days</t>
        </is>
      </c>
      <c r="E13" s="3" t="inlineStr">
        <is>
          <t>Gift Card Qty</t>
        </is>
      </c>
      <c r="F13" s="3" t="inlineStr">
        <is>
          <t>Gift Card $</t>
        </is>
      </c>
      <c r="G13" s="3" t="inlineStr">
        <is>
          <t>Discount Qty</t>
        </is>
      </c>
      <c r="H13" s="3" t="inlineStr">
        <is>
          <t>Discount %</t>
        </is>
      </c>
      <c r="I13" s="3" t="inlineStr">
        <is>
          <t>Spark Ads Qty</t>
        </is>
      </c>
      <c r="J13" s="3" t="inlineStr">
        <is>
          <t>Spark Ads $</t>
        </is>
      </c>
      <c r="K13" s="3" t="inlineStr">
        <is>
          <t>Phys Gift Qty</t>
        </is>
      </c>
      <c r="L13" s="3" t="inlineStr">
        <is>
          <t>Phys Gift $</t>
        </is>
      </c>
      <c r="M13" s="3" t="inlineStr">
        <is>
          <t>Experience Qty</t>
        </is>
      </c>
      <c r="N13" s="3" t="inlineStr">
        <is>
          <t>Experience $</t>
        </is>
      </c>
    </row>
    <row r="14">
      <c r="A14" s="4" t="inlineStr">
        <is>
          <t>Bronze</t>
        </is>
      </c>
      <c r="B14" s="5" t="n">
        <v>1</v>
      </c>
      <c r="C14" s="6" t="n">
        <v>0.1</v>
      </c>
      <c r="D14" s="5" t="n">
        <v>30</v>
      </c>
      <c r="E14" s="5" t="n">
        <v>0</v>
      </c>
      <c r="F14" s="13" t="n">
        <v>0</v>
      </c>
      <c r="G14" s="5" t="n">
        <v>2</v>
      </c>
      <c r="H14" s="6" t="n">
        <v>0.15</v>
      </c>
      <c r="I14" s="5" t="n">
        <v>0</v>
      </c>
      <c r="J14" s="13" t="n">
        <v>0</v>
      </c>
      <c r="K14" s="5" t="n">
        <v>0</v>
      </c>
      <c r="L14" s="13" t="n">
        <v>0</v>
      </c>
      <c r="M14" s="5" t="n">
        <v>0</v>
      </c>
      <c r="N14" s="13" t="n">
        <v>0</v>
      </c>
    </row>
    <row r="15">
      <c r="A15" s="4" t="inlineStr">
        <is>
          <t>Silver</t>
        </is>
      </c>
      <c r="B15" s="5" t="n">
        <v>2</v>
      </c>
      <c r="C15" s="6" t="n">
        <v>0.15</v>
      </c>
      <c r="D15" s="5" t="n">
        <v>30</v>
      </c>
      <c r="E15" s="5" t="n">
        <v>1</v>
      </c>
      <c r="F15" s="13" t="n">
        <v>50</v>
      </c>
      <c r="G15" s="5" t="n">
        <v>2</v>
      </c>
      <c r="H15" s="6" t="n">
        <v>0.15</v>
      </c>
      <c r="I15" s="5" t="n">
        <v>1</v>
      </c>
      <c r="J15" s="13" t="n">
        <v>25</v>
      </c>
      <c r="K15" s="5" t="n">
        <v>0</v>
      </c>
      <c r="L15" s="13" t="n">
        <v>0</v>
      </c>
      <c r="M15" s="5" t="n">
        <v>0</v>
      </c>
      <c r="N15" s="13" t="n">
        <v>0</v>
      </c>
    </row>
    <row r="16">
      <c r="A16" s="4" t="inlineStr">
        <is>
          <t>Gold</t>
        </is>
      </c>
      <c r="B16" s="5" t="n">
        <v>1</v>
      </c>
      <c r="C16" s="6" t="n">
        <v>0.2</v>
      </c>
      <c r="D16" s="5" t="n">
        <v>30</v>
      </c>
      <c r="E16" s="5" t="n">
        <v>1</v>
      </c>
      <c r="F16" s="13" t="n">
        <v>100</v>
      </c>
      <c r="G16" s="5" t="n">
        <v>2</v>
      </c>
      <c r="H16" s="6" t="n">
        <v>0.2</v>
      </c>
      <c r="I16" s="5" t="n">
        <v>1</v>
      </c>
      <c r="J16" s="13" t="n">
        <v>50</v>
      </c>
      <c r="K16" s="5" t="n">
        <v>1</v>
      </c>
      <c r="L16" s="13" t="n">
        <v>50</v>
      </c>
      <c r="M16" s="5" t="n">
        <v>0</v>
      </c>
      <c r="N16" s="13" t="n">
        <v>0</v>
      </c>
    </row>
    <row r="17">
      <c r="A17" s="4" t="inlineStr">
        <is>
          <t>Platinum</t>
        </is>
      </c>
      <c r="B17" s="5" t="n">
        <v>2</v>
      </c>
      <c r="C17" s="6" t="n">
        <v>0.25</v>
      </c>
      <c r="D17" s="5" t="n">
        <v>45</v>
      </c>
      <c r="E17" s="5" t="n">
        <v>2</v>
      </c>
      <c r="F17" s="13" t="n">
        <v>150</v>
      </c>
      <c r="G17" s="5" t="n">
        <v>3</v>
      </c>
      <c r="H17" s="6" t="n">
        <v>0.25</v>
      </c>
      <c r="I17" s="5" t="n">
        <v>2</v>
      </c>
      <c r="J17" s="13" t="n">
        <v>75</v>
      </c>
      <c r="K17" s="5" t="n">
        <v>1</v>
      </c>
      <c r="L17" s="13" t="n">
        <v>75</v>
      </c>
      <c r="M17" s="5" t="n">
        <v>1</v>
      </c>
      <c r="N17" s="13" t="n">
        <v>100</v>
      </c>
    </row>
    <row r="18">
      <c r="A18" s="4" t="inlineStr">
        <is>
          <t>Diamond</t>
        </is>
      </c>
      <c r="B18" s="5" t="n">
        <v>3</v>
      </c>
      <c r="C18" s="6" t="n">
        <v>0.3</v>
      </c>
      <c r="D18" s="5" t="n">
        <v>60</v>
      </c>
      <c r="E18" s="5" t="n">
        <v>2</v>
      </c>
      <c r="F18" s="13" t="n">
        <v>200</v>
      </c>
      <c r="G18" s="5" t="n">
        <v>3</v>
      </c>
      <c r="H18" s="6" t="n">
        <v>0.3</v>
      </c>
      <c r="I18" s="5" t="n">
        <v>2</v>
      </c>
      <c r="J18" s="13" t="n">
        <v>100</v>
      </c>
      <c r="K18" s="5" t="n">
        <v>1</v>
      </c>
      <c r="L18" s="13" t="n">
        <v>100</v>
      </c>
      <c r="M18" s="5" t="n">
        <v>1</v>
      </c>
      <c r="N18" s="13" t="n">
        <v>200</v>
      </c>
    </row>
    <row r="21">
      <c r="A21" s="2" t="inlineStr">
        <is>
          <t>WELCOME REWARD SUMMARY (Weighted by Level Distribution)</t>
        </is>
      </c>
    </row>
    <row r="22">
      <c r="A22" s="4" t="inlineStr">
        <is>
          <t>Weighted Avg Commission Boost %</t>
        </is>
      </c>
      <c r="B22" s="14">
        <f>SUMPRODUCT(C14:C18,Inputs!$B$34:$B$38)</f>
        <v/>
      </c>
    </row>
    <row r="23">
      <c r="A23" s="4" t="inlineStr">
        <is>
          <t>Weighted Avg Gift Card Value</t>
        </is>
      </c>
      <c r="B23" s="15">
        <f>SUMPRODUCT(E14:E18*F14:F18,Inputs!$B$34:$B$38)</f>
        <v/>
      </c>
    </row>
    <row r="24">
      <c r="A24" s="4" t="inlineStr">
        <is>
          <t>Weighted Avg Spark Ads Value</t>
        </is>
      </c>
      <c r="B24" s="15">
        <f>SUMPRODUCT(I14:I18*J14:J18,Inputs!$B$34:$B$38)</f>
        <v/>
      </c>
    </row>
    <row r="25">
      <c r="A25" s="4" t="inlineStr">
        <is>
          <t>Weighted Avg Physical Gift Value</t>
        </is>
      </c>
      <c r="B25" s="15">
        <f>SUMPRODUCT(K14:K18*L14:L18,Inputs!$B$34:$B$38)</f>
        <v/>
      </c>
    </row>
    <row r="26">
      <c r="A26" s="4" t="inlineStr">
        <is>
          <t>Weighted Avg Experience Value</t>
        </is>
      </c>
      <c r="B26" s="15">
        <f>SUMPRODUCT(M14:M18*N14:N18,Inputs!$B$34:$B$38)</f>
        <v/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MISSION CONFIGURATION</t>
        </is>
      </c>
    </row>
    <row r="3">
      <c r="A3" s="2" t="inlineStr">
        <is>
          <t>MISSIONS BY VIP LEVEL</t>
        </is>
      </c>
    </row>
    <row r="4">
      <c r="A4" s="3" t="inlineStr">
        <is>
          <t>VIP Level</t>
        </is>
      </c>
      <c r="B4" s="3" t="inlineStr">
        <is>
          <t>Mission Type</t>
        </is>
      </c>
      <c r="C4" s="3" t="inlineStr">
        <is>
          <t>Target</t>
        </is>
      </c>
      <c r="D4" s="3" t="inlineStr">
        <is>
          <t>Repeatability</t>
        </is>
      </c>
      <c r="E4" s="3" t="inlineStr">
        <is>
          <t>Completion Rate</t>
        </is>
      </c>
      <c r="F4" s="3" t="inlineStr">
        <is>
          <t>Reward Type</t>
        </is>
      </c>
      <c r="G4" s="3" t="inlineStr">
        <is>
          <t>Reward Value</t>
        </is>
      </c>
      <c r="H4" s="3" t="inlineStr">
        <is>
          <t>Reward Duration</t>
        </is>
      </c>
      <c r="I4" s="3" t="inlineStr">
        <is>
          <t>Active?</t>
        </is>
      </c>
      <c r="J4" s="3" t="inlineStr">
        <is>
          <t>Cost per Completion</t>
        </is>
      </c>
    </row>
    <row r="5">
      <c r="A5" s="5" t="inlineStr">
        <is>
          <t>Bronze</t>
        </is>
      </c>
      <c r="B5" s="5" t="inlineStr">
        <is>
          <t>Videos</t>
        </is>
      </c>
      <c r="C5" s="5" t="n">
        <v>5</v>
      </c>
      <c r="D5" s="5" t="inlineStr">
        <is>
          <t>Monthly</t>
        </is>
      </c>
      <c r="E5" s="6" t="n">
        <v>0.25</v>
      </c>
      <c r="F5" s="5" t="inlineStr">
        <is>
          <t>Gift Card</t>
        </is>
      </c>
      <c r="G5" s="13" t="n">
        <v>50</v>
      </c>
      <c r="H5" s="5" t="n">
        <v>0</v>
      </c>
      <c r="I5" s="5" t="inlineStr">
        <is>
          <t>Yes</t>
        </is>
      </c>
      <c r="J5" s="15">
        <f>IF(F5="Gift Card",G5,IF(F5="Spark Ads",G5,IF(F5="Commission Boost",G5*Inputs!$B$23*Inputs!$B$15*0.955,0)))</f>
        <v/>
      </c>
    </row>
    <row r="6">
      <c r="A6" s="5" t="inlineStr">
        <is>
          <t>Bronze</t>
        </is>
      </c>
      <c r="B6" s="5" t="inlineStr">
        <is>
          <t>Likes</t>
        </is>
      </c>
      <c r="C6" s="5" t="n">
        <v>100</v>
      </c>
      <c r="D6" s="5" t="inlineStr">
        <is>
          <t>Monthly</t>
        </is>
      </c>
      <c r="E6" s="6" t="n">
        <v>0.2</v>
      </c>
      <c r="F6" s="5" t="inlineStr">
        <is>
          <t>Gift Card</t>
        </is>
      </c>
      <c r="G6" s="13" t="n">
        <v>50</v>
      </c>
      <c r="H6" s="5" t="n">
        <v>0</v>
      </c>
      <c r="I6" s="5" t="inlineStr">
        <is>
          <t>Yes</t>
        </is>
      </c>
      <c r="J6" s="15">
        <f>IF(F6="Gift Card",G6,IF(F6="Spark Ads",G6,IF(F6="Commission Boost",G6*Inputs!$B$23*Inputs!$B$15*0.955,0)))</f>
        <v/>
      </c>
    </row>
    <row r="7">
      <c r="A7" s="5" t="inlineStr">
        <is>
          <t>Silver</t>
        </is>
      </c>
      <c r="B7" s="5" t="inlineStr">
        <is>
          <t>Videos</t>
        </is>
      </c>
      <c r="C7" s="5" t="n">
        <v>10</v>
      </c>
      <c r="D7" s="5" t="inlineStr">
        <is>
          <t>Monthly</t>
        </is>
      </c>
      <c r="E7" s="6" t="n">
        <v>0.2</v>
      </c>
      <c r="F7" s="5" t="inlineStr">
        <is>
          <t>Commission Boost</t>
        </is>
      </c>
      <c r="G7" s="6" t="n">
        <v>0.2</v>
      </c>
      <c r="H7" s="5" t="n">
        <v>30</v>
      </c>
      <c r="I7" s="5" t="inlineStr">
        <is>
          <t>Yes</t>
        </is>
      </c>
      <c r="J7" s="15">
        <f>IF(F7="Gift Card",G7,IF(F7="Spark Ads",G7,IF(F7="Commission Boost",G7*Inputs!$B$23*Inputs!$B$15*0.955,0)))</f>
        <v/>
      </c>
    </row>
    <row r="8">
      <c r="A8" s="5" t="inlineStr">
        <is>
          <t>Silver</t>
        </is>
      </c>
      <c r="B8" s="5" t="inlineStr">
        <is>
          <t>Likes</t>
        </is>
      </c>
      <c r="C8" s="5" t="n">
        <v>100</v>
      </c>
      <c r="D8" s="5" t="inlineStr">
        <is>
          <t>Monthly</t>
        </is>
      </c>
      <c r="E8" s="6" t="n">
        <v>0.15</v>
      </c>
      <c r="F8" s="5" t="inlineStr">
        <is>
          <t>Gift Card</t>
        </is>
      </c>
      <c r="G8" s="13" t="n">
        <v>50</v>
      </c>
      <c r="H8" s="5" t="n">
        <v>0</v>
      </c>
      <c r="I8" s="5" t="inlineStr">
        <is>
          <t>Yes</t>
        </is>
      </c>
      <c r="J8" s="15">
        <f>IF(F8="Gift Card",G8,IF(F8="Spark Ads",G8,IF(F8="Commission Boost",G8*Inputs!$B$23*Inputs!$B$15*0.955,0)))</f>
        <v/>
      </c>
    </row>
    <row r="9">
      <c r="A9" s="5" t="inlineStr">
        <is>
          <t>Gold</t>
        </is>
      </c>
      <c r="B9" s="5" t="inlineStr">
        <is>
          <t>Sales</t>
        </is>
      </c>
      <c r="C9" s="5" t="n">
        <v>100</v>
      </c>
      <c r="D9" s="5" t="inlineStr">
        <is>
          <t>One-time</t>
        </is>
      </c>
      <c r="E9" s="6" t="n">
        <v>0.1</v>
      </c>
      <c r="F9" s="5" t="inlineStr">
        <is>
          <t>Commission Boost</t>
        </is>
      </c>
      <c r="G9" s="6" t="n">
        <v>0.3</v>
      </c>
      <c r="H9" s="5" t="n">
        <v>45</v>
      </c>
      <c r="I9" s="5" t="inlineStr">
        <is>
          <t>Yes</t>
        </is>
      </c>
      <c r="J9" s="15">
        <f>IF(F9="Gift Card",G9,IF(F9="Spark Ads",G9,IF(F9="Commission Boost",G9*Inputs!$B$23*Inputs!$B$15*0.955,0)))</f>
        <v/>
      </c>
    </row>
    <row r="10">
      <c r="A10" s="5" t="inlineStr">
        <is>
          <t>Gold</t>
        </is>
      </c>
      <c r="B10" s="5" t="inlineStr">
        <is>
          <t>Views</t>
        </is>
      </c>
      <c r="C10" s="5" t="n">
        <v>1000</v>
      </c>
      <c r="D10" s="5" t="inlineStr">
        <is>
          <t>Monthly</t>
        </is>
      </c>
      <c r="E10" s="6" t="n">
        <v>0.15</v>
      </c>
      <c r="F10" s="5" t="inlineStr">
        <is>
          <t>Spark Ads</t>
        </is>
      </c>
      <c r="G10" s="13" t="n">
        <v>50</v>
      </c>
      <c r="H10" s="5" t="n">
        <v>0</v>
      </c>
      <c r="I10" s="5" t="inlineStr">
        <is>
          <t>Yes</t>
        </is>
      </c>
      <c r="J10" s="15">
        <f>IF(F10="Gift Card",G10,IF(F10="Spark Ads",G10,IF(F10="Commission Boost",G10*Inputs!$B$23*Inputs!$B$15*0.955,0)))</f>
        <v/>
      </c>
    </row>
    <row r="11">
      <c r="A11" s="5" t="inlineStr">
        <is>
          <t>Platinum</t>
        </is>
      </c>
      <c r="B11" s="5" t="inlineStr">
        <is>
          <t>Sales</t>
        </is>
      </c>
      <c r="C11" s="5" t="n">
        <v>200</v>
      </c>
      <c r="D11" s="5" t="inlineStr">
        <is>
          <t>One-time</t>
        </is>
      </c>
      <c r="E11" s="6" t="n">
        <v>0.08</v>
      </c>
      <c r="F11" s="5" t="inlineStr">
        <is>
          <t>Gift Card</t>
        </is>
      </c>
      <c r="G11" s="13" t="n">
        <v>200</v>
      </c>
      <c r="H11" s="5" t="n">
        <v>0</v>
      </c>
      <c r="I11" s="5" t="inlineStr">
        <is>
          <t>Yes</t>
        </is>
      </c>
      <c r="J11" s="15">
        <f>IF(F11="Gift Card",G11,IF(F11="Spark Ads",G11,IF(F11="Commission Boost",G11*Inputs!$B$23*Inputs!$B$15*0.955,0)))</f>
        <v/>
      </c>
    </row>
    <row r="12">
      <c r="A12" s="5" t="inlineStr">
        <is>
          <t>Platinum</t>
        </is>
      </c>
      <c r="B12" s="5" t="inlineStr">
        <is>
          <t>Videos</t>
        </is>
      </c>
      <c r="C12" s="5" t="n">
        <v>20</v>
      </c>
      <c r="D12" s="5" t="inlineStr">
        <is>
          <t>Monthly</t>
        </is>
      </c>
      <c r="E12" s="6" t="n">
        <v>0.12</v>
      </c>
      <c r="F12" s="5" t="inlineStr">
        <is>
          <t>Commission Boost</t>
        </is>
      </c>
      <c r="G12" s="6" t="n">
        <v>0.25</v>
      </c>
      <c r="H12" s="5" t="n">
        <v>30</v>
      </c>
      <c r="I12" s="5" t="inlineStr">
        <is>
          <t>Yes</t>
        </is>
      </c>
      <c r="J12" s="15">
        <f>IF(F12="Gift Card",G12,IF(F12="Spark Ads",G12,IF(F12="Commission Boost",G12*Inputs!$B$23*Inputs!$B$15*0.955,0)))</f>
        <v/>
      </c>
    </row>
    <row r="13">
      <c r="A13" s="5" t="inlineStr">
        <is>
          <t>Diamond</t>
        </is>
      </c>
      <c r="B13" s="5" t="inlineStr">
        <is>
          <t>Sales</t>
        </is>
      </c>
      <c r="C13" s="5" t="n">
        <v>500</v>
      </c>
      <c r="D13" s="5" t="inlineStr">
        <is>
          <t>One-time</t>
        </is>
      </c>
      <c r="E13" s="6" t="n">
        <v>0.05</v>
      </c>
      <c r="F13" s="5" t="inlineStr">
        <is>
          <t>Gift Card</t>
        </is>
      </c>
      <c r="G13" s="13" t="n">
        <v>300</v>
      </c>
      <c r="H13" s="5" t="n">
        <v>0</v>
      </c>
      <c r="I13" s="5" t="inlineStr">
        <is>
          <t>Yes</t>
        </is>
      </c>
      <c r="J13" s="15">
        <f>IF(F13="Gift Card",G13,IF(F13="Spark Ads",G13,IF(F13="Commission Boost",G13*Inputs!$B$23*Inputs!$B$15*0.955,0)))</f>
        <v/>
      </c>
    </row>
    <row r="14">
      <c r="A14" s="5" t="inlineStr">
        <is>
          <t>Diamond</t>
        </is>
      </c>
      <c r="B14" s="5" t="inlineStr">
        <is>
          <t>Views</t>
        </is>
      </c>
      <c r="C14" s="5" t="n">
        <v>5000</v>
      </c>
      <c r="D14" s="5" t="inlineStr">
        <is>
          <t>Monthly</t>
        </is>
      </c>
      <c r="E14" s="6" t="n">
        <v>0.1</v>
      </c>
      <c r="F14" s="5" t="inlineStr">
        <is>
          <t>Spark Ads</t>
        </is>
      </c>
      <c r="G14" s="13" t="n">
        <v>100</v>
      </c>
      <c r="H14" s="5" t="n">
        <v>0</v>
      </c>
      <c r="I14" s="5" t="inlineStr">
        <is>
          <t>Yes</t>
        </is>
      </c>
      <c r="J14" s="15">
        <f>IF(F14="Gift Card",G14,IF(F14="Spark Ads",G14,IF(F14="Commission Boost",G14*Inputs!$B$23*Inputs!$B$15*0.955,0)))</f>
        <v/>
      </c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16">
        <f>IF(F15="Gift Card",G15,IF(F15="Spark Ads",G15,IF(F15="Commission Boost",G15*Inputs!$B$23*Inputs!$B$15*0.955,0)))</f>
        <v/>
      </c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16">
        <f>IF(F16="Gift Card",G16,IF(F16="Spark Ads",G16,IF(F16="Commission Boost",G16*Inputs!$B$23*Inputs!$B$15*0.955,0)))</f>
        <v/>
      </c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16">
        <f>IF(F17="Gift Card",G17,IF(F17="Spark Ads",G17,IF(F17="Commission Boost",G17*Inputs!$B$23*Inputs!$B$15*0.955,0)))</f>
        <v/>
      </c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16">
        <f>IF(F18="Gift Card",G18,IF(F18="Spark Ads",G18,IF(F18="Commission Boost",G18*Inputs!$B$23*Inputs!$B$15*0.955,0)))</f>
        <v/>
      </c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16">
        <f>IF(F19="Gift Card",G19,IF(F19="Spark Ads",G19,IF(F19="Commission Boost",G19*Inputs!$B$23*Inputs!$B$15*0.955,0)))</f>
        <v/>
      </c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16">
        <f>IF(F20="Gift Card",G20,IF(F20="Spark Ads",G20,IF(F20="Commission Boost",G20*Inputs!$B$23*Inputs!$B$15*0.955,0)))</f>
        <v/>
      </c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16">
        <f>IF(F21="Gift Card",G21,IF(F21="Spark Ads",G21,IF(F21="Commission Boost",G21*Inputs!$B$23*Inputs!$B$15*0.955,0)))</f>
        <v/>
      </c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16">
        <f>IF(F22="Gift Card",G22,IF(F22="Spark Ads",G22,IF(F22="Commission Boost",G22*Inputs!$B$23*Inputs!$B$15*0.955,0)))</f>
        <v/>
      </c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16">
        <f>IF(F23="Gift Card",G23,IF(F23="Spark Ads",G23,IF(F23="Commission Boost",G23*Inputs!$B$23*Inputs!$B$15*0.955,0)))</f>
        <v/>
      </c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16">
        <f>IF(F24="Gift Card",G24,IF(F24="Spark Ads",G24,IF(F24="Commission Boost",G24*Inputs!$B$23*Inputs!$B$15*0.955,0)))</f>
        <v/>
      </c>
    </row>
    <row r="27">
      <c r="A27" s="2" t="inlineStr">
        <is>
          <t>MISSION SUMMARY BY LEVEL</t>
        </is>
      </c>
    </row>
    <row r="28">
      <c r="A28" s="3" t="inlineStr">
        <is>
          <t>Level</t>
        </is>
      </c>
      <c r="B28" s="3" t="inlineStr">
        <is>
          <t>Active Missions</t>
        </is>
      </c>
      <c r="C28" s="3" t="inlineStr">
        <is>
          <t>Avg Completion Rate</t>
        </is>
      </c>
      <c r="D28" s="3" t="inlineStr">
        <is>
          <t>Avg Cost per Completion</t>
        </is>
      </c>
    </row>
    <row r="29">
      <c r="A29" s="4" t="inlineStr">
        <is>
          <t>Bronze</t>
        </is>
      </c>
      <c r="B29" s="16">
        <f>COUNTIFS(A$5:A$24,A29,I$5:I$24,"Yes")</f>
        <v/>
      </c>
      <c r="C29" s="10">
        <f>IFERROR(AVERAGEIFS(E$5:E$24,A$5:A$24,A29,I$5:I$24,"Yes"),0)</f>
        <v/>
      </c>
      <c r="D29" s="15">
        <f>IFERROR(AVERAGEIFS(J$5:J$24,A$5:A$24,A29,I$5:I$24,"Yes"),0)</f>
        <v/>
      </c>
    </row>
    <row r="30">
      <c r="A30" s="4" t="inlineStr">
        <is>
          <t>Silver</t>
        </is>
      </c>
      <c r="B30" s="16">
        <f>COUNTIFS(A$5:A$24,A30,I$5:I$24,"Yes")</f>
        <v/>
      </c>
      <c r="C30" s="10">
        <f>IFERROR(AVERAGEIFS(E$5:E$24,A$5:A$24,A30,I$5:I$24,"Yes"),0)</f>
        <v/>
      </c>
      <c r="D30" s="15">
        <f>IFERROR(AVERAGEIFS(J$5:J$24,A$5:A$24,A30,I$5:I$24,"Yes"),0)</f>
        <v/>
      </c>
    </row>
    <row r="31">
      <c r="A31" s="4" t="inlineStr">
        <is>
          <t>Gold</t>
        </is>
      </c>
      <c r="B31" s="16">
        <f>COUNTIFS(A$5:A$24,A31,I$5:I$24,"Yes")</f>
        <v/>
      </c>
      <c r="C31" s="10">
        <f>IFERROR(AVERAGEIFS(E$5:E$24,A$5:A$24,A31,I$5:I$24,"Yes"),0)</f>
        <v/>
      </c>
      <c r="D31" s="15">
        <f>IFERROR(AVERAGEIFS(J$5:J$24,A$5:A$24,A31,I$5:I$24,"Yes"),0)</f>
        <v/>
      </c>
    </row>
    <row r="32">
      <c r="A32" s="4" t="inlineStr">
        <is>
          <t>Platinum</t>
        </is>
      </c>
      <c r="B32" s="16">
        <f>COUNTIFS(A$5:A$24,A32,I$5:I$24,"Yes")</f>
        <v/>
      </c>
      <c r="C32" s="10">
        <f>IFERROR(AVERAGEIFS(E$5:E$24,A$5:A$24,A32,I$5:I$24,"Yes"),0)</f>
        <v/>
      </c>
      <c r="D32" s="15">
        <f>IFERROR(AVERAGEIFS(J$5:J$24,A$5:A$24,A32,I$5:I$24,"Yes"),0)</f>
        <v/>
      </c>
    </row>
    <row r="33">
      <c r="A33" s="4" t="inlineStr">
        <is>
          <t>Diamond</t>
        </is>
      </c>
      <c r="B33" s="16">
        <f>COUNTIFS(A$5:A$24,A33,I$5:I$24,"Yes")</f>
        <v/>
      </c>
      <c r="C33" s="10">
        <f>IFERROR(AVERAGEIFS(E$5:E$24,A$5:A$24,A33,I$5:I$24,"Yes"),0)</f>
        <v/>
      </c>
      <c r="D33" s="15">
        <f>IFERROR(AVERAGEIFS(J$5:J$24,A$5:A$24,A33,I$5:I$24,"Yes"),0)</f>
        <v/>
      </c>
    </row>
    <row r="36">
      <c r="A36" t="inlineStr">
        <is>
          <t>Mission Types: Videos, Likes, Sales, Views</t>
        </is>
      </c>
    </row>
    <row r="37">
      <c r="A37" t="inlineStr">
        <is>
          <t>Repeatability: One-time, Weekly, Monthly</t>
        </is>
      </c>
    </row>
    <row r="38">
      <c r="A38" t="inlineStr">
        <is>
          <t>Reward Types: Gift Card, Commission Boost, Spark Ads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AFFILIATE PROJECTION (12 MONTHS)</t>
        </is>
      </c>
    </row>
    <row r="3">
      <c r="A3" s="3" t="inlineStr">
        <is>
          <t>Metric</t>
        </is>
      </c>
      <c r="B3" s="3" t="inlineStr">
        <is>
          <t>Month 1</t>
        </is>
      </c>
      <c r="C3" s="3" t="inlineStr">
        <is>
          <t>Month 2</t>
        </is>
      </c>
      <c r="D3" s="3" t="inlineStr">
        <is>
          <t>Month 3</t>
        </is>
      </c>
      <c r="E3" s="3" t="inlineStr">
        <is>
          <t>Month 4</t>
        </is>
      </c>
      <c r="F3" s="3" t="inlineStr">
        <is>
          <t>Month 5</t>
        </is>
      </c>
      <c r="G3" s="3" t="inlineStr">
        <is>
          <t>Month 6</t>
        </is>
      </c>
      <c r="H3" s="3" t="inlineStr">
        <is>
          <t>Month 7</t>
        </is>
      </c>
      <c r="I3" s="3" t="inlineStr">
        <is>
          <t>Month 8</t>
        </is>
      </c>
      <c r="J3" s="3" t="inlineStr">
        <is>
          <t>Month 9</t>
        </is>
      </c>
      <c r="K3" s="3" t="inlineStr">
        <is>
          <t>Month 10</t>
        </is>
      </c>
      <c r="L3" s="3" t="inlineStr">
        <is>
          <t>Month 11</t>
        </is>
      </c>
      <c r="M3" s="3" t="inlineStr">
        <is>
          <t>Month 12</t>
        </is>
      </c>
    </row>
    <row r="4">
      <c r="A4" s="17" t="inlineStr">
        <is>
          <t>Samples Sent</t>
        </is>
      </c>
      <c r="B4" s="16">
        <f>Inputs!$B$5</f>
        <v/>
      </c>
      <c r="C4" s="16">
        <f>Inputs!$B$6</f>
        <v/>
      </c>
      <c r="D4" s="16">
        <f>Inputs!$B$6</f>
        <v/>
      </c>
      <c r="E4" s="16">
        <f>Inputs!$B$6</f>
        <v/>
      </c>
      <c r="F4" s="16">
        <f>Inputs!$B$6</f>
        <v/>
      </c>
      <c r="G4" s="16">
        <f>Inputs!$B$6</f>
        <v/>
      </c>
      <c r="H4" s="16">
        <f>Inputs!$B$6</f>
        <v/>
      </c>
      <c r="I4" s="16">
        <f>Inputs!$B$6</f>
        <v/>
      </c>
      <c r="J4" s="16">
        <f>Inputs!$B$6</f>
        <v/>
      </c>
      <c r="K4" s="16">
        <f>Inputs!$B$6</f>
        <v/>
      </c>
      <c r="L4" s="16">
        <f>Inputs!$B$6</f>
        <v/>
      </c>
      <c r="M4" s="16">
        <f>Inputs!$B$6</f>
        <v/>
      </c>
    </row>
    <row r="5">
      <c r="A5" s="17" t="inlineStr">
        <is>
          <t>New Affiliates (from Samples)</t>
        </is>
      </c>
      <c r="B5" s="16">
        <f>ROUND(B4*Inputs!$B$7,0)</f>
        <v/>
      </c>
      <c r="C5" s="16">
        <f>ROUND(C4*Inputs!$B$7,0)</f>
        <v/>
      </c>
      <c r="D5" s="16">
        <f>ROUND(D4*Inputs!$B$7,0)</f>
        <v/>
      </c>
      <c r="E5" s="16">
        <f>ROUND(E4*Inputs!$B$7,0)</f>
        <v/>
      </c>
      <c r="F5" s="16">
        <f>ROUND(F4*Inputs!$B$7,0)</f>
        <v/>
      </c>
      <c r="G5" s="16">
        <f>ROUND(G4*Inputs!$B$7,0)</f>
        <v/>
      </c>
      <c r="H5" s="16">
        <f>ROUND(H4*Inputs!$B$7,0)</f>
        <v/>
      </c>
      <c r="I5" s="16">
        <f>ROUND(I4*Inputs!$B$7,0)</f>
        <v/>
      </c>
      <c r="J5" s="16">
        <f>ROUND(J4*Inputs!$B$7,0)</f>
        <v/>
      </c>
      <c r="K5" s="16">
        <f>ROUND(K4*Inputs!$B$7,0)</f>
        <v/>
      </c>
      <c r="L5" s="16">
        <f>ROUND(L4*Inputs!$B$7,0)</f>
        <v/>
      </c>
      <c r="M5" s="16">
        <f>ROUND(M4*Inputs!$B$7,0)</f>
        <v/>
      </c>
    </row>
    <row r="6">
      <c r="A6" s="17" t="inlineStr">
        <is>
          <t>Flywheel Affiliates</t>
        </is>
      </c>
      <c r="B6" s="16">
        <f>Inputs!$B$8</f>
        <v/>
      </c>
      <c r="C6" s="16">
        <f>Inputs!$B$8</f>
        <v/>
      </c>
      <c r="D6" s="16">
        <f>Inputs!$B$8</f>
        <v/>
      </c>
      <c r="E6" s="16">
        <f>Inputs!$B$8</f>
        <v/>
      </c>
      <c r="F6" s="16">
        <f>Inputs!$B$8</f>
        <v/>
      </c>
      <c r="G6" s="16">
        <f>Inputs!$B$8</f>
        <v/>
      </c>
      <c r="H6" s="16">
        <f>Inputs!$B$8</f>
        <v/>
      </c>
      <c r="I6" s="16">
        <f>Inputs!$B$8</f>
        <v/>
      </c>
      <c r="J6" s="16">
        <f>Inputs!$B$8</f>
        <v/>
      </c>
      <c r="K6" s="16">
        <f>Inputs!$B$8</f>
        <v/>
      </c>
      <c r="L6" s="16">
        <f>Inputs!$B$8</f>
        <v/>
      </c>
      <c r="M6" s="16">
        <f>Inputs!$B$8</f>
        <v/>
      </c>
    </row>
    <row r="7">
      <c r="A7" s="17" t="inlineStr">
        <is>
          <t>Total New Affiliates</t>
        </is>
      </c>
      <c r="B7" s="16">
        <f>B5+B6</f>
        <v/>
      </c>
      <c r="C7" s="16">
        <f>C5+C6</f>
        <v/>
      </c>
      <c r="D7" s="16">
        <f>D5+D6</f>
        <v/>
      </c>
      <c r="E7" s="16">
        <f>E5+E6</f>
        <v/>
      </c>
      <c r="F7" s="16">
        <f>F5+F6</f>
        <v/>
      </c>
      <c r="G7" s="16">
        <f>G5+G6</f>
        <v/>
      </c>
      <c r="H7" s="16">
        <f>H5+H6</f>
        <v/>
      </c>
      <c r="I7" s="16">
        <f>I5+I6</f>
        <v/>
      </c>
      <c r="J7" s="16">
        <f>J5+J6</f>
        <v/>
      </c>
      <c r="K7" s="16">
        <f>K5+K6</f>
        <v/>
      </c>
      <c r="L7" s="16">
        <f>L5+L6</f>
        <v/>
      </c>
      <c r="M7" s="16">
        <f>M5+M6</f>
        <v/>
      </c>
    </row>
    <row r="8">
      <c r="A8" s="17" t="inlineStr">
        <is>
          <t>Churned Affiliates</t>
        </is>
      </c>
      <c r="B8" s="16" t="n">
        <v>0</v>
      </c>
      <c r="C8" s="16">
        <f>ROUND(B9*Inputs!$B$10,0)</f>
        <v/>
      </c>
      <c r="D8" s="16">
        <f>ROUND(C9*Inputs!$B$10,0)</f>
        <v/>
      </c>
      <c r="E8" s="16">
        <f>ROUND(D9*Inputs!$B$10,0)</f>
        <v/>
      </c>
      <c r="F8" s="16">
        <f>ROUND(E9*Inputs!$B$10,0)</f>
        <v/>
      </c>
      <c r="G8" s="16">
        <f>ROUND(F9*Inputs!$B$10,0)</f>
        <v/>
      </c>
      <c r="H8" s="16">
        <f>ROUND(G9*Inputs!$B$10,0)</f>
        <v/>
      </c>
      <c r="I8" s="16">
        <f>ROUND(H9*Inputs!$B$10,0)</f>
        <v/>
      </c>
      <c r="J8" s="16">
        <f>ROUND(I9*Inputs!$B$10,0)</f>
        <v/>
      </c>
      <c r="K8" s="16">
        <f>ROUND(J9*Inputs!$B$10,0)</f>
        <v/>
      </c>
      <c r="L8" s="16">
        <f>ROUND(K9*Inputs!$B$10,0)</f>
        <v/>
      </c>
      <c r="M8" s="16">
        <f>ROUND(L9*Inputs!$B$10,0)</f>
        <v/>
      </c>
    </row>
    <row r="9">
      <c r="A9" s="17" t="inlineStr">
        <is>
          <t>Active Affiliates (End of Month)</t>
        </is>
      </c>
      <c r="B9" s="16">
        <f>B7-B8</f>
        <v/>
      </c>
      <c r="C9" s="16">
        <f>B9+C7-C8</f>
        <v/>
      </c>
      <c r="D9" s="16">
        <f>C9+D7-D8</f>
        <v/>
      </c>
      <c r="E9" s="16">
        <f>D9+E7-E8</f>
        <v/>
      </c>
      <c r="F9" s="16">
        <f>E9+F7-F8</f>
        <v/>
      </c>
      <c r="G9" s="16">
        <f>F9+G7-G8</f>
        <v/>
      </c>
      <c r="H9" s="16">
        <f>G9+H7-H8</f>
        <v/>
      </c>
      <c r="I9" s="16">
        <f>H9+I7-I8</f>
        <v/>
      </c>
      <c r="J9" s="16">
        <f>I9+J7-J8</f>
        <v/>
      </c>
      <c r="K9" s="16">
        <f>J9+K7-K8</f>
        <v/>
      </c>
      <c r="L9" s="16">
        <f>K9+L7-L8</f>
        <v/>
      </c>
      <c r="M9" s="16">
        <f>L9+M7-M8</f>
        <v/>
      </c>
    </row>
    <row r="10">
      <c r="A10" s="17" t="inlineStr">
        <is>
          <t>Total Sales</t>
        </is>
      </c>
      <c r="B10" s="16">
        <f>ROUND(B9*Inputs!$B$14,0)</f>
        <v/>
      </c>
      <c r="C10" s="16">
        <f>ROUND(C9*Inputs!$B$14,0)</f>
        <v/>
      </c>
      <c r="D10" s="16">
        <f>ROUND(D9*Inputs!$B$14,0)</f>
        <v/>
      </c>
      <c r="E10" s="16">
        <f>ROUND(E9*Inputs!$B$14,0)</f>
        <v/>
      </c>
      <c r="F10" s="16">
        <f>ROUND(F9*Inputs!$B$14,0)</f>
        <v/>
      </c>
      <c r="G10" s="16">
        <f>ROUND(G9*Inputs!$B$14,0)</f>
        <v/>
      </c>
      <c r="H10" s="16">
        <f>ROUND(H9*Inputs!$B$14,0)</f>
        <v/>
      </c>
      <c r="I10" s="16">
        <f>ROUND(I9*Inputs!$B$14,0)</f>
        <v/>
      </c>
      <c r="J10" s="16">
        <f>ROUND(J9*Inputs!$B$14,0)</f>
        <v/>
      </c>
      <c r="K10" s="16">
        <f>ROUND(K9*Inputs!$B$14,0)</f>
        <v/>
      </c>
      <c r="L10" s="16">
        <f>ROUND(L9*Inputs!$B$14,0)</f>
        <v/>
      </c>
      <c r="M10" s="16">
        <f>ROUND(M9*Inputs!$B$14,0)</f>
        <v/>
      </c>
    </row>
    <row r="11">
      <c r="A11" s="2" t="inlineStr">
        <is>
          <t>--- Level Distribution ---</t>
        </is>
      </c>
    </row>
    <row r="12">
      <c r="A12" s="17" t="inlineStr">
        <is>
          <t>Affiliates at Bronze</t>
        </is>
      </c>
      <c r="B12" s="16">
        <f>B9</f>
        <v/>
      </c>
      <c r="C12" s="16">
        <f>ROUND(C9*Inputs!$B$34,0)</f>
        <v/>
      </c>
      <c r="D12" s="16">
        <f>ROUND(D9*Inputs!$B$34,0)</f>
        <v/>
      </c>
      <c r="E12" s="16">
        <f>ROUND(E9*Inputs!$B$34,0)</f>
        <v/>
      </c>
      <c r="F12" s="16">
        <f>ROUND(F9*Inputs!$B$34,0)</f>
        <v/>
      </c>
      <c r="G12" s="16">
        <f>ROUND(G9*Inputs!$B$34,0)</f>
        <v/>
      </c>
      <c r="H12" s="16">
        <f>ROUND(H9*Inputs!$B$34,0)</f>
        <v/>
      </c>
      <c r="I12" s="16">
        <f>ROUND(I9*Inputs!$B$34,0)</f>
        <v/>
      </c>
      <c r="J12" s="16">
        <f>ROUND(J9*Inputs!$B$34,0)</f>
        <v/>
      </c>
      <c r="K12" s="16">
        <f>ROUND(K9*Inputs!$B$34,0)</f>
        <v/>
      </c>
      <c r="L12" s="16">
        <f>ROUND(L9*Inputs!$B$34,0)</f>
        <v/>
      </c>
      <c r="M12" s="16">
        <f>ROUND(M9*Inputs!$B$34,0)</f>
        <v/>
      </c>
    </row>
    <row r="13">
      <c r="A13" s="17" t="inlineStr">
        <is>
          <t>Affiliates at Silver</t>
        </is>
      </c>
      <c r="B13" s="16" t="n">
        <v>0</v>
      </c>
      <c r="C13" s="16">
        <f>ROUND(C9*Inputs!$B$35,0)</f>
        <v/>
      </c>
      <c r="D13" s="16">
        <f>ROUND(D9*Inputs!$B$35,0)</f>
        <v/>
      </c>
      <c r="E13" s="16">
        <f>ROUND(E9*Inputs!$B$35,0)</f>
        <v/>
      </c>
      <c r="F13" s="16">
        <f>ROUND(F9*Inputs!$B$35,0)</f>
        <v/>
      </c>
      <c r="G13" s="16">
        <f>ROUND(G9*Inputs!$B$35,0)</f>
        <v/>
      </c>
      <c r="H13" s="16">
        <f>ROUND(H9*Inputs!$B$35,0)</f>
        <v/>
      </c>
      <c r="I13" s="16">
        <f>ROUND(I9*Inputs!$B$35,0)</f>
        <v/>
      </c>
      <c r="J13" s="16">
        <f>ROUND(J9*Inputs!$B$35,0)</f>
        <v/>
      </c>
      <c r="K13" s="16">
        <f>ROUND(K9*Inputs!$B$35,0)</f>
        <v/>
      </c>
      <c r="L13" s="16">
        <f>ROUND(L9*Inputs!$B$35,0)</f>
        <v/>
      </c>
      <c r="M13" s="16">
        <f>ROUND(M9*Inputs!$B$35,0)</f>
        <v/>
      </c>
    </row>
    <row r="14">
      <c r="A14" s="17" t="inlineStr">
        <is>
          <t>Affiliates at Gold</t>
        </is>
      </c>
      <c r="B14" s="16" t="n">
        <v>0</v>
      </c>
      <c r="C14" s="16">
        <f>ROUND(C9*Inputs!$B$36,0)</f>
        <v/>
      </c>
      <c r="D14" s="16">
        <f>ROUND(D9*Inputs!$B$36,0)</f>
        <v/>
      </c>
      <c r="E14" s="16">
        <f>ROUND(E9*Inputs!$B$36,0)</f>
        <v/>
      </c>
      <c r="F14" s="16">
        <f>ROUND(F9*Inputs!$B$36,0)</f>
        <v/>
      </c>
      <c r="G14" s="16">
        <f>ROUND(G9*Inputs!$B$36,0)</f>
        <v/>
      </c>
      <c r="H14" s="16">
        <f>ROUND(H9*Inputs!$B$36,0)</f>
        <v/>
      </c>
      <c r="I14" s="16">
        <f>ROUND(I9*Inputs!$B$36,0)</f>
        <v/>
      </c>
      <c r="J14" s="16">
        <f>ROUND(J9*Inputs!$B$36,0)</f>
        <v/>
      </c>
      <c r="K14" s="16">
        <f>ROUND(K9*Inputs!$B$36,0)</f>
        <v/>
      </c>
      <c r="L14" s="16">
        <f>ROUND(L9*Inputs!$B$36,0)</f>
        <v/>
      </c>
      <c r="M14" s="16">
        <f>ROUND(M9*Inputs!$B$36,0)</f>
        <v/>
      </c>
    </row>
    <row r="15">
      <c r="A15" s="17" t="inlineStr">
        <is>
          <t>Affiliates at Platinum</t>
        </is>
      </c>
      <c r="B15" s="16" t="n">
        <v>0</v>
      </c>
      <c r="C15" s="16">
        <f>ROUND(C9*Inputs!$B$37,0)</f>
        <v/>
      </c>
      <c r="D15" s="16">
        <f>ROUND(D9*Inputs!$B$37,0)</f>
        <v/>
      </c>
      <c r="E15" s="16">
        <f>ROUND(E9*Inputs!$B$37,0)</f>
        <v/>
      </c>
      <c r="F15" s="16">
        <f>ROUND(F9*Inputs!$B$37,0)</f>
        <v/>
      </c>
      <c r="G15" s="16">
        <f>ROUND(G9*Inputs!$B$37,0)</f>
        <v/>
      </c>
      <c r="H15" s="16">
        <f>ROUND(H9*Inputs!$B$37,0)</f>
        <v/>
      </c>
      <c r="I15" s="16">
        <f>ROUND(I9*Inputs!$B$37,0)</f>
        <v/>
      </c>
      <c r="J15" s="16">
        <f>ROUND(J9*Inputs!$B$37,0)</f>
        <v/>
      </c>
      <c r="K15" s="16">
        <f>ROUND(K9*Inputs!$B$37,0)</f>
        <v/>
      </c>
      <c r="L15" s="16">
        <f>ROUND(L9*Inputs!$B$37,0)</f>
        <v/>
      </c>
      <c r="M15" s="16">
        <f>ROUND(M9*Inputs!$B$37,0)</f>
        <v/>
      </c>
    </row>
    <row r="16">
      <c r="A16" s="17" t="inlineStr">
        <is>
          <t>Affiliates at Diamond</t>
        </is>
      </c>
      <c r="B16" s="16" t="n">
        <v>0</v>
      </c>
      <c r="C16" s="16">
        <f>ROUND(C9*Inputs!$B$38,0)</f>
        <v/>
      </c>
      <c r="D16" s="16">
        <f>ROUND(D9*Inputs!$B$38,0)</f>
        <v/>
      </c>
      <c r="E16" s="16">
        <f>ROUND(E9*Inputs!$B$38,0)</f>
        <v/>
      </c>
      <c r="F16" s="16">
        <f>ROUND(F9*Inputs!$B$38,0)</f>
        <v/>
      </c>
      <c r="G16" s="16">
        <f>ROUND(G9*Inputs!$B$38,0)</f>
        <v/>
      </c>
      <c r="H16" s="16">
        <f>ROUND(H9*Inputs!$B$38,0)</f>
        <v/>
      </c>
      <c r="I16" s="16">
        <f>ROUND(I9*Inputs!$B$38,0)</f>
        <v/>
      </c>
      <c r="J16" s="16">
        <f>ROUND(J9*Inputs!$B$38,0)</f>
        <v/>
      </c>
      <c r="K16" s="16">
        <f>ROUND(K9*Inputs!$B$38,0)</f>
        <v/>
      </c>
      <c r="L16" s="16">
        <f>ROUND(L9*Inputs!$B$38,0)</f>
        <v/>
      </c>
      <c r="M16" s="16">
        <f>ROUND(M9*Inputs!$B$38,0)</f>
        <v/>
      </c>
    </row>
    <row r="17">
      <c r="A17" s="2" t="inlineStr">
        <is>
          <t>--- Level Events ---</t>
        </is>
      </c>
    </row>
    <row r="18">
      <c r="A18" s="17" t="inlineStr">
        <is>
          <t>New Affiliate Level-Ups (to Bronze)</t>
        </is>
      </c>
      <c r="B18" s="16">
        <f>B7</f>
        <v/>
      </c>
      <c r="C18" s="16">
        <f>C7</f>
        <v/>
      </c>
      <c r="D18" s="16">
        <f>D7</f>
        <v/>
      </c>
      <c r="E18" s="16">
        <f>E7</f>
        <v/>
      </c>
      <c r="F18" s="16">
        <f>F7</f>
        <v/>
      </c>
      <c r="G18" s="16">
        <f>G7</f>
        <v/>
      </c>
      <c r="H18" s="16">
        <f>H7</f>
        <v/>
      </c>
      <c r="I18" s="16">
        <f>I7</f>
        <v/>
      </c>
      <c r="J18" s="16">
        <f>J7</f>
        <v/>
      </c>
      <c r="K18" s="16">
        <f>K7</f>
        <v/>
      </c>
      <c r="L18" s="16">
        <f>L7</f>
        <v/>
      </c>
      <c r="M18" s="16">
        <f>M7</f>
        <v/>
      </c>
    </row>
    <row r="19">
      <c r="A19" s="17" t="inlineStr">
        <is>
          <t>Promotion Events (Bronze to higher)</t>
        </is>
      </c>
      <c r="B19" s="16" t="n">
        <v>0</v>
      </c>
      <c r="C19" s="16">
        <f>MAX(0,(C13+C14+C15+C16)-(B13+B14+B15+B16))</f>
        <v/>
      </c>
      <c r="D19" s="16">
        <f>MAX(0,(D13+D14+D15+D16)-(C13+C14+C15+C16))</f>
        <v/>
      </c>
      <c r="E19" s="16">
        <f>MAX(0,(E13+E14+E15+E16)-(D13+D14+D15+D16))</f>
        <v/>
      </c>
      <c r="F19" s="16">
        <f>MAX(0,(F13+F14+F15+F16)-(E13+E14+E15+E16))</f>
        <v/>
      </c>
      <c r="G19" s="16">
        <f>MAX(0,(G13+G14+G15+G16)-(F13+F14+F15+F16))</f>
        <v/>
      </c>
      <c r="H19" s="16">
        <f>MAX(0,(H13+H14+H15+H16)-(G13+G14+G15+G16))</f>
        <v/>
      </c>
      <c r="I19" s="16">
        <f>MAX(0,(I13+I14+I15+I16)-(H13+H14+H15+H16))</f>
        <v/>
      </c>
      <c r="J19" s="16">
        <f>MAX(0,(J13+J14+J15+J16)-(I13+I14+I15+I16))</f>
        <v/>
      </c>
      <c r="K19" s="16">
        <f>MAX(0,(K13+K14+K15+K16)-(J13+J14+J15+J16))</f>
        <v/>
      </c>
      <c r="L19" s="16">
        <f>MAX(0,(L13+L14+L15+L16)-(K13+K14+K15+K16))</f>
        <v/>
      </c>
      <c r="M19" s="16">
        <f>MAX(0,(M13+M14+M15+M16)-(L13+L14+L15+L16))</f>
        <v/>
      </c>
    </row>
    <row r="20">
      <c r="A20" s="17" t="inlineStr">
        <is>
          <t>Total Level-Up Events</t>
        </is>
      </c>
      <c r="B20" s="16">
        <f>B18+B19</f>
        <v/>
      </c>
      <c r="C20" s="16">
        <f>C18+C19</f>
        <v/>
      </c>
      <c r="D20" s="16">
        <f>D18+D19</f>
        <v/>
      </c>
      <c r="E20" s="16">
        <f>E18+E19</f>
        <v/>
      </c>
      <c r="F20" s="16">
        <f>F18+F19</f>
        <v/>
      </c>
      <c r="G20" s="16">
        <f>G18+G19</f>
        <v/>
      </c>
      <c r="H20" s="16">
        <f>H18+H19</f>
        <v/>
      </c>
      <c r="I20" s="16">
        <f>I18+I19</f>
        <v/>
      </c>
      <c r="J20" s="16">
        <f>J18+J19</f>
        <v/>
      </c>
      <c r="K20" s="16">
        <f>K18+K19</f>
        <v/>
      </c>
      <c r="L20" s="16">
        <f>L18+L19</f>
        <v/>
      </c>
      <c r="M20" s="16">
        <f>M18+M19</f>
        <v/>
      </c>
    </row>
    <row r="21">
      <c r="A21" s="17" t="inlineStr">
        <is>
          <t>Demotion Events</t>
        </is>
      </c>
      <c r="B21" s="16" t="n">
        <v>0</v>
      </c>
      <c r="C21" s="16">
        <f>MAX(0,(B13+B14+B15+B16)-(C13+C14+C15+C16))</f>
        <v/>
      </c>
      <c r="D21" s="16">
        <f>MAX(0,(C13+C14+C15+C16)-(D13+D14+D15+D16))</f>
        <v/>
      </c>
      <c r="E21" s="16">
        <f>MAX(0,(D13+D14+D15+D16)-(E13+E14+E15+E16))</f>
        <v/>
      </c>
      <c r="F21" s="16">
        <f>MAX(0,(E13+E14+E15+E16)-(F13+F14+F15+F16))</f>
        <v/>
      </c>
      <c r="G21" s="16">
        <f>MAX(0,(F13+F14+F15+F16)-(G13+G14+G15+G16))</f>
        <v/>
      </c>
      <c r="H21" s="16">
        <f>MAX(0,(G13+G14+G15+G16)-(H13+H14+H15+H16))</f>
        <v/>
      </c>
      <c r="I21" s="16">
        <f>MAX(0,(H13+H14+H15+H16)-(I13+I14+I15+I16))</f>
        <v/>
      </c>
      <c r="J21" s="16">
        <f>MAX(0,(I13+I14+I15+I16)-(J13+J14+J15+J16))</f>
        <v/>
      </c>
      <c r="K21" s="16">
        <f>MAX(0,(J13+J14+J15+J16)-(K13+K14+K15+K16))</f>
        <v/>
      </c>
      <c r="L21" s="16">
        <f>MAX(0,(K13+K14+K15+K16)-(L13+L14+L15+L16))</f>
        <v/>
      </c>
      <c r="M21" s="16">
        <f>MAX(0,(L13+L14+L15+L16)-(M13+M14+M15+M16))</f>
        <v/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REWARD TRIGGERS (12 MONTHS)</t>
        </is>
      </c>
    </row>
    <row r="3">
      <c r="A3" s="3" t="inlineStr">
        <is>
          <t>Metric</t>
        </is>
      </c>
      <c r="B3" s="3" t="inlineStr">
        <is>
          <t>Month 1</t>
        </is>
      </c>
      <c r="C3" s="3" t="inlineStr">
        <is>
          <t>Month 2</t>
        </is>
      </c>
      <c r="D3" s="3" t="inlineStr">
        <is>
          <t>Month 3</t>
        </is>
      </c>
      <c r="E3" s="3" t="inlineStr">
        <is>
          <t>Month 4</t>
        </is>
      </c>
      <c r="F3" s="3" t="inlineStr">
        <is>
          <t>Month 5</t>
        </is>
      </c>
      <c r="G3" s="3" t="inlineStr">
        <is>
          <t>Month 6</t>
        </is>
      </c>
      <c r="H3" s="3" t="inlineStr">
        <is>
          <t>Month 7</t>
        </is>
      </c>
      <c r="I3" s="3" t="inlineStr">
        <is>
          <t>Month 8</t>
        </is>
      </c>
      <c r="J3" s="3" t="inlineStr">
        <is>
          <t>Month 9</t>
        </is>
      </c>
      <c r="K3" s="3" t="inlineStr">
        <is>
          <t>Month 10</t>
        </is>
      </c>
      <c r="L3" s="3" t="inlineStr">
        <is>
          <t>Month 11</t>
        </is>
      </c>
      <c r="M3" s="3" t="inlineStr">
        <is>
          <t>Month 12</t>
        </is>
      </c>
    </row>
    <row r="4">
      <c r="A4" s="2" t="inlineStr">
        <is>
          <t>--- WELCOME REWARDS (per level-up) ---</t>
        </is>
      </c>
    </row>
    <row r="5">
      <c r="A5" s="17" t="inlineStr">
        <is>
          <t>Commission Boosts Triggered</t>
        </is>
      </c>
      <c r="B5" s="16">
        <f>ROUND('Affiliate Projection'!B18*'VIP Levels'!$B$14+'Affiliate Projection'!B19*(SUMPRODUCT('VIP Levels'!$B$15:$B$18,Inputs!$B$35:$B$38)/SUM(Inputs!$B$35:$B$38)),0)</f>
        <v/>
      </c>
      <c r="C5" s="16">
        <f>ROUND('Affiliate Projection'!C18*'VIP Levels'!$B$14+'Affiliate Projection'!C19*(SUMPRODUCT('VIP Levels'!$B$15:$B$18,Inputs!$B$35:$B$38)/SUM(Inputs!$B$35:$B$38)),0)</f>
        <v/>
      </c>
      <c r="D5" s="16">
        <f>ROUND('Affiliate Projection'!D18*'VIP Levels'!$B$14+'Affiliate Projection'!D19*(SUMPRODUCT('VIP Levels'!$B$15:$B$18,Inputs!$B$35:$B$38)/SUM(Inputs!$B$35:$B$38)),0)</f>
        <v/>
      </c>
      <c r="E5" s="16">
        <f>ROUND('Affiliate Projection'!E18*'VIP Levels'!$B$14+'Affiliate Projection'!E19*(SUMPRODUCT('VIP Levels'!$B$15:$B$18,Inputs!$B$35:$B$38)/SUM(Inputs!$B$35:$B$38)),0)</f>
        <v/>
      </c>
      <c r="F5" s="16">
        <f>ROUND('Affiliate Projection'!F18*'VIP Levels'!$B$14+'Affiliate Projection'!F19*(SUMPRODUCT('VIP Levels'!$B$15:$B$18,Inputs!$B$35:$B$38)/SUM(Inputs!$B$35:$B$38)),0)</f>
        <v/>
      </c>
      <c r="G5" s="16">
        <f>ROUND('Affiliate Projection'!G18*'VIP Levels'!$B$14+'Affiliate Projection'!G19*(SUMPRODUCT('VIP Levels'!$B$15:$B$18,Inputs!$B$35:$B$38)/SUM(Inputs!$B$35:$B$38)),0)</f>
        <v/>
      </c>
      <c r="H5" s="16">
        <f>ROUND('Affiliate Projection'!H18*'VIP Levels'!$B$14+'Affiliate Projection'!H19*(SUMPRODUCT('VIP Levels'!$B$15:$B$18,Inputs!$B$35:$B$38)/SUM(Inputs!$B$35:$B$38)),0)</f>
        <v/>
      </c>
      <c r="I5" s="16">
        <f>ROUND('Affiliate Projection'!I18*'VIP Levels'!$B$14+'Affiliate Projection'!I19*(SUMPRODUCT('VIP Levels'!$B$15:$B$18,Inputs!$B$35:$B$38)/SUM(Inputs!$B$35:$B$38)),0)</f>
        <v/>
      </c>
      <c r="J5" s="16">
        <f>ROUND('Affiliate Projection'!J18*'VIP Levels'!$B$14+'Affiliate Projection'!J19*(SUMPRODUCT('VIP Levels'!$B$15:$B$18,Inputs!$B$35:$B$38)/SUM(Inputs!$B$35:$B$38)),0)</f>
        <v/>
      </c>
      <c r="K5" s="16">
        <f>ROUND('Affiliate Projection'!K18*'VIP Levels'!$B$14+'Affiliate Projection'!K19*(SUMPRODUCT('VIP Levels'!$B$15:$B$18,Inputs!$B$35:$B$38)/SUM(Inputs!$B$35:$B$38)),0)</f>
        <v/>
      </c>
      <c r="L5" s="16">
        <f>ROUND('Affiliate Projection'!L18*'VIP Levels'!$B$14+'Affiliate Projection'!L19*(SUMPRODUCT('VIP Levels'!$B$15:$B$18,Inputs!$B$35:$B$38)/SUM(Inputs!$B$35:$B$38)),0)</f>
        <v/>
      </c>
      <c r="M5" s="16">
        <f>ROUND('Affiliate Projection'!M18*'VIP Levels'!$B$14+'Affiliate Projection'!M19*(SUMPRODUCT('VIP Levels'!$B$15:$B$18,Inputs!$B$35:$B$38)/SUM(Inputs!$B$35:$B$38)),0)</f>
        <v/>
      </c>
    </row>
    <row r="6">
      <c r="A6" s="17" t="inlineStr">
        <is>
          <t>Gift Cards Triggered</t>
        </is>
      </c>
      <c r="B6" s="16">
        <f>ROUND('Affiliate Projection'!B19*(SUMPRODUCT('VIP Levels'!$E$15:$E$18,Inputs!$B$35:$B$38)/SUM(Inputs!$B$35:$B$38)),0)</f>
        <v/>
      </c>
      <c r="C6" s="16">
        <f>ROUND('Affiliate Projection'!C19*(SUMPRODUCT('VIP Levels'!$E$15:$E$18,Inputs!$B$35:$B$38)/SUM(Inputs!$B$35:$B$38)),0)</f>
        <v/>
      </c>
      <c r="D6" s="16">
        <f>ROUND('Affiliate Projection'!D19*(SUMPRODUCT('VIP Levels'!$E$15:$E$18,Inputs!$B$35:$B$38)/SUM(Inputs!$B$35:$B$38)),0)</f>
        <v/>
      </c>
      <c r="E6" s="16">
        <f>ROUND('Affiliate Projection'!E19*(SUMPRODUCT('VIP Levels'!$E$15:$E$18,Inputs!$B$35:$B$38)/SUM(Inputs!$B$35:$B$38)),0)</f>
        <v/>
      </c>
      <c r="F6" s="16">
        <f>ROUND('Affiliate Projection'!F19*(SUMPRODUCT('VIP Levels'!$E$15:$E$18,Inputs!$B$35:$B$38)/SUM(Inputs!$B$35:$B$38)),0)</f>
        <v/>
      </c>
      <c r="G6" s="16">
        <f>ROUND('Affiliate Projection'!G19*(SUMPRODUCT('VIP Levels'!$E$15:$E$18,Inputs!$B$35:$B$38)/SUM(Inputs!$B$35:$B$38)),0)</f>
        <v/>
      </c>
      <c r="H6" s="16">
        <f>ROUND('Affiliate Projection'!H19*(SUMPRODUCT('VIP Levels'!$E$15:$E$18,Inputs!$B$35:$B$38)/SUM(Inputs!$B$35:$B$38)),0)</f>
        <v/>
      </c>
      <c r="I6" s="16">
        <f>ROUND('Affiliate Projection'!I19*(SUMPRODUCT('VIP Levels'!$E$15:$E$18,Inputs!$B$35:$B$38)/SUM(Inputs!$B$35:$B$38)),0)</f>
        <v/>
      </c>
      <c r="J6" s="16">
        <f>ROUND('Affiliate Projection'!J19*(SUMPRODUCT('VIP Levels'!$E$15:$E$18,Inputs!$B$35:$B$38)/SUM(Inputs!$B$35:$B$38)),0)</f>
        <v/>
      </c>
      <c r="K6" s="16">
        <f>ROUND('Affiliate Projection'!K19*(SUMPRODUCT('VIP Levels'!$E$15:$E$18,Inputs!$B$35:$B$38)/SUM(Inputs!$B$35:$B$38)),0)</f>
        <v/>
      </c>
      <c r="L6" s="16">
        <f>ROUND('Affiliate Projection'!L19*(SUMPRODUCT('VIP Levels'!$E$15:$E$18,Inputs!$B$35:$B$38)/SUM(Inputs!$B$35:$B$38)),0)</f>
        <v/>
      </c>
      <c r="M6" s="16">
        <f>ROUND('Affiliate Projection'!M19*(SUMPRODUCT('VIP Levels'!$E$15:$E$18,Inputs!$B$35:$B$38)/SUM(Inputs!$B$35:$B$38)),0)</f>
        <v/>
      </c>
    </row>
    <row r="7">
      <c r="A7" s="17" t="inlineStr">
        <is>
          <t>Discount Coupons Triggered</t>
        </is>
      </c>
      <c r="B7" s="16">
        <f>ROUND('Affiliate Projection'!B20*SUMPRODUCT('VIP Levels'!$G$14:$G$18,Inputs!$B$34:$B$38),0)</f>
        <v/>
      </c>
      <c r="C7" s="16">
        <f>ROUND('Affiliate Projection'!C20*SUMPRODUCT('VIP Levels'!$G$14:$G$18,Inputs!$B$34:$B$38),0)</f>
        <v/>
      </c>
      <c r="D7" s="16">
        <f>ROUND('Affiliate Projection'!D20*SUMPRODUCT('VIP Levels'!$G$14:$G$18,Inputs!$B$34:$B$38),0)</f>
        <v/>
      </c>
      <c r="E7" s="16">
        <f>ROUND('Affiliate Projection'!E20*SUMPRODUCT('VIP Levels'!$G$14:$G$18,Inputs!$B$34:$B$38),0)</f>
        <v/>
      </c>
      <c r="F7" s="16">
        <f>ROUND('Affiliate Projection'!F20*SUMPRODUCT('VIP Levels'!$G$14:$G$18,Inputs!$B$34:$B$38),0)</f>
        <v/>
      </c>
      <c r="G7" s="16">
        <f>ROUND('Affiliate Projection'!G20*SUMPRODUCT('VIP Levels'!$G$14:$G$18,Inputs!$B$34:$B$38),0)</f>
        <v/>
      </c>
      <c r="H7" s="16">
        <f>ROUND('Affiliate Projection'!H20*SUMPRODUCT('VIP Levels'!$G$14:$G$18,Inputs!$B$34:$B$38),0)</f>
        <v/>
      </c>
      <c r="I7" s="16">
        <f>ROUND('Affiliate Projection'!I20*SUMPRODUCT('VIP Levels'!$G$14:$G$18,Inputs!$B$34:$B$38),0)</f>
        <v/>
      </c>
      <c r="J7" s="16">
        <f>ROUND('Affiliate Projection'!J20*SUMPRODUCT('VIP Levels'!$G$14:$G$18,Inputs!$B$34:$B$38),0)</f>
        <v/>
      </c>
      <c r="K7" s="16">
        <f>ROUND('Affiliate Projection'!K20*SUMPRODUCT('VIP Levels'!$G$14:$G$18,Inputs!$B$34:$B$38),0)</f>
        <v/>
      </c>
      <c r="L7" s="16">
        <f>ROUND('Affiliate Projection'!L20*SUMPRODUCT('VIP Levels'!$G$14:$G$18,Inputs!$B$34:$B$38),0)</f>
        <v/>
      </c>
      <c r="M7" s="16">
        <f>ROUND('Affiliate Projection'!M20*SUMPRODUCT('VIP Levels'!$G$14:$G$18,Inputs!$B$34:$B$38),0)</f>
        <v/>
      </c>
    </row>
    <row r="8">
      <c r="A8" s="17" t="inlineStr">
        <is>
          <t>Spark Ads Triggered</t>
        </is>
      </c>
      <c r="B8" s="16">
        <f>ROUND('Affiliate Projection'!B19*(SUMPRODUCT('VIP Levels'!$I$15:$I$18,Inputs!$B$35:$B$38)/SUM(Inputs!$B$35:$B$38)),0)</f>
        <v/>
      </c>
      <c r="C8" s="16">
        <f>ROUND('Affiliate Projection'!C19*(SUMPRODUCT('VIP Levels'!$I$15:$I$18,Inputs!$B$35:$B$38)/SUM(Inputs!$B$35:$B$38)),0)</f>
        <v/>
      </c>
      <c r="D8" s="16">
        <f>ROUND('Affiliate Projection'!D19*(SUMPRODUCT('VIP Levels'!$I$15:$I$18,Inputs!$B$35:$B$38)/SUM(Inputs!$B$35:$B$38)),0)</f>
        <v/>
      </c>
      <c r="E8" s="16">
        <f>ROUND('Affiliate Projection'!E19*(SUMPRODUCT('VIP Levels'!$I$15:$I$18,Inputs!$B$35:$B$38)/SUM(Inputs!$B$35:$B$38)),0)</f>
        <v/>
      </c>
      <c r="F8" s="16">
        <f>ROUND('Affiliate Projection'!F19*(SUMPRODUCT('VIP Levels'!$I$15:$I$18,Inputs!$B$35:$B$38)/SUM(Inputs!$B$35:$B$38)),0)</f>
        <v/>
      </c>
      <c r="G8" s="16">
        <f>ROUND('Affiliate Projection'!G19*(SUMPRODUCT('VIP Levels'!$I$15:$I$18,Inputs!$B$35:$B$38)/SUM(Inputs!$B$35:$B$38)),0)</f>
        <v/>
      </c>
      <c r="H8" s="16">
        <f>ROUND('Affiliate Projection'!H19*(SUMPRODUCT('VIP Levels'!$I$15:$I$18,Inputs!$B$35:$B$38)/SUM(Inputs!$B$35:$B$38)),0)</f>
        <v/>
      </c>
      <c r="I8" s="16">
        <f>ROUND('Affiliate Projection'!I19*(SUMPRODUCT('VIP Levels'!$I$15:$I$18,Inputs!$B$35:$B$38)/SUM(Inputs!$B$35:$B$38)),0)</f>
        <v/>
      </c>
      <c r="J8" s="16">
        <f>ROUND('Affiliate Projection'!J19*(SUMPRODUCT('VIP Levels'!$I$15:$I$18,Inputs!$B$35:$B$38)/SUM(Inputs!$B$35:$B$38)),0)</f>
        <v/>
      </c>
      <c r="K8" s="16">
        <f>ROUND('Affiliate Projection'!K19*(SUMPRODUCT('VIP Levels'!$I$15:$I$18,Inputs!$B$35:$B$38)/SUM(Inputs!$B$35:$B$38)),0)</f>
        <v/>
      </c>
      <c r="L8" s="16">
        <f>ROUND('Affiliate Projection'!L19*(SUMPRODUCT('VIP Levels'!$I$15:$I$18,Inputs!$B$35:$B$38)/SUM(Inputs!$B$35:$B$38)),0)</f>
        <v/>
      </c>
      <c r="M8" s="16">
        <f>ROUND('Affiliate Projection'!M19*(SUMPRODUCT('VIP Levels'!$I$15:$I$18,Inputs!$B$35:$B$38)/SUM(Inputs!$B$35:$B$38)),0)</f>
        <v/>
      </c>
    </row>
    <row r="9">
      <c r="A9" s="17" t="inlineStr">
        <is>
          <t>Physical Gifts Triggered</t>
        </is>
      </c>
      <c r="B9" s="16">
        <f>ROUND('Affiliate Projection'!B19*(SUMPRODUCT('VIP Levels'!$K$16:$K$18,Inputs!$B$36:$B$38)/SUM(Inputs!$B$36:$B$38)),0)</f>
        <v/>
      </c>
      <c r="C9" s="16">
        <f>ROUND('Affiliate Projection'!C19*(SUMPRODUCT('VIP Levels'!$K$16:$K$18,Inputs!$B$36:$B$38)/SUM(Inputs!$B$36:$B$38)),0)</f>
        <v/>
      </c>
      <c r="D9" s="16">
        <f>ROUND('Affiliate Projection'!D19*(SUMPRODUCT('VIP Levels'!$K$16:$K$18,Inputs!$B$36:$B$38)/SUM(Inputs!$B$36:$B$38)),0)</f>
        <v/>
      </c>
      <c r="E9" s="16">
        <f>ROUND('Affiliate Projection'!E19*(SUMPRODUCT('VIP Levels'!$K$16:$K$18,Inputs!$B$36:$B$38)/SUM(Inputs!$B$36:$B$38)),0)</f>
        <v/>
      </c>
      <c r="F9" s="16">
        <f>ROUND('Affiliate Projection'!F19*(SUMPRODUCT('VIP Levels'!$K$16:$K$18,Inputs!$B$36:$B$38)/SUM(Inputs!$B$36:$B$38)),0)</f>
        <v/>
      </c>
      <c r="G9" s="16">
        <f>ROUND('Affiliate Projection'!G19*(SUMPRODUCT('VIP Levels'!$K$16:$K$18,Inputs!$B$36:$B$38)/SUM(Inputs!$B$36:$B$38)),0)</f>
        <v/>
      </c>
      <c r="H9" s="16">
        <f>ROUND('Affiliate Projection'!H19*(SUMPRODUCT('VIP Levels'!$K$16:$K$18,Inputs!$B$36:$B$38)/SUM(Inputs!$B$36:$B$38)),0)</f>
        <v/>
      </c>
      <c r="I9" s="16">
        <f>ROUND('Affiliate Projection'!I19*(SUMPRODUCT('VIP Levels'!$K$16:$K$18,Inputs!$B$36:$B$38)/SUM(Inputs!$B$36:$B$38)),0)</f>
        <v/>
      </c>
      <c r="J9" s="16">
        <f>ROUND('Affiliate Projection'!J19*(SUMPRODUCT('VIP Levels'!$K$16:$K$18,Inputs!$B$36:$B$38)/SUM(Inputs!$B$36:$B$38)),0)</f>
        <v/>
      </c>
      <c r="K9" s="16">
        <f>ROUND('Affiliate Projection'!K19*(SUMPRODUCT('VIP Levels'!$K$16:$K$18,Inputs!$B$36:$B$38)/SUM(Inputs!$B$36:$B$38)),0)</f>
        <v/>
      </c>
      <c r="L9" s="16">
        <f>ROUND('Affiliate Projection'!L19*(SUMPRODUCT('VIP Levels'!$K$16:$K$18,Inputs!$B$36:$B$38)/SUM(Inputs!$B$36:$B$38)),0)</f>
        <v/>
      </c>
      <c r="M9" s="16">
        <f>ROUND('Affiliate Projection'!M19*(SUMPRODUCT('VIP Levels'!$K$16:$K$18,Inputs!$B$36:$B$38)/SUM(Inputs!$B$36:$B$38)),0)</f>
        <v/>
      </c>
    </row>
    <row r="10">
      <c r="A10" s="17" t="inlineStr">
        <is>
          <t>Experiences Triggered</t>
        </is>
      </c>
      <c r="B10" s="16">
        <f>ROUND('Affiliate Projection'!B19*(SUMPRODUCT('VIP Levels'!$M$17:$M$18,Inputs!$B$37:$B$38)/SUM(Inputs!$B$37:$B$38)),0)</f>
        <v/>
      </c>
      <c r="C10" s="16">
        <f>ROUND('Affiliate Projection'!C19*(SUMPRODUCT('VIP Levels'!$M$17:$M$18,Inputs!$B$37:$B$38)/SUM(Inputs!$B$37:$B$38)),0)</f>
        <v/>
      </c>
      <c r="D10" s="16">
        <f>ROUND('Affiliate Projection'!D19*(SUMPRODUCT('VIP Levels'!$M$17:$M$18,Inputs!$B$37:$B$38)/SUM(Inputs!$B$37:$B$38)),0)</f>
        <v/>
      </c>
      <c r="E10" s="16">
        <f>ROUND('Affiliate Projection'!E19*(SUMPRODUCT('VIP Levels'!$M$17:$M$18,Inputs!$B$37:$B$38)/SUM(Inputs!$B$37:$B$38)),0)</f>
        <v/>
      </c>
      <c r="F10" s="16">
        <f>ROUND('Affiliate Projection'!F19*(SUMPRODUCT('VIP Levels'!$M$17:$M$18,Inputs!$B$37:$B$38)/SUM(Inputs!$B$37:$B$38)),0)</f>
        <v/>
      </c>
      <c r="G10" s="16">
        <f>ROUND('Affiliate Projection'!G19*(SUMPRODUCT('VIP Levels'!$M$17:$M$18,Inputs!$B$37:$B$38)/SUM(Inputs!$B$37:$B$38)),0)</f>
        <v/>
      </c>
      <c r="H10" s="16">
        <f>ROUND('Affiliate Projection'!H19*(SUMPRODUCT('VIP Levels'!$M$17:$M$18,Inputs!$B$37:$B$38)/SUM(Inputs!$B$37:$B$38)),0)</f>
        <v/>
      </c>
      <c r="I10" s="16">
        <f>ROUND('Affiliate Projection'!I19*(SUMPRODUCT('VIP Levels'!$M$17:$M$18,Inputs!$B$37:$B$38)/SUM(Inputs!$B$37:$B$38)),0)</f>
        <v/>
      </c>
      <c r="J10" s="16">
        <f>ROUND('Affiliate Projection'!J19*(SUMPRODUCT('VIP Levels'!$M$17:$M$18,Inputs!$B$37:$B$38)/SUM(Inputs!$B$37:$B$38)),0)</f>
        <v/>
      </c>
      <c r="K10" s="16">
        <f>ROUND('Affiliate Projection'!K19*(SUMPRODUCT('VIP Levels'!$M$17:$M$18,Inputs!$B$37:$B$38)/SUM(Inputs!$B$37:$B$38)),0)</f>
        <v/>
      </c>
      <c r="L10" s="16">
        <f>ROUND('Affiliate Projection'!L19*(SUMPRODUCT('VIP Levels'!$M$17:$M$18,Inputs!$B$37:$B$38)/SUM(Inputs!$B$37:$B$38)),0)</f>
        <v/>
      </c>
      <c r="M10" s="16">
        <f>ROUND('Affiliate Projection'!M19*(SUMPRODUCT('VIP Levels'!$M$17:$M$18,Inputs!$B$37:$B$38)/SUM(Inputs!$B$37:$B$38)),0)</f>
        <v/>
      </c>
    </row>
    <row r="11">
      <c r="A11" s="17" t="inlineStr"/>
    </row>
    <row r="12">
      <c r="A12" s="2" t="inlineStr">
        <is>
          <t>--- MISSION COMPLETIONS ---</t>
        </is>
      </c>
    </row>
    <row r="13">
      <c r="A13" s="17" t="inlineStr">
        <is>
          <t>Mission Completions (Bronze)</t>
        </is>
      </c>
      <c r="B13" s="16">
        <f>ROUND('Affiliate Projection'!B12*Missions!$B$29*Missions!$C$29,0)</f>
        <v/>
      </c>
      <c r="C13" s="16">
        <f>ROUND('Affiliate Projection'!C12*Missions!$B$29*Missions!$C$29,0)</f>
        <v/>
      </c>
      <c r="D13" s="16">
        <f>ROUND('Affiliate Projection'!D12*Missions!$B$29*Missions!$C$29,0)</f>
        <v/>
      </c>
      <c r="E13" s="16">
        <f>ROUND('Affiliate Projection'!E12*Missions!$B$29*Missions!$C$29,0)</f>
        <v/>
      </c>
      <c r="F13" s="16">
        <f>ROUND('Affiliate Projection'!F12*Missions!$B$29*Missions!$C$29,0)</f>
        <v/>
      </c>
      <c r="G13" s="16">
        <f>ROUND('Affiliate Projection'!G12*Missions!$B$29*Missions!$C$29,0)</f>
        <v/>
      </c>
      <c r="H13" s="16">
        <f>ROUND('Affiliate Projection'!H12*Missions!$B$29*Missions!$C$29,0)</f>
        <v/>
      </c>
      <c r="I13" s="16">
        <f>ROUND('Affiliate Projection'!I12*Missions!$B$29*Missions!$C$29,0)</f>
        <v/>
      </c>
      <c r="J13" s="16">
        <f>ROUND('Affiliate Projection'!J12*Missions!$B$29*Missions!$C$29,0)</f>
        <v/>
      </c>
      <c r="K13" s="16">
        <f>ROUND('Affiliate Projection'!K12*Missions!$B$29*Missions!$C$29,0)</f>
        <v/>
      </c>
      <c r="L13" s="16">
        <f>ROUND('Affiliate Projection'!L12*Missions!$B$29*Missions!$C$29,0)</f>
        <v/>
      </c>
      <c r="M13" s="16">
        <f>ROUND('Affiliate Projection'!M12*Missions!$B$29*Missions!$C$29,0)</f>
        <v/>
      </c>
    </row>
    <row r="14">
      <c r="A14" s="17" t="inlineStr">
        <is>
          <t>Mission Completions (Silver)</t>
        </is>
      </c>
      <c r="B14" s="16">
        <f>ROUND('Affiliate Projection'!B13*Missions!$B$30*Missions!$C$30,0)</f>
        <v/>
      </c>
      <c r="C14" s="16">
        <f>ROUND('Affiliate Projection'!C13*Missions!$B$30*Missions!$C$30,0)</f>
        <v/>
      </c>
      <c r="D14" s="16">
        <f>ROUND('Affiliate Projection'!D13*Missions!$B$30*Missions!$C$30,0)</f>
        <v/>
      </c>
      <c r="E14" s="16">
        <f>ROUND('Affiliate Projection'!E13*Missions!$B$30*Missions!$C$30,0)</f>
        <v/>
      </c>
      <c r="F14" s="16">
        <f>ROUND('Affiliate Projection'!F13*Missions!$B$30*Missions!$C$30,0)</f>
        <v/>
      </c>
      <c r="G14" s="16">
        <f>ROUND('Affiliate Projection'!G13*Missions!$B$30*Missions!$C$30,0)</f>
        <v/>
      </c>
      <c r="H14" s="16">
        <f>ROUND('Affiliate Projection'!H13*Missions!$B$30*Missions!$C$30,0)</f>
        <v/>
      </c>
      <c r="I14" s="16">
        <f>ROUND('Affiliate Projection'!I13*Missions!$B$30*Missions!$C$30,0)</f>
        <v/>
      </c>
      <c r="J14" s="16">
        <f>ROUND('Affiliate Projection'!J13*Missions!$B$30*Missions!$C$30,0)</f>
        <v/>
      </c>
      <c r="K14" s="16">
        <f>ROUND('Affiliate Projection'!K13*Missions!$B$30*Missions!$C$30,0)</f>
        <v/>
      </c>
      <c r="L14" s="16">
        <f>ROUND('Affiliate Projection'!L13*Missions!$B$30*Missions!$C$30,0)</f>
        <v/>
      </c>
      <c r="M14" s="16">
        <f>ROUND('Affiliate Projection'!M13*Missions!$B$30*Missions!$C$30,0)</f>
        <v/>
      </c>
    </row>
    <row r="15">
      <c r="A15" s="17" t="inlineStr">
        <is>
          <t>Mission Completions (Gold)</t>
        </is>
      </c>
      <c r="B15" s="16">
        <f>ROUND('Affiliate Projection'!B14*Missions!$B$31*Missions!$C$31,0)</f>
        <v/>
      </c>
      <c r="C15" s="16">
        <f>ROUND('Affiliate Projection'!C14*Missions!$B$31*Missions!$C$31,0)</f>
        <v/>
      </c>
      <c r="D15" s="16">
        <f>ROUND('Affiliate Projection'!D14*Missions!$B$31*Missions!$C$31,0)</f>
        <v/>
      </c>
      <c r="E15" s="16">
        <f>ROUND('Affiliate Projection'!E14*Missions!$B$31*Missions!$C$31,0)</f>
        <v/>
      </c>
      <c r="F15" s="16">
        <f>ROUND('Affiliate Projection'!F14*Missions!$B$31*Missions!$C$31,0)</f>
        <v/>
      </c>
      <c r="G15" s="16">
        <f>ROUND('Affiliate Projection'!G14*Missions!$B$31*Missions!$C$31,0)</f>
        <v/>
      </c>
      <c r="H15" s="16">
        <f>ROUND('Affiliate Projection'!H14*Missions!$B$31*Missions!$C$31,0)</f>
        <v/>
      </c>
      <c r="I15" s="16">
        <f>ROUND('Affiliate Projection'!I14*Missions!$B$31*Missions!$C$31,0)</f>
        <v/>
      </c>
      <c r="J15" s="16">
        <f>ROUND('Affiliate Projection'!J14*Missions!$B$31*Missions!$C$31,0)</f>
        <v/>
      </c>
      <c r="K15" s="16">
        <f>ROUND('Affiliate Projection'!K14*Missions!$B$31*Missions!$C$31,0)</f>
        <v/>
      </c>
      <c r="L15" s="16">
        <f>ROUND('Affiliate Projection'!L14*Missions!$B$31*Missions!$C$31,0)</f>
        <v/>
      </c>
      <c r="M15" s="16">
        <f>ROUND('Affiliate Projection'!M14*Missions!$B$31*Missions!$C$31,0)</f>
        <v/>
      </c>
    </row>
    <row r="16">
      <c r="A16" s="17" t="inlineStr">
        <is>
          <t>Mission Completions (Platinum)</t>
        </is>
      </c>
      <c r="B16" s="16">
        <f>ROUND('Affiliate Projection'!B15*Missions!$B$32*Missions!$C$32,0)</f>
        <v/>
      </c>
      <c r="C16" s="16">
        <f>ROUND('Affiliate Projection'!C15*Missions!$B$32*Missions!$C$32,0)</f>
        <v/>
      </c>
      <c r="D16" s="16">
        <f>ROUND('Affiliate Projection'!D15*Missions!$B$32*Missions!$C$32,0)</f>
        <v/>
      </c>
      <c r="E16" s="16">
        <f>ROUND('Affiliate Projection'!E15*Missions!$B$32*Missions!$C$32,0)</f>
        <v/>
      </c>
      <c r="F16" s="16">
        <f>ROUND('Affiliate Projection'!F15*Missions!$B$32*Missions!$C$32,0)</f>
        <v/>
      </c>
      <c r="G16" s="16">
        <f>ROUND('Affiliate Projection'!G15*Missions!$B$32*Missions!$C$32,0)</f>
        <v/>
      </c>
      <c r="H16" s="16">
        <f>ROUND('Affiliate Projection'!H15*Missions!$B$32*Missions!$C$32,0)</f>
        <v/>
      </c>
      <c r="I16" s="16">
        <f>ROUND('Affiliate Projection'!I15*Missions!$B$32*Missions!$C$32,0)</f>
        <v/>
      </c>
      <c r="J16" s="16">
        <f>ROUND('Affiliate Projection'!J15*Missions!$B$32*Missions!$C$32,0)</f>
        <v/>
      </c>
      <c r="K16" s="16">
        <f>ROUND('Affiliate Projection'!K15*Missions!$B$32*Missions!$C$32,0)</f>
        <v/>
      </c>
      <c r="L16" s="16">
        <f>ROUND('Affiliate Projection'!L15*Missions!$B$32*Missions!$C$32,0)</f>
        <v/>
      </c>
      <c r="M16" s="16">
        <f>ROUND('Affiliate Projection'!M15*Missions!$B$32*Missions!$C$32,0)</f>
        <v/>
      </c>
    </row>
    <row r="17">
      <c r="A17" s="17" t="inlineStr">
        <is>
          <t>Mission Completions (Diamond)</t>
        </is>
      </c>
      <c r="B17" s="16">
        <f>ROUND('Affiliate Projection'!B16*Missions!$B$33*Missions!$C$33,0)</f>
        <v/>
      </c>
      <c r="C17" s="16">
        <f>ROUND('Affiliate Projection'!C16*Missions!$B$33*Missions!$C$33,0)</f>
        <v/>
      </c>
      <c r="D17" s="16">
        <f>ROUND('Affiliate Projection'!D16*Missions!$B$33*Missions!$C$33,0)</f>
        <v/>
      </c>
      <c r="E17" s="16">
        <f>ROUND('Affiliate Projection'!E16*Missions!$B$33*Missions!$C$33,0)</f>
        <v/>
      </c>
      <c r="F17" s="16">
        <f>ROUND('Affiliate Projection'!F16*Missions!$B$33*Missions!$C$33,0)</f>
        <v/>
      </c>
      <c r="G17" s="16">
        <f>ROUND('Affiliate Projection'!G16*Missions!$B$33*Missions!$C$33,0)</f>
        <v/>
      </c>
      <c r="H17" s="16">
        <f>ROUND('Affiliate Projection'!H16*Missions!$B$33*Missions!$C$33,0)</f>
        <v/>
      </c>
      <c r="I17" s="16">
        <f>ROUND('Affiliate Projection'!I16*Missions!$B$33*Missions!$C$33,0)</f>
        <v/>
      </c>
      <c r="J17" s="16">
        <f>ROUND('Affiliate Projection'!J16*Missions!$B$33*Missions!$C$33,0)</f>
        <v/>
      </c>
      <c r="K17" s="16">
        <f>ROUND('Affiliate Projection'!K16*Missions!$B$33*Missions!$C$33,0)</f>
        <v/>
      </c>
      <c r="L17" s="16">
        <f>ROUND('Affiliate Projection'!L16*Missions!$B$33*Missions!$C$33,0)</f>
        <v/>
      </c>
      <c r="M17" s="16">
        <f>ROUND('Affiliate Projection'!M16*Missions!$B$33*Missions!$C$33,0)</f>
        <v/>
      </c>
    </row>
    <row r="18">
      <c r="A18" s="17" t="inlineStr">
        <is>
          <t>Total Mission Completions</t>
        </is>
      </c>
      <c r="B18" s="16">
        <f>SUM(B13:B17)</f>
        <v/>
      </c>
      <c r="C18" s="16">
        <f>SUM(C13:C17)</f>
        <v/>
      </c>
      <c r="D18" s="16">
        <f>SUM(D13:D17)</f>
        <v/>
      </c>
      <c r="E18" s="16">
        <f>SUM(E13:E17)</f>
        <v/>
      </c>
      <c r="F18" s="16">
        <f>SUM(F13:F17)</f>
        <v/>
      </c>
      <c r="G18" s="16">
        <f>SUM(G13:G17)</f>
        <v/>
      </c>
      <c r="H18" s="16">
        <f>SUM(H13:H17)</f>
        <v/>
      </c>
      <c r="I18" s="16">
        <f>SUM(I13:I17)</f>
        <v/>
      </c>
      <c r="J18" s="16">
        <f>SUM(J13:J17)</f>
        <v/>
      </c>
      <c r="K18" s="16">
        <f>SUM(K13:K17)</f>
        <v/>
      </c>
      <c r="L18" s="16">
        <f>SUM(L13:L17)</f>
        <v/>
      </c>
      <c r="M18" s="16">
        <f>SUM(M13:M17)</f>
        <v/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REVENUE PROJECTION (12 MONTHS)</t>
        </is>
      </c>
    </row>
    <row r="3">
      <c r="A3" s="3" t="inlineStr">
        <is>
          <t>Metric</t>
        </is>
      </c>
      <c r="B3" s="3" t="inlineStr">
        <is>
          <t>Month 1</t>
        </is>
      </c>
      <c r="C3" s="3" t="inlineStr">
        <is>
          <t>Month 2</t>
        </is>
      </c>
      <c r="D3" s="3" t="inlineStr">
        <is>
          <t>Month 3</t>
        </is>
      </c>
      <c r="E3" s="3" t="inlineStr">
        <is>
          <t>Month 4</t>
        </is>
      </c>
      <c r="F3" s="3" t="inlineStr">
        <is>
          <t>Month 5</t>
        </is>
      </c>
      <c r="G3" s="3" t="inlineStr">
        <is>
          <t>Month 6</t>
        </is>
      </c>
      <c r="H3" s="3" t="inlineStr">
        <is>
          <t>Month 7</t>
        </is>
      </c>
      <c r="I3" s="3" t="inlineStr">
        <is>
          <t>Month 8</t>
        </is>
      </c>
      <c r="J3" s="3" t="inlineStr">
        <is>
          <t>Month 9</t>
        </is>
      </c>
      <c r="K3" s="3" t="inlineStr">
        <is>
          <t>Month 10</t>
        </is>
      </c>
      <c r="L3" s="3" t="inlineStr">
        <is>
          <t>Month 11</t>
        </is>
      </c>
      <c r="M3" s="3" t="inlineStr">
        <is>
          <t>Month 12</t>
        </is>
      </c>
    </row>
    <row r="4">
      <c r="A4" s="17" t="inlineStr">
        <is>
          <t>Total Sales Volume</t>
        </is>
      </c>
      <c r="B4" s="16">
        <f>'Affiliate Projection'!B10</f>
        <v/>
      </c>
      <c r="C4" s="16">
        <f>'Affiliate Projection'!C10</f>
        <v/>
      </c>
      <c r="D4" s="16">
        <f>'Affiliate Projection'!D10</f>
        <v/>
      </c>
      <c r="E4" s="16">
        <f>'Affiliate Projection'!E10</f>
        <v/>
      </c>
      <c r="F4" s="16">
        <f>'Affiliate Projection'!F10</f>
        <v/>
      </c>
      <c r="G4" s="16">
        <f>'Affiliate Projection'!G10</f>
        <v/>
      </c>
      <c r="H4" s="16">
        <f>'Affiliate Projection'!H10</f>
        <v/>
      </c>
      <c r="I4" s="16">
        <f>'Affiliate Projection'!I10</f>
        <v/>
      </c>
      <c r="J4" s="16">
        <f>'Affiliate Projection'!J10</f>
        <v/>
      </c>
      <c r="K4" s="16">
        <f>'Affiliate Projection'!K10</f>
        <v/>
      </c>
      <c r="L4" s="16">
        <f>'Affiliate Projection'!L10</f>
        <v/>
      </c>
      <c r="M4" s="16">
        <f>'Affiliate Projection'!M10</f>
        <v/>
      </c>
    </row>
    <row r="5">
      <c r="A5" s="17" t="inlineStr">
        <is>
          <t>Gross AOV</t>
        </is>
      </c>
      <c r="B5" s="15">
        <f>Inputs!$B$15</f>
        <v/>
      </c>
      <c r="C5" s="15">
        <f>Inputs!$B$15</f>
        <v/>
      </c>
      <c r="D5" s="15">
        <f>Inputs!$B$15</f>
        <v/>
      </c>
      <c r="E5" s="15">
        <f>Inputs!$B$15</f>
        <v/>
      </c>
      <c r="F5" s="15">
        <f>Inputs!$B$15</f>
        <v/>
      </c>
      <c r="G5" s="15">
        <f>Inputs!$B$15</f>
        <v/>
      </c>
      <c r="H5" s="15">
        <f>Inputs!$B$15</f>
        <v/>
      </c>
      <c r="I5" s="15">
        <f>Inputs!$B$15</f>
        <v/>
      </c>
      <c r="J5" s="15">
        <f>Inputs!$B$15</f>
        <v/>
      </c>
      <c r="K5" s="15">
        <f>Inputs!$B$15</f>
        <v/>
      </c>
      <c r="L5" s="15">
        <f>Inputs!$B$15</f>
        <v/>
      </c>
      <c r="M5" s="15">
        <f>Inputs!$B$15</f>
        <v/>
      </c>
    </row>
    <row r="6">
      <c r="A6" s="17" t="inlineStr">
        <is>
          <t>Gross Revenue</t>
        </is>
      </c>
      <c r="B6" s="18">
        <f>B4*B5</f>
        <v/>
      </c>
      <c r="C6" s="18">
        <f>C4*C5</f>
        <v/>
      </c>
      <c r="D6" s="18">
        <f>D4*D5</f>
        <v/>
      </c>
      <c r="E6" s="18">
        <f>E4*E5</f>
        <v/>
      </c>
      <c r="F6" s="18">
        <f>F4*F5</f>
        <v/>
      </c>
      <c r="G6" s="18">
        <f>G4*G5</f>
        <v/>
      </c>
      <c r="H6" s="18">
        <f>H4*H5</f>
        <v/>
      </c>
      <c r="I6" s="18">
        <f>I4*I5</f>
        <v/>
      </c>
      <c r="J6" s="18">
        <f>J4*J5</f>
        <v/>
      </c>
      <c r="K6" s="18">
        <f>K4*K5</f>
        <v/>
      </c>
      <c r="L6" s="18">
        <f>L4*L5</f>
        <v/>
      </c>
      <c r="M6" s="18">
        <f>M4*M5</f>
        <v/>
      </c>
    </row>
    <row r="7">
      <c r="A7" s="17" t="inlineStr">
        <is>
          <t>Avg Discount % (when redeemed)</t>
        </is>
      </c>
      <c r="B7" s="10">
        <f>SUMPRODUCT('VIP Levels'!$H$14:$H$18,Inputs!$B$34:$B$38)</f>
        <v/>
      </c>
      <c r="C7" s="10">
        <f>SUMPRODUCT('VIP Levels'!$H$14:$H$18,Inputs!$B$34:$B$38)</f>
        <v/>
      </c>
      <c r="D7" s="10">
        <f>SUMPRODUCT('VIP Levels'!$H$14:$H$18,Inputs!$B$34:$B$38)</f>
        <v/>
      </c>
      <c r="E7" s="10">
        <f>SUMPRODUCT('VIP Levels'!$H$14:$H$18,Inputs!$B$34:$B$38)</f>
        <v/>
      </c>
      <c r="F7" s="10">
        <f>SUMPRODUCT('VIP Levels'!$H$14:$H$18,Inputs!$B$34:$B$38)</f>
        <v/>
      </c>
      <c r="G7" s="10">
        <f>SUMPRODUCT('VIP Levels'!$H$14:$H$18,Inputs!$B$34:$B$38)</f>
        <v/>
      </c>
      <c r="H7" s="10">
        <f>SUMPRODUCT('VIP Levels'!$H$14:$H$18,Inputs!$B$34:$B$38)</f>
        <v/>
      </c>
      <c r="I7" s="10">
        <f>SUMPRODUCT('VIP Levels'!$H$14:$H$18,Inputs!$B$34:$B$38)</f>
        <v/>
      </c>
      <c r="J7" s="10">
        <f>SUMPRODUCT('VIP Levels'!$H$14:$H$18,Inputs!$B$34:$B$38)</f>
        <v/>
      </c>
      <c r="K7" s="10">
        <f>SUMPRODUCT('VIP Levels'!$H$14:$H$18,Inputs!$B$34:$B$38)</f>
        <v/>
      </c>
      <c r="L7" s="10">
        <f>SUMPRODUCT('VIP Levels'!$H$14:$H$18,Inputs!$B$34:$B$38)</f>
        <v/>
      </c>
      <c r="M7" s="10">
        <f>SUMPRODUCT('VIP Levels'!$H$14:$H$18,Inputs!$B$34:$B$38)</f>
        <v/>
      </c>
    </row>
    <row r="8">
      <c r="A8" s="17" t="inlineStr">
        <is>
          <t>Discount Redemption Rate</t>
        </is>
      </c>
      <c r="B8" s="10">
        <f>Inputs!$B$21</f>
        <v/>
      </c>
      <c r="C8" s="10">
        <f>Inputs!$B$21</f>
        <v/>
      </c>
      <c r="D8" s="10">
        <f>Inputs!$B$21</f>
        <v/>
      </c>
      <c r="E8" s="10">
        <f>Inputs!$B$21</f>
        <v/>
      </c>
      <c r="F8" s="10">
        <f>Inputs!$B$21</f>
        <v/>
      </c>
      <c r="G8" s="10">
        <f>Inputs!$B$21</f>
        <v/>
      </c>
      <c r="H8" s="10">
        <f>Inputs!$B$21</f>
        <v/>
      </c>
      <c r="I8" s="10">
        <f>Inputs!$B$21</f>
        <v/>
      </c>
      <c r="J8" s="10">
        <f>Inputs!$B$21</f>
        <v/>
      </c>
      <c r="K8" s="10">
        <f>Inputs!$B$21</f>
        <v/>
      </c>
      <c r="L8" s="10">
        <f>Inputs!$B$21</f>
        <v/>
      </c>
      <c r="M8" s="10">
        <f>Inputs!$B$21</f>
        <v/>
      </c>
    </row>
    <row r="9">
      <c r="A9" s="17" t="inlineStr">
        <is>
          <t>Discounted Sales Count</t>
        </is>
      </c>
      <c r="B9" s="16">
        <f>ROUND(B4*B8,0)</f>
        <v/>
      </c>
      <c r="C9" s="16">
        <f>ROUND(C4*C8,0)</f>
        <v/>
      </c>
      <c r="D9" s="16">
        <f>ROUND(D4*D8,0)</f>
        <v/>
      </c>
      <c r="E9" s="16">
        <f>ROUND(E4*E8,0)</f>
        <v/>
      </c>
      <c r="F9" s="16">
        <f>ROUND(F4*F8,0)</f>
        <v/>
      </c>
      <c r="G9" s="16">
        <f>ROUND(G4*G8,0)</f>
        <v/>
      </c>
      <c r="H9" s="16">
        <f>ROUND(H4*H8,0)</f>
        <v/>
      </c>
      <c r="I9" s="16">
        <f>ROUND(I4*I8,0)</f>
        <v/>
      </c>
      <c r="J9" s="16">
        <f>ROUND(J4*J8,0)</f>
        <v/>
      </c>
      <c r="K9" s="16">
        <f>ROUND(K4*K8,0)</f>
        <v/>
      </c>
      <c r="L9" s="16">
        <f>ROUND(L4*L8,0)</f>
        <v/>
      </c>
      <c r="M9" s="16">
        <f>ROUND(M4*M8,0)</f>
        <v/>
      </c>
    </row>
    <row r="10">
      <c r="A10" s="17" t="inlineStr">
        <is>
          <t>Net AOV (weighted avg)</t>
        </is>
      </c>
      <c r="B10" s="15">
        <f>B5*(1-B7*B8)</f>
        <v/>
      </c>
      <c r="C10" s="15">
        <f>C5*(1-C7*C8)</f>
        <v/>
      </c>
      <c r="D10" s="15">
        <f>D5*(1-D7*D8)</f>
        <v/>
      </c>
      <c r="E10" s="15">
        <f>E5*(1-E7*E8)</f>
        <v/>
      </c>
      <c r="F10" s="15">
        <f>F5*(1-F7*F8)</f>
        <v/>
      </c>
      <c r="G10" s="15">
        <f>G5*(1-G7*G8)</f>
        <v/>
      </c>
      <c r="H10" s="15">
        <f>H5*(1-H7*H8)</f>
        <v/>
      </c>
      <c r="I10" s="15">
        <f>I5*(1-I7*I8)</f>
        <v/>
      </c>
      <c r="J10" s="15">
        <f>J5*(1-J7*J8)</f>
        <v/>
      </c>
      <c r="K10" s="15">
        <f>K5*(1-K7*K8)</f>
        <v/>
      </c>
      <c r="L10" s="15">
        <f>L5*(1-L7*L8)</f>
        <v/>
      </c>
      <c r="M10" s="15">
        <f>M5*(1-M7*M8)</f>
        <v/>
      </c>
    </row>
    <row r="11">
      <c r="A11" s="17" t="inlineStr">
        <is>
          <t>Net Revenue</t>
        </is>
      </c>
      <c r="B11" s="18">
        <f>B4*B10</f>
        <v/>
      </c>
      <c r="C11" s="18">
        <f>C4*C10</f>
        <v/>
      </c>
      <c r="D11" s="18">
        <f>D4*D10</f>
        <v/>
      </c>
      <c r="E11" s="18">
        <f>E4*E10</f>
        <v/>
      </c>
      <c r="F11" s="18">
        <f>F4*F10</f>
        <v/>
      </c>
      <c r="G11" s="18">
        <f>G4*G10</f>
        <v/>
      </c>
      <c r="H11" s="18">
        <f>H4*H10</f>
        <v/>
      </c>
      <c r="I11" s="18">
        <f>I4*I10</f>
        <v/>
      </c>
      <c r="J11" s="18">
        <f>J4*J10</f>
        <v/>
      </c>
      <c r="K11" s="18">
        <f>K4*K10</f>
        <v/>
      </c>
      <c r="L11" s="18">
        <f>L4*L10</f>
        <v/>
      </c>
      <c r="M11" s="18">
        <f>M4*M10</f>
        <v/>
      </c>
    </row>
    <row r="12">
      <c r="A12" s="17" t="inlineStr">
        <is>
          <t>Discount Margin Erosion</t>
        </is>
      </c>
      <c r="B12" s="18">
        <f>B6-B11</f>
        <v/>
      </c>
      <c r="C12" s="18">
        <f>C6-C11</f>
        <v/>
      </c>
      <c r="D12" s="18">
        <f>D6-D11</f>
        <v/>
      </c>
      <c r="E12" s="18">
        <f>E6-E11</f>
        <v/>
      </c>
      <c r="F12" s="18">
        <f>F6-F11</f>
        <v/>
      </c>
      <c r="G12" s="18">
        <f>G6-G11</f>
        <v/>
      </c>
      <c r="H12" s="18">
        <f>H6-H11</f>
        <v/>
      </c>
      <c r="I12" s="18">
        <f>I6-I11</f>
        <v/>
      </c>
      <c r="J12" s="18">
        <f>J6-J11</f>
        <v/>
      </c>
      <c r="K12" s="18">
        <f>K6-K11</f>
        <v/>
      </c>
      <c r="L12" s="18">
        <f>L6-L11</f>
        <v/>
      </c>
      <c r="M12" s="18">
        <f>M6-M11</f>
        <v/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COST PROJECTION (12 MONTHS)</t>
        </is>
      </c>
    </row>
    <row r="3">
      <c r="A3" s="3" t="inlineStr">
        <is>
          <t>Metric</t>
        </is>
      </c>
      <c r="B3" s="3" t="inlineStr">
        <is>
          <t>Month 1</t>
        </is>
      </c>
      <c r="C3" s="3" t="inlineStr">
        <is>
          <t>Month 2</t>
        </is>
      </c>
      <c r="D3" s="3" t="inlineStr">
        <is>
          <t>Month 3</t>
        </is>
      </c>
      <c r="E3" s="3" t="inlineStr">
        <is>
          <t>Month 4</t>
        </is>
      </c>
      <c r="F3" s="3" t="inlineStr">
        <is>
          <t>Month 5</t>
        </is>
      </c>
      <c r="G3" s="3" t="inlineStr">
        <is>
          <t>Month 6</t>
        </is>
      </c>
      <c r="H3" s="3" t="inlineStr">
        <is>
          <t>Month 7</t>
        </is>
      </c>
      <c r="I3" s="3" t="inlineStr">
        <is>
          <t>Month 8</t>
        </is>
      </c>
      <c r="J3" s="3" t="inlineStr">
        <is>
          <t>Month 9</t>
        </is>
      </c>
      <c r="K3" s="3" t="inlineStr">
        <is>
          <t>Month 10</t>
        </is>
      </c>
      <c r="L3" s="3" t="inlineStr">
        <is>
          <t>Month 11</t>
        </is>
      </c>
      <c r="M3" s="3" t="inlineStr">
        <is>
          <t>Month 12</t>
        </is>
      </c>
    </row>
    <row r="4">
      <c r="A4" s="2" t="inlineStr">
        <is>
          <t>--- CM1 COSTS (Per Sale) ---</t>
        </is>
      </c>
    </row>
    <row r="5">
      <c r="A5" s="17" t="inlineStr">
        <is>
          <t>Base Commission Cost</t>
        </is>
      </c>
      <c r="B5" s="18">
        <f>'Affiliate Projection'!B10*SUMPRODUCT('VIP Levels'!$D$5:$D$9,Inputs!$B$34:$B$38)*Revenue!B10</f>
        <v/>
      </c>
      <c r="C5" s="18">
        <f>'Affiliate Projection'!C10*SUMPRODUCT('VIP Levels'!$D$5:$D$9,Inputs!$B$34:$B$38)*Revenue!C10</f>
        <v/>
      </c>
      <c r="D5" s="18">
        <f>'Affiliate Projection'!D10*SUMPRODUCT('VIP Levels'!$D$5:$D$9,Inputs!$B$34:$B$38)*Revenue!D10</f>
        <v/>
      </c>
      <c r="E5" s="18">
        <f>'Affiliate Projection'!E10*SUMPRODUCT('VIP Levels'!$D$5:$D$9,Inputs!$B$34:$B$38)*Revenue!E10</f>
        <v/>
      </c>
      <c r="F5" s="18">
        <f>'Affiliate Projection'!F10*SUMPRODUCT('VIP Levels'!$D$5:$D$9,Inputs!$B$34:$B$38)*Revenue!F10</f>
        <v/>
      </c>
      <c r="G5" s="18">
        <f>'Affiliate Projection'!G10*SUMPRODUCT('VIP Levels'!$D$5:$D$9,Inputs!$B$34:$B$38)*Revenue!G10</f>
        <v/>
      </c>
      <c r="H5" s="18">
        <f>'Affiliate Projection'!H10*SUMPRODUCT('VIP Levels'!$D$5:$D$9,Inputs!$B$34:$B$38)*Revenue!H10</f>
        <v/>
      </c>
      <c r="I5" s="18">
        <f>'Affiliate Projection'!I10*SUMPRODUCT('VIP Levels'!$D$5:$D$9,Inputs!$B$34:$B$38)*Revenue!I10</f>
        <v/>
      </c>
      <c r="J5" s="18">
        <f>'Affiliate Projection'!J10*SUMPRODUCT('VIP Levels'!$D$5:$D$9,Inputs!$B$34:$B$38)*Revenue!J10</f>
        <v/>
      </c>
      <c r="K5" s="18">
        <f>'Affiliate Projection'!K10*SUMPRODUCT('VIP Levels'!$D$5:$D$9,Inputs!$B$34:$B$38)*Revenue!K10</f>
        <v/>
      </c>
      <c r="L5" s="18">
        <f>'Affiliate Projection'!L10*SUMPRODUCT('VIP Levels'!$D$5:$D$9,Inputs!$B$34:$B$38)*Revenue!L10</f>
        <v/>
      </c>
      <c r="M5" s="18">
        <f>'Affiliate Projection'!M10*SUMPRODUCT('VIP Levels'!$D$5:$D$9,Inputs!$B$34:$B$38)*Revenue!M10</f>
        <v/>
      </c>
    </row>
    <row r="6">
      <c r="A6" s="17" t="inlineStr">
        <is>
          <t>Commission Boost Cost (Welcome)</t>
        </is>
      </c>
      <c r="B6" s="18">
        <f>'Reward Triggers'!B5*Inputs!$B$23*'VIP Levels'!$B$22*Revenue!B10</f>
        <v/>
      </c>
      <c r="C6" s="18">
        <f>'Reward Triggers'!C5*Inputs!$B$23*'VIP Levels'!$B$22*Revenue!C10</f>
        <v/>
      </c>
      <c r="D6" s="18">
        <f>'Reward Triggers'!D5*Inputs!$B$23*'VIP Levels'!$B$22*Revenue!D10</f>
        <v/>
      </c>
      <c r="E6" s="18">
        <f>'Reward Triggers'!E5*Inputs!$B$23*'VIP Levels'!$B$22*Revenue!E10</f>
        <v/>
      </c>
      <c r="F6" s="18">
        <f>'Reward Triggers'!F5*Inputs!$B$23*'VIP Levels'!$B$22*Revenue!F10</f>
        <v/>
      </c>
      <c r="G6" s="18">
        <f>'Reward Triggers'!G5*Inputs!$B$23*'VIP Levels'!$B$22*Revenue!G10</f>
        <v/>
      </c>
      <c r="H6" s="18">
        <f>'Reward Triggers'!H5*Inputs!$B$23*'VIP Levels'!$B$22*Revenue!H10</f>
        <v/>
      </c>
      <c r="I6" s="18">
        <f>'Reward Triggers'!I5*Inputs!$B$23*'VIP Levels'!$B$22*Revenue!I10</f>
        <v/>
      </c>
      <c r="J6" s="18">
        <f>'Reward Triggers'!J5*Inputs!$B$23*'VIP Levels'!$B$22*Revenue!J10</f>
        <v/>
      </c>
      <c r="K6" s="18">
        <f>'Reward Triggers'!K5*Inputs!$B$23*'VIP Levels'!$B$22*Revenue!K10</f>
        <v/>
      </c>
      <c r="L6" s="18">
        <f>'Reward Triggers'!L5*Inputs!$B$23*'VIP Levels'!$B$22*Revenue!L10</f>
        <v/>
      </c>
      <c r="M6" s="18">
        <f>'Reward Triggers'!M5*Inputs!$B$23*'VIP Levels'!$B$22*Revenue!M10</f>
        <v/>
      </c>
    </row>
    <row r="7">
      <c r="A7" s="17" t="inlineStr">
        <is>
          <t>Commission Boost Cost (Missions)</t>
        </is>
      </c>
      <c r="B7" s="18">
        <f>'Reward Triggers'!B18*0.3*Inputs!$B$23*'VIP Levels'!$B$22*Revenue!B10</f>
        <v/>
      </c>
      <c r="C7" s="18">
        <f>'Reward Triggers'!C18*0.3*Inputs!$B$23*'VIP Levels'!$B$22*Revenue!C10</f>
        <v/>
      </c>
      <c r="D7" s="18">
        <f>'Reward Triggers'!D18*0.3*Inputs!$B$23*'VIP Levels'!$B$22*Revenue!D10</f>
        <v/>
      </c>
      <c r="E7" s="18">
        <f>'Reward Triggers'!E18*0.3*Inputs!$B$23*'VIP Levels'!$B$22*Revenue!E10</f>
        <v/>
      </c>
      <c r="F7" s="18">
        <f>'Reward Triggers'!F18*0.3*Inputs!$B$23*'VIP Levels'!$B$22*Revenue!F10</f>
        <v/>
      </c>
      <c r="G7" s="18">
        <f>'Reward Triggers'!G18*0.3*Inputs!$B$23*'VIP Levels'!$B$22*Revenue!G10</f>
        <v/>
      </c>
      <c r="H7" s="18">
        <f>'Reward Triggers'!H18*0.3*Inputs!$B$23*'VIP Levels'!$B$22*Revenue!H10</f>
        <v/>
      </c>
      <c r="I7" s="18">
        <f>'Reward Triggers'!I18*0.3*Inputs!$B$23*'VIP Levels'!$B$22*Revenue!I10</f>
        <v/>
      </c>
      <c r="J7" s="18">
        <f>'Reward Triggers'!J18*0.3*Inputs!$B$23*'VIP Levels'!$B$22*Revenue!J10</f>
        <v/>
      </c>
      <c r="K7" s="18">
        <f>'Reward Triggers'!K18*0.3*Inputs!$B$23*'VIP Levels'!$B$22*Revenue!K10</f>
        <v/>
      </c>
      <c r="L7" s="18">
        <f>'Reward Triggers'!L18*0.3*Inputs!$B$23*'VIP Levels'!$B$22*Revenue!L10</f>
        <v/>
      </c>
      <c r="M7" s="18">
        <f>'Reward Triggers'!M18*0.3*Inputs!$B$23*'VIP Levels'!$B$22*Revenue!M10</f>
        <v/>
      </c>
    </row>
    <row r="8">
      <c r="A8" s="17" t="inlineStr">
        <is>
          <t>Discount Cost (Margin Erosion)</t>
        </is>
      </c>
      <c r="B8" s="18">
        <f>Revenue!B12</f>
        <v/>
      </c>
      <c r="C8" s="18">
        <f>Revenue!C12</f>
        <v/>
      </c>
      <c r="D8" s="18">
        <f>Revenue!D12</f>
        <v/>
      </c>
      <c r="E8" s="18">
        <f>Revenue!E12</f>
        <v/>
      </c>
      <c r="F8" s="18">
        <f>Revenue!F12</f>
        <v/>
      </c>
      <c r="G8" s="18">
        <f>Revenue!G12</f>
        <v/>
      </c>
      <c r="H8" s="18">
        <f>Revenue!H12</f>
        <v/>
      </c>
      <c r="I8" s="18">
        <f>Revenue!I12</f>
        <v/>
      </c>
      <c r="J8" s="18">
        <f>Revenue!J12</f>
        <v/>
      </c>
      <c r="K8" s="18">
        <f>Revenue!K12</f>
        <v/>
      </c>
      <c r="L8" s="18">
        <f>Revenue!L12</f>
        <v/>
      </c>
      <c r="M8" s="18">
        <f>Revenue!M12</f>
        <v/>
      </c>
    </row>
    <row r="9">
      <c r="A9" s="17" t="inlineStr">
        <is>
          <t>Total CM1 Costs</t>
        </is>
      </c>
      <c r="B9" s="19">
        <f>SUM(B5:B8)</f>
        <v/>
      </c>
      <c r="C9" s="19">
        <f>SUM(C5:C8)</f>
        <v/>
      </c>
      <c r="D9" s="19">
        <f>SUM(D5:D8)</f>
        <v/>
      </c>
      <c r="E9" s="19">
        <f>SUM(E5:E8)</f>
        <v/>
      </c>
      <c r="F9" s="19">
        <f>SUM(F5:F8)</f>
        <v/>
      </c>
      <c r="G9" s="19">
        <f>SUM(G5:G8)</f>
        <v/>
      </c>
      <c r="H9" s="19">
        <f>SUM(H5:H8)</f>
        <v/>
      </c>
      <c r="I9" s="19">
        <f>SUM(I5:I8)</f>
        <v/>
      </c>
      <c r="J9" s="19">
        <f>SUM(J5:J8)</f>
        <v/>
      </c>
      <c r="K9" s="19">
        <f>SUM(K5:K8)</f>
        <v/>
      </c>
      <c r="L9" s="19">
        <f>SUM(L5:L8)</f>
        <v/>
      </c>
      <c r="M9" s="19">
        <f>SUM(M5:M8)</f>
        <v/>
      </c>
    </row>
    <row r="10">
      <c r="A10" s="17" t="inlineStr"/>
    </row>
    <row r="11">
      <c r="A11" s="2" t="inlineStr">
        <is>
          <t>--- LOYALTY PROGRAM COSTS ---</t>
        </is>
      </c>
    </row>
    <row r="12">
      <c r="A12" s="17" t="inlineStr">
        <is>
          <t>Gift Card Cost (Welcome)</t>
        </is>
      </c>
      <c r="B12" s="18">
        <f>'Reward Triggers'!B6*'VIP Levels'!$B$23</f>
        <v/>
      </c>
      <c r="C12" s="18">
        <f>'Reward Triggers'!C6*'VIP Levels'!$B$23</f>
        <v/>
      </c>
      <c r="D12" s="18">
        <f>'Reward Triggers'!D6*'VIP Levels'!$B$23</f>
        <v/>
      </c>
      <c r="E12" s="18">
        <f>'Reward Triggers'!E6*'VIP Levels'!$B$23</f>
        <v/>
      </c>
      <c r="F12" s="18">
        <f>'Reward Triggers'!F6*'VIP Levels'!$B$23</f>
        <v/>
      </c>
      <c r="G12" s="18">
        <f>'Reward Triggers'!G6*'VIP Levels'!$B$23</f>
        <v/>
      </c>
      <c r="H12" s="18">
        <f>'Reward Triggers'!H6*'VIP Levels'!$B$23</f>
        <v/>
      </c>
      <c r="I12" s="18">
        <f>'Reward Triggers'!I6*'VIP Levels'!$B$23</f>
        <v/>
      </c>
      <c r="J12" s="18">
        <f>'Reward Triggers'!J6*'VIP Levels'!$B$23</f>
        <v/>
      </c>
      <c r="K12" s="18">
        <f>'Reward Triggers'!K6*'VIP Levels'!$B$23</f>
        <v/>
      </c>
      <c r="L12" s="18">
        <f>'Reward Triggers'!L6*'VIP Levels'!$B$23</f>
        <v/>
      </c>
      <c r="M12" s="18">
        <f>'Reward Triggers'!M6*'VIP Levels'!$B$23</f>
        <v/>
      </c>
    </row>
    <row r="13">
      <c r="A13" s="17" t="inlineStr">
        <is>
          <t>Gift Card Cost (Missions)</t>
        </is>
      </c>
      <c r="B13" s="18">
        <f>'Reward Triggers'!B18*0.5*75</f>
        <v/>
      </c>
      <c r="C13" s="18">
        <f>'Reward Triggers'!C18*0.5*75</f>
        <v/>
      </c>
      <c r="D13" s="18">
        <f>'Reward Triggers'!D18*0.5*75</f>
        <v/>
      </c>
      <c r="E13" s="18">
        <f>'Reward Triggers'!E18*0.5*75</f>
        <v/>
      </c>
      <c r="F13" s="18">
        <f>'Reward Triggers'!F18*0.5*75</f>
        <v/>
      </c>
      <c r="G13" s="18">
        <f>'Reward Triggers'!G18*0.5*75</f>
        <v/>
      </c>
      <c r="H13" s="18">
        <f>'Reward Triggers'!H18*0.5*75</f>
        <v/>
      </c>
      <c r="I13" s="18">
        <f>'Reward Triggers'!I18*0.5*75</f>
        <v/>
      </c>
      <c r="J13" s="18">
        <f>'Reward Triggers'!J18*0.5*75</f>
        <v/>
      </c>
      <c r="K13" s="18">
        <f>'Reward Triggers'!K18*0.5*75</f>
        <v/>
      </c>
      <c r="L13" s="18">
        <f>'Reward Triggers'!L18*0.5*75</f>
        <v/>
      </c>
      <c r="M13" s="18">
        <f>'Reward Triggers'!M18*0.5*75</f>
        <v/>
      </c>
    </row>
    <row r="14">
      <c r="A14" s="17" t="inlineStr">
        <is>
          <t>Total Gift Card Cost</t>
        </is>
      </c>
      <c r="B14" s="18">
        <f>B12+B13</f>
        <v/>
      </c>
      <c r="C14" s="18">
        <f>C12+C13</f>
        <v/>
      </c>
      <c r="D14" s="18">
        <f>D12+D13</f>
        <v/>
      </c>
      <c r="E14" s="18">
        <f>E12+E13</f>
        <v/>
      </c>
      <c r="F14" s="18">
        <f>F12+F13</f>
        <v/>
      </c>
      <c r="G14" s="18">
        <f>G12+G13</f>
        <v/>
      </c>
      <c r="H14" s="18">
        <f>H12+H13</f>
        <v/>
      </c>
      <c r="I14" s="18">
        <f>I12+I13</f>
        <v/>
      </c>
      <c r="J14" s="18">
        <f>J12+J13</f>
        <v/>
      </c>
      <c r="K14" s="18">
        <f>K12+K13</f>
        <v/>
      </c>
      <c r="L14" s="18">
        <f>L12+L13</f>
        <v/>
      </c>
      <c r="M14" s="18">
        <f>M12+M13</f>
        <v/>
      </c>
    </row>
    <row r="15">
      <c r="A15" s="17" t="inlineStr">
        <is>
          <t>Total Loyalty Program Costs</t>
        </is>
      </c>
      <c r="B15" s="19">
        <f>B14</f>
        <v/>
      </c>
      <c r="C15" s="19">
        <f>C14</f>
        <v/>
      </c>
      <c r="D15" s="19">
        <f>D14</f>
        <v/>
      </c>
      <c r="E15" s="19">
        <f>E14</f>
        <v/>
      </c>
      <c r="F15" s="19">
        <f>F14</f>
        <v/>
      </c>
      <c r="G15" s="19">
        <f>G14</f>
        <v/>
      </c>
      <c r="H15" s="19">
        <f>H14</f>
        <v/>
      </c>
      <c r="I15" s="19">
        <f>I14</f>
        <v/>
      </c>
      <c r="J15" s="19">
        <f>J14</f>
        <v/>
      </c>
      <c r="K15" s="19">
        <f>K14</f>
        <v/>
      </c>
      <c r="L15" s="19">
        <f>L14</f>
        <v/>
      </c>
      <c r="M15" s="19">
        <f>M14</f>
        <v/>
      </c>
    </row>
    <row r="16">
      <c r="A16" s="17" t="inlineStr"/>
    </row>
    <row r="17">
      <c r="A17" s="2" t="inlineStr">
        <is>
          <t>--- MARKETING OPEX ---</t>
        </is>
      </c>
    </row>
    <row r="18">
      <c r="A18" s="17" t="inlineStr">
        <is>
          <t>Spark Ads Cost (Welcome)</t>
        </is>
      </c>
      <c r="B18" s="18">
        <f>'Reward Triggers'!B8*'VIP Levels'!$B$24</f>
        <v/>
      </c>
      <c r="C18" s="18">
        <f>'Reward Triggers'!C8*'VIP Levels'!$B$24</f>
        <v/>
      </c>
      <c r="D18" s="18">
        <f>'Reward Triggers'!D8*'VIP Levels'!$B$24</f>
        <v/>
      </c>
      <c r="E18" s="18">
        <f>'Reward Triggers'!E8*'VIP Levels'!$B$24</f>
        <v/>
      </c>
      <c r="F18" s="18">
        <f>'Reward Triggers'!F8*'VIP Levels'!$B$24</f>
        <v/>
      </c>
      <c r="G18" s="18">
        <f>'Reward Triggers'!G8*'VIP Levels'!$B$24</f>
        <v/>
      </c>
      <c r="H18" s="18">
        <f>'Reward Triggers'!H8*'VIP Levels'!$B$24</f>
        <v/>
      </c>
      <c r="I18" s="18">
        <f>'Reward Triggers'!I8*'VIP Levels'!$B$24</f>
        <v/>
      </c>
      <c r="J18" s="18">
        <f>'Reward Triggers'!J8*'VIP Levels'!$B$24</f>
        <v/>
      </c>
      <c r="K18" s="18">
        <f>'Reward Triggers'!K8*'VIP Levels'!$B$24</f>
        <v/>
      </c>
      <c r="L18" s="18">
        <f>'Reward Triggers'!L8*'VIP Levels'!$B$24</f>
        <v/>
      </c>
      <c r="M18" s="18">
        <f>'Reward Triggers'!M8*'VIP Levels'!$B$24</f>
        <v/>
      </c>
    </row>
    <row r="19">
      <c r="A19" s="17" t="inlineStr">
        <is>
          <t>Spark Ads Cost (Missions)</t>
        </is>
      </c>
      <c r="B19" s="18">
        <f>'Reward Triggers'!B18*0.2*50</f>
        <v/>
      </c>
      <c r="C19" s="18">
        <f>'Reward Triggers'!C18*0.2*50</f>
        <v/>
      </c>
      <c r="D19" s="18">
        <f>'Reward Triggers'!D18*0.2*50</f>
        <v/>
      </c>
      <c r="E19" s="18">
        <f>'Reward Triggers'!E18*0.2*50</f>
        <v/>
      </c>
      <c r="F19" s="18">
        <f>'Reward Triggers'!F18*0.2*50</f>
        <v/>
      </c>
      <c r="G19" s="18">
        <f>'Reward Triggers'!G18*0.2*50</f>
        <v/>
      </c>
      <c r="H19" s="18">
        <f>'Reward Triggers'!H18*0.2*50</f>
        <v/>
      </c>
      <c r="I19" s="18">
        <f>'Reward Triggers'!I18*0.2*50</f>
        <v/>
      </c>
      <c r="J19" s="18">
        <f>'Reward Triggers'!J18*0.2*50</f>
        <v/>
      </c>
      <c r="K19" s="18">
        <f>'Reward Triggers'!K18*0.2*50</f>
        <v/>
      </c>
      <c r="L19" s="18">
        <f>'Reward Triggers'!L18*0.2*50</f>
        <v/>
      </c>
      <c r="M19" s="18">
        <f>'Reward Triggers'!M18*0.2*50</f>
        <v/>
      </c>
    </row>
    <row r="20">
      <c r="A20" s="17" t="inlineStr">
        <is>
          <t>Physical Gift Cost</t>
        </is>
      </c>
      <c r="B20" s="18">
        <f>'Reward Triggers'!B9*'VIP Levels'!$B$25</f>
        <v/>
      </c>
      <c r="C20" s="18">
        <f>'Reward Triggers'!C9*'VIP Levels'!$B$25</f>
        <v/>
      </c>
      <c r="D20" s="18">
        <f>'Reward Triggers'!D9*'VIP Levels'!$B$25</f>
        <v/>
      </c>
      <c r="E20" s="18">
        <f>'Reward Triggers'!E9*'VIP Levels'!$B$25</f>
        <v/>
      </c>
      <c r="F20" s="18">
        <f>'Reward Triggers'!F9*'VIP Levels'!$B$25</f>
        <v/>
      </c>
      <c r="G20" s="18">
        <f>'Reward Triggers'!G9*'VIP Levels'!$B$25</f>
        <v/>
      </c>
      <c r="H20" s="18">
        <f>'Reward Triggers'!H9*'VIP Levels'!$B$25</f>
        <v/>
      </c>
      <c r="I20" s="18">
        <f>'Reward Triggers'!I9*'VIP Levels'!$B$25</f>
        <v/>
      </c>
      <c r="J20" s="18">
        <f>'Reward Triggers'!J9*'VIP Levels'!$B$25</f>
        <v/>
      </c>
      <c r="K20" s="18">
        <f>'Reward Triggers'!K9*'VIP Levels'!$B$25</f>
        <v/>
      </c>
      <c r="L20" s="18">
        <f>'Reward Triggers'!L9*'VIP Levels'!$B$25</f>
        <v/>
      </c>
      <c r="M20" s="18">
        <f>'Reward Triggers'!M9*'VIP Levels'!$B$25</f>
        <v/>
      </c>
    </row>
    <row r="21">
      <c r="A21" s="17" t="inlineStr">
        <is>
          <t>Experience Cost</t>
        </is>
      </c>
      <c r="B21" s="18">
        <f>'Reward Triggers'!B10*'VIP Levels'!$B$26</f>
        <v/>
      </c>
      <c r="C21" s="18">
        <f>'Reward Triggers'!C10*'VIP Levels'!$B$26</f>
        <v/>
      </c>
      <c r="D21" s="18">
        <f>'Reward Triggers'!D10*'VIP Levels'!$B$26</f>
        <v/>
      </c>
      <c r="E21" s="18">
        <f>'Reward Triggers'!E10*'VIP Levels'!$B$26</f>
        <v/>
      </c>
      <c r="F21" s="18">
        <f>'Reward Triggers'!F10*'VIP Levels'!$B$26</f>
        <v/>
      </c>
      <c r="G21" s="18">
        <f>'Reward Triggers'!G10*'VIP Levels'!$B$26</f>
        <v/>
      </c>
      <c r="H21" s="18">
        <f>'Reward Triggers'!H10*'VIP Levels'!$B$26</f>
        <v/>
      </c>
      <c r="I21" s="18">
        <f>'Reward Triggers'!I10*'VIP Levels'!$B$26</f>
        <v/>
      </c>
      <c r="J21" s="18">
        <f>'Reward Triggers'!J10*'VIP Levels'!$B$26</f>
        <v/>
      </c>
      <c r="K21" s="18">
        <f>'Reward Triggers'!K10*'VIP Levels'!$B$26</f>
        <v/>
      </c>
      <c r="L21" s="18">
        <f>'Reward Triggers'!L10*'VIP Levels'!$B$26</f>
        <v/>
      </c>
      <c r="M21" s="18">
        <f>'Reward Triggers'!M10*'VIP Levels'!$B$26</f>
        <v/>
      </c>
    </row>
    <row r="22">
      <c r="A22" s="17" t="inlineStr">
        <is>
          <t>Sample Cost</t>
        </is>
      </c>
      <c r="B22" s="18">
        <f>'Affiliate Projection'!B4*Inputs!$B$28</f>
        <v/>
      </c>
      <c r="C22" s="18">
        <f>'Affiliate Projection'!C4*Inputs!$B$28</f>
        <v/>
      </c>
      <c r="D22" s="18">
        <f>'Affiliate Projection'!D4*Inputs!$B$28</f>
        <v/>
      </c>
      <c r="E22" s="18">
        <f>'Affiliate Projection'!E4*Inputs!$B$28</f>
        <v/>
      </c>
      <c r="F22" s="18">
        <f>'Affiliate Projection'!F4*Inputs!$B$28</f>
        <v/>
      </c>
      <c r="G22" s="18">
        <f>'Affiliate Projection'!G4*Inputs!$B$28</f>
        <v/>
      </c>
      <c r="H22" s="18">
        <f>'Affiliate Projection'!H4*Inputs!$B$28</f>
        <v/>
      </c>
      <c r="I22" s="18">
        <f>'Affiliate Projection'!I4*Inputs!$B$28</f>
        <v/>
      </c>
      <c r="J22" s="18">
        <f>'Affiliate Projection'!J4*Inputs!$B$28</f>
        <v/>
      </c>
      <c r="K22" s="18">
        <f>'Affiliate Projection'!K4*Inputs!$B$28</f>
        <v/>
      </c>
      <c r="L22" s="18">
        <f>'Affiliate Projection'!L4*Inputs!$B$28</f>
        <v/>
      </c>
      <c r="M22" s="18">
        <f>'Affiliate Projection'!M4*Inputs!$B$28</f>
        <v/>
      </c>
    </row>
    <row r="23">
      <c r="A23" s="17" t="inlineStr">
        <is>
          <t>Total Marketing OpEx</t>
        </is>
      </c>
      <c r="B23" s="19">
        <f>SUM(B18:B22)</f>
        <v/>
      </c>
      <c r="C23" s="19">
        <f>SUM(C18:C22)</f>
        <v/>
      </c>
      <c r="D23" s="19">
        <f>SUM(D18:D22)</f>
        <v/>
      </c>
      <c r="E23" s="19">
        <f>SUM(E18:E22)</f>
        <v/>
      </c>
      <c r="F23" s="19">
        <f>SUM(F18:F22)</f>
        <v/>
      </c>
      <c r="G23" s="19">
        <f>SUM(G18:G22)</f>
        <v/>
      </c>
      <c r="H23" s="19">
        <f>SUM(H18:H22)</f>
        <v/>
      </c>
      <c r="I23" s="19">
        <f>SUM(I18:I22)</f>
        <v/>
      </c>
      <c r="J23" s="19">
        <f>SUM(J18:J22)</f>
        <v/>
      </c>
      <c r="K23" s="19">
        <f>SUM(K18:K22)</f>
        <v/>
      </c>
      <c r="L23" s="19">
        <f>SUM(L18:L22)</f>
        <v/>
      </c>
      <c r="M23" s="19">
        <f>SUM(M18:M22)</f>
        <v/>
      </c>
    </row>
    <row r="24">
      <c r="A24" s="17" t="inlineStr"/>
    </row>
    <row r="25">
      <c r="A25" s="2" t="inlineStr">
        <is>
          <t>--- TOTALS ---</t>
        </is>
      </c>
    </row>
    <row r="26">
      <c r="A26" s="17" t="inlineStr">
        <is>
          <t>Total Program Cost</t>
        </is>
      </c>
      <c r="B26" s="19">
        <f>B9+B15+B23</f>
        <v/>
      </c>
      <c r="C26" s="19">
        <f>C9+C15+C23</f>
        <v/>
      </c>
      <c r="D26" s="19">
        <f>D9+D15+D23</f>
        <v/>
      </c>
      <c r="E26" s="19">
        <f>E9+E15+E23</f>
        <v/>
      </c>
      <c r="F26" s="19">
        <f>F9+F15+F23</f>
        <v/>
      </c>
      <c r="G26" s="19">
        <f>G9+G15+G23</f>
        <v/>
      </c>
      <c r="H26" s="19">
        <f>H9+H15+H23</f>
        <v/>
      </c>
      <c r="I26" s="19">
        <f>I9+I15+I23</f>
        <v/>
      </c>
      <c r="J26" s="19">
        <f>J9+J15+J23</f>
        <v/>
      </c>
      <c r="K26" s="19">
        <f>K9+K15+K23</f>
        <v/>
      </c>
      <c r="L26" s="19">
        <f>L9+L15+L23</f>
        <v/>
      </c>
      <c r="M26" s="19">
        <f>M9+M15+M23</f>
        <v/>
      </c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SUMMARY DASHBOARD</t>
        </is>
      </c>
    </row>
    <row r="3">
      <c r="A3" s="2" t="inlineStr">
        <is>
          <t>12-MONTH TOTALS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Samples Sent</t>
        </is>
      </c>
      <c r="B5" s="16">
        <f>SUM('Affiliate Projection'!B4:M4)</f>
        <v/>
      </c>
    </row>
    <row r="6">
      <c r="A6" s="4" t="inlineStr">
        <is>
          <t>Total New Affiliates</t>
        </is>
      </c>
      <c r="B6" s="16">
        <f>SUM('Affiliate Projection'!B7:M7)</f>
        <v/>
      </c>
    </row>
    <row r="7">
      <c r="A7" s="4" t="inlineStr">
        <is>
          <t>Active Affiliates (Month 12)</t>
        </is>
      </c>
      <c r="B7" s="16">
        <f>'Affiliate Projection'!M9</f>
        <v/>
      </c>
    </row>
    <row r="8">
      <c r="A8" s="4" t="inlineStr">
        <is>
          <t>Total Sales</t>
        </is>
      </c>
      <c r="B8" s="16">
        <f>SUM('Affiliate Projection'!B10:M10)</f>
        <v/>
      </c>
    </row>
    <row r="9">
      <c r="A9" s="4" t="inlineStr"/>
      <c r="B9" t="inlineStr"/>
    </row>
    <row r="10">
      <c r="A10" s="4" t="inlineStr">
        <is>
          <t>Gross Revenue</t>
        </is>
      </c>
      <c r="B10" s="18">
        <f>SUM(Revenue!B6:M6)</f>
        <v/>
      </c>
    </row>
    <row r="11">
      <c r="A11" s="4" t="inlineStr">
        <is>
          <t>Net Revenue</t>
        </is>
      </c>
      <c r="B11" s="18">
        <f>SUM(Revenue!B11:M11)</f>
        <v/>
      </c>
    </row>
    <row r="12">
      <c r="A12" s="4" t="inlineStr"/>
      <c r="B12" t="inlineStr"/>
    </row>
    <row r="13">
      <c r="A13" s="4" t="inlineStr">
        <is>
          <t>Total CM1 Costs</t>
        </is>
      </c>
      <c r="B13" s="18">
        <f>SUM(Costs!B9:M9)</f>
        <v/>
      </c>
    </row>
    <row r="14">
      <c r="A14" s="4" t="inlineStr">
        <is>
          <t>Total Loyalty Program Costs</t>
        </is>
      </c>
      <c r="B14" s="18">
        <f>SUM(Costs!B15:M15)</f>
        <v/>
      </c>
    </row>
    <row r="15">
      <c r="A15" s="4" t="inlineStr">
        <is>
          <t>Total Marketing OpEx</t>
        </is>
      </c>
      <c r="B15" s="18">
        <f>SUM(Costs!B23:M23)</f>
        <v/>
      </c>
    </row>
    <row r="16">
      <c r="A16" s="4" t="inlineStr">
        <is>
          <t>Total Program Cost</t>
        </is>
      </c>
      <c r="B16" s="18">
        <f>SUM(Costs!B26:M26)</f>
        <v/>
      </c>
    </row>
    <row r="19">
      <c r="A19" s="2" t="inlineStr">
        <is>
          <t>KEY RATIOS</t>
        </is>
      </c>
    </row>
    <row r="20">
      <c r="A20" s="3" t="inlineStr">
        <is>
          <t>Metric</t>
        </is>
      </c>
      <c r="B20" s="3" t="inlineStr">
        <is>
          <t>Value</t>
        </is>
      </c>
    </row>
    <row r="21">
      <c r="A21" s="4" t="inlineStr">
        <is>
          <t>CM1 as % of Net Revenue</t>
        </is>
      </c>
      <c r="B21" s="14">
        <f>IF(B11&gt;0,B13/B11,0)</f>
        <v/>
      </c>
    </row>
    <row r="22">
      <c r="A22" s="4" t="inlineStr">
        <is>
          <t>Total Cost as % of Net Revenue</t>
        </is>
      </c>
      <c r="B22" s="14">
        <f>IF(B11&gt;0,B16/B11,0)</f>
        <v/>
      </c>
    </row>
    <row r="23">
      <c r="A23" s="4" t="inlineStr">
        <is>
          <t>Cost per Affiliate (12-mo avg)</t>
        </is>
      </c>
      <c r="B23" s="15">
        <f>IF(B6&gt;0,B16/B6,0)</f>
        <v/>
      </c>
    </row>
    <row r="24">
      <c r="A24" s="4" t="inlineStr">
        <is>
          <t>Revenue per Affiliate (12-mo avg)</t>
        </is>
      </c>
      <c r="B24" s="15">
        <f>IF(B6&gt;0,B11/B6,0)</f>
        <v/>
      </c>
    </row>
    <row r="25">
      <c r="A25" s="4" t="inlineStr">
        <is>
          <t>Sample-to-Affiliate Conversion</t>
        </is>
      </c>
      <c r="B25" s="14">
        <f>IF(B5&gt;0,B6/B5,0)</f>
        <v/>
      </c>
    </row>
    <row r="26">
      <c r="A26" s="4" t="inlineStr">
        <is>
          <t>Weighted Avg Commission Rate</t>
        </is>
      </c>
      <c r="B26" s="14">
        <f>SUMPRODUCT('VIP Levels'!$D$5:$D$9,Inputs!$B$34:$B$38)</f>
        <v/>
      </c>
    </row>
    <row r="29">
      <c r="A29" s="2" t="inlineStr">
        <is>
          <t>MONTHLY TREND</t>
        </is>
      </c>
    </row>
    <row r="30">
      <c r="A30" s="3" t="inlineStr">
        <is>
          <t>Metric</t>
        </is>
      </c>
      <c r="B30" s="3" t="inlineStr">
        <is>
          <t>M1</t>
        </is>
      </c>
      <c r="C30" s="3" t="inlineStr">
        <is>
          <t>M2</t>
        </is>
      </c>
      <c r="D30" s="3" t="inlineStr">
        <is>
          <t>M3</t>
        </is>
      </c>
      <c r="E30" s="3" t="inlineStr">
        <is>
          <t>M4</t>
        </is>
      </c>
      <c r="F30" s="3" t="inlineStr">
        <is>
          <t>M5</t>
        </is>
      </c>
      <c r="G30" s="3" t="inlineStr">
        <is>
          <t>M6</t>
        </is>
      </c>
      <c r="H30" s="3" t="inlineStr">
        <is>
          <t>M7</t>
        </is>
      </c>
      <c r="I30" s="3" t="inlineStr">
        <is>
          <t>M8</t>
        </is>
      </c>
      <c r="J30" s="3" t="inlineStr">
        <is>
          <t>M9</t>
        </is>
      </c>
      <c r="K30" s="3" t="inlineStr">
        <is>
          <t>M10</t>
        </is>
      </c>
      <c r="L30" s="3" t="inlineStr">
        <is>
          <t>M11</t>
        </is>
      </c>
      <c r="M30" s="3" t="inlineStr">
        <is>
          <t>M12</t>
        </is>
      </c>
      <c r="N30" s="3" t="inlineStr">
        <is>
          <t>Total</t>
        </is>
      </c>
    </row>
    <row r="31">
      <c r="A31" s="4" t="inlineStr">
        <is>
          <t>Active Affiliates</t>
        </is>
      </c>
      <c r="B31" s="16">
        <f>'Affiliate Projection'!B9</f>
        <v/>
      </c>
      <c r="C31" s="16">
        <f>'Affiliate Projection'!C9</f>
        <v/>
      </c>
      <c r="D31" s="16">
        <f>'Affiliate Projection'!D9</f>
        <v/>
      </c>
      <c r="E31" s="16">
        <f>'Affiliate Projection'!E9</f>
        <v/>
      </c>
      <c r="F31" s="16">
        <f>'Affiliate Projection'!F9</f>
        <v/>
      </c>
      <c r="G31" s="16">
        <f>'Affiliate Projection'!G9</f>
        <v/>
      </c>
      <c r="H31" s="16">
        <f>'Affiliate Projection'!H9</f>
        <v/>
      </c>
      <c r="I31" s="16">
        <f>'Affiliate Projection'!I9</f>
        <v/>
      </c>
      <c r="J31" s="16">
        <f>'Affiliate Projection'!J9</f>
        <v/>
      </c>
      <c r="K31" s="16">
        <f>'Affiliate Projection'!K9</f>
        <v/>
      </c>
      <c r="L31" s="16">
        <f>'Affiliate Projection'!L9</f>
        <v/>
      </c>
      <c r="M31" s="16">
        <f>'Affiliate Projection'!M9</f>
        <v/>
      </c>
      <c r="N31" s="16">
        <f>M31</f>
        <v/>
      </c>
    </row>
    <row r="32">
      <c r="A32" s="4" t="inlineStr">
        <is>
          <t>Total Sales</t>
        </is>
      </c>
      <c r="B32" s="16">
        <f>'Affiliate Projection'!B10</f>
        <v/>
      </c>
      <c r="C32" s="16">
        <f>'Affiliate Projection'!C10</f>
        <v/>
      </c>
      <c r="D32" s="16">
        <f>'Affiliate Projection'!D10</f>
        <v/>
      </c>
      <c r="E32" s="16">
        <f>'Affiliate Projection'!E10</f>
        <v/>
      </c>
      <c r="F32" s="16">
        <f>'Affiliate Projection'!F10</f>
        <v/>
      </c>
      <c r="G32" s="16">
        <f>'Affiliate Projection'!G10</f>
        <v/>
      </c>
      <c r="H32" s="16">
        <f>'Affiliate Projection'!H10</f>
        <v/>
      </c>
      <c r="I32" s="16">
        <f>'Affiliate Projection'!I10</f>
        <v/>
      </c>
      <c r="J32" s="16">
        <f>'Affiliate Projection'!J10</f>
        <v/>
      </c>
      <c r="K32" s="16">
        <f>'Affiliate Projection'!K10</f>
        <v/>
      </c>
      <c r="L32" s="16">
        <f>'Affiliate Projection'!L10</f>
        <v/>
      </c>
      <c r="M32" s="16">
        <f>'Affiliate Projection'!M10</f>
        <v/>
      </c>
      <c r="N32" s="16">
        <f>SUM(B32:M32)</f>
        <v/>
      </c>
    </row>
    <row r="33">
      <c r="A33" s="4" t="inlineStr">
        <is>
          <t>Net Revenue</t>
        </is>
      </c>
      <c r="B33" s="18">
        <f>Revenue!B11</f>
        <v/>
      </c>
      <c r="C33" s="18">
        <f>Revenue!C11</f>
        <v/>
      </c>
      <c r="D33" s="18">
        <f>Revenue!D11</f>
        <v/>
      </c>
      <c r="E33" s="18">
        <f>Revenue!E11</f>
        <v/>
      </c>
      <c r="F33" s="18">
        <f>Revenue!F11</f>
        <v/>
      </c>
      <c r="G33" s="18">
        <f>Revenue!G11</f>
        <v/>
      </c>
      <c r="H33" s="18">
        <f>Revenue!H11</f>
        <v/>
      </c>
      <c r="I33" s="18">
        <f>Revenue!I11</f>
        <v/>
      </c>
      <c r="J33" s="18">
        <f>Revenue!J11</f>
        <v/>
      </c>
      <c r="K33" s="18">
        <f>Revenue!K11</f>
        <v/>
      </c>
      <c r="L33" s="18">
        <f>Revenue!L11</f>
        <v/>
      </c>
      <c r="M33" s="18">
        <f>Revenue!M11</f>
        <v/>
      </c>
      <c r="N33" s="18">
        <f>SUM(B33:M33)</f>
        <v/>
      </c>
    </row>
    <row r="34">
      <c r="A34" s="4" t="inlineStr">
        <is>
          <t>Total Program Cost</t>
        </is>
      </c>
      <c r="B34" s="18">
        <f>Costs!B26</f>
        <v/>
      </c>
      <c r="C34" s="18">
        <f>Costs!C26</f>
        <v/>
      </c>
      <c r="D34" s="18">
        <f>Costs!D26</f>
        <v/>
      </c>
      <c r="E34" s="18">
        <f>Costs!E26</f>
        <v/>
      </c>
      <c r="F34" s="18">
        <f>Costs!F26</f>
        <v/>
      </c>
      <c r="G34" s="18">
        <f>Costs!G26</f>
        <v/>
      </c>
      <c r="H34" s="18">
        <f>Costs!H26</f>
        <v/>
      </c>
      <c r="I34" s="18">
        <f>Costs!I26</f>
        <v/>
      </c>
      <c r="J34" s="18">
        <f>Costs!J26</f>
        <v/>
      </c>
      <c r="K34" s="18">
        <f>Costs!K26</f>
        <v/>
      </c>
      <c r="L34" s="18">
        <f>Costs!L26</f>
        <v/>
      </c>
      <c r="M34" s="18">
        <f>Costs!M26</f>
        <v/>
      </c>
      <c r="N34" s="18">
        <f>SUM(B34:M34)</f>
        <v/>
      </c>
    </row>
    <row r="35">
      <c r="A35" s="4" t="inlineStr">
        <is>
          <t>Cost as % of Revenue</t>
        </is>
      </c>
      <c r="B35" s="14">
        <f>IF(B33&gt;0,B34/B33,0)</f>
        <v/>
      </c>
      <c r="C35" s="14">
        <f>IF(C33&gt;0,C34/C33,0)</f>
        <v/>
      </c>
      <c r="D35" s="14">
        <f>IF(D33&gt;0,D34/D33,0)</f>
        <v/>
      </c>
      <c r="E35" s="14">
        <f>IF(E33&gt;0,E34/E33,0)</f>
        <v/>
      </c>
      <c r="F35" s="14">
        <f>IF(F33&gt;0,F34/F33,0)</f>
        <v/>
      </c>
      <c r="G35" s="14">
        <f>IF(G33&gt;0,G34/G33,0)</f>
        <v/>
      </c>
      <c r="H35" s="14">
        <f>IF(H33&gt;0,H34/H33,0)</f>
        <v/>
      </c>
      <c r="I35" s="14">
        <f>IF(I33&gt;0,I34/I33,0)</f>
        <v/>
      </c>
      <c r="J35" s="14">
        <f>IF(J33&gt;0,J34/J33,0)</f>
        <v/>
      </c>
      <c r="K35" s="14">
        <f>IF(K33&gt;0,K34/K33,0)</f>
        <v/>
      </c>
      <c r="L35" s="14">
        <f>IF(L33&gt;0,L34/L33,0)</f>
        <v/>
      </c>
      <c r="M35" s="14">
        <f>IF(M33&gt;0,M34/M33,0)</f>
        <v/>
      </c>
      <c r="N35" s="14">
        <f>IF(N33&gt;0,N34/N33,0)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2025-12-13T15:35:31Z</dcterms:created>
  <dcterms:modified xsi:type="dcterms:W3CDTF">2025-12-13T15:35:31Z</dcterms:modified>
</cp:coreProperties>
</file>