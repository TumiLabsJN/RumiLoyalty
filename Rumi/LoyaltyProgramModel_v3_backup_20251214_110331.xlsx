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$\Ubuntu\home\jorge\Loyalty\Rumi\"/>
    </mc:Choice>
  </mc:AlternateContent>
  <xr:revisionPtr revIDLastSave="0" documentId="13_ncr:1_{C1301E88-08B6-40D8-A285-EBE961D6289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puts" sheetId="1" r:id="rId1"/>
    <sheet name="VIP Levels" sheetId="2" r:id="rId2"/>
    <sheet name="Missions" sheetId="3" r:id="rId3"/>
    <sheet name="Affiliate Projection" sheetId="4" r:id="rId4"/>
    <sheet name="Reward Triggers" sheetId="5" r:id="rId5"/>
    <sheet name="Revenue" sheetId="6" r:id="rId6"/>
    <sheet name="Costs" sheetId="7" r:id="rId7"/>
    <sheet name="Summary" sheetId="8" r:id="rId8"/>
  </sheets>
  <definedNames>
    <definedName name="AffAttrition">Inputs!$B$10</definedName>
    <definedName name="AvgAffSales">Inputs!$B$14</definedName>
    <definedName name="SampleAffConv">Inputs!$B$7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12" i="4"/>
  <c r="B5" i="5"/>
  <c r="B26" i="8"/>
  <c r="M22" i="7"/>
  <c r="L22" i="7"/>
  <c r="K22" i="7"/>
  <c r="J22" i="7"/>
  <c r="I22" i="7"/>
  <c r="H22" i="7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K10" i="6" s="1"/>
  <c r="J7" i="6"/>
  <c r="I7" i="6"/>
  <c r="H7" i="6"/>
  <c r="G7" i="6"/>
  <c r="F7" i="6"/>
  <c r="E7" i="6"/>
  <c r="D7" i="6"/>
  <c r="C7" i="6"/>
  <c r="C10" i="6" s="1"/>
  <c r="B7" i="6"/>
  <c r="M5" i="6"/>
  <c r="L5" i="6"/>
  <c r="K5" i="6"/>
  <c r="J5" i="6"/>
  <c r="I5" i="6"/>
  <c r="H5" i="6"/>
  <c r="G5" i="6"/>
  <c r="F5" i="6"/>
  <c r="E5" i="6"/>
  <c r="D5" i="6"/>
  <c r="C5" i="6"/>
  <c r="B5" i="6"/>
  <c r="B15" i="5"/>
  <c r="B14" i="5"/>
  <c r="C18" i="4"/>
  <c r="M6" i="4"/>
  <c r="L6" i="4"/>
  <c r="K6" i="4"/>
  <c r="J6" i="4"/>
  <c r="I6" i="4"/>
  <c r="H6" i="4"/>
  <c r="G6" i="4"/>
  <c r="F6" i="4"/>
  <c r="E6" i="4"/>
  <c r="D6" i="4"/>
  <c r="C6" i="4"/>
  <c r="B6" i="4"/>
  <c r="M5" i="4"/>
  <c r="M7" i="4" s="1"/>
  <c r="M18" i="4" s="1"/>
  <c r="G5" i="4"/>
  <c r="F5" i="4"/>
  <c r="C5" i="4"/>
  <c r="C7" i="4" s="1"/>
  <c r="B5" i="4" a="1"/>
  <c r="B5" i="4"/>
  <c r="M4" i="4"/>
  <c r="L4" i="4"/>
  <c r="L5" i="4" s="1"/>
  <c r="L7" i="4" s="1"/>
  <c r="L18" i="4" s="1"/>
  <c r="K4" i="4"/>
  <c r="K5" i="4" s="1"/>
  <c r="J4" i="4"/>
  <c r="J5" i="4" s="1"/>
  <c r="I4" i="4"/>
  <c r="I5" i="4" s="1"/>
  <c r="H4" i="4"/>
  <c r="H5" i="4" s="1"/>
  <c r="H7" i="4" s="1"/>
  <c r="H18" i="4" s="1"/>
  <c r="G4" i="4"/>
  <c r="G22" i="7" s="1"/>
  <c r="F4" i="4"/>
  <c r="F22" i="7" s="1"/>
  <c r="E4" i="4"/>
  <c r="E5" i="4" s="1"/>
  <c r="D4" i="4"/>
  <c r="C4" i="4"/>
  <c r="C22" i="7" s="1"/>
  <c r="B4" i="4"/>
  <c r="B22" i="7" s="1"/>
  <c r="B40" i="3"/>
  <c r="B39" i="3"/>
  <c r="B38" i="3"/>
  <c r="C33" i="3"/>
  <c r="B33" i="3"/>
  <c r="B17" i="5" s="1"/>
  <c r="C32" i="3"/>
  <c r="B32" i="3"/>
  <c r="C31" i="3"/>
  <c r="B31" i="3"/>
  <c r="C30" i="3"/>
  <c r="B30" i="3"/>
  <c r="C29" i="3"/>
  <c r="B29" i="3"/>
  <c r="J24" i="3"/>
  <c r="J23" i="3"/>
  <c r="J22" i="3"/>
  <c r="J21" i="3"/>
  <c r="J20" i="3"/>
  <c r="J19" i="3"/>
  <c r="J18" i="3"/>
  <c r="J17" i="3"/>
  <c r="J16" i="3"/>
  <c r="J15" i="3"/>
  <c r="J14" i="3"/>
  <c r="J13" i="3"/>
  <c r="D33" i="3" s="1"/>
  <c r="J11" i="3"/>
  <c r="J10" i="3"/>
  <c r="D40" i="3" s="1"/>
  <c r="J8" i="3"/>
  <c r="J6" i="3"/>
  <c r="J5" i="3"/>
  <c r="B26" i="2"/>
  <c r="B25" i="2"/>
  <c r="B24" i="2"/>
  <c r="B23" i="2" a="1"/>
  <c r="B23" i="2"/>
  <c r="B22" i="2"/>
  <c r="B44" i="1"/>
  <c r="B43" i="1"/>
  <c r="B39" i="1"/>
  <c r="D29" i="3" l="1"/>
  <c r="J10" i="6"/>
  <c r="L10" i="6"/>
  <c r="M10" i="6"/>
  <c r="E40" i="3"/>
  <c r="D38" i="3"/>
  <c r="E38" i="3" s="1"/>
  <c r="B5" i="8"/>
  <c r="D22" i="7"/>
  <c r="D5" i="4"/>
  <c r="D7" i="4" s="1"/>
  <c r="D18" i="4" s="1"/>
  <c r="I7" i="4"/>
  <c r="I18" i="4" s="1"/>
  <c r="B10" i="6"/>
  <c r="J7" i="4"/>
  <c r="J18" i="4" s="1"/>
  <c r="D10" i="6"/>
  <c r="E10" i="6"/>
  <c r="F10" i="6"/>
  <c r="C40" i="3"/>
  <c r="E7" i="4"/>
  <c r="E18" i="4" s="1"/>
  <c r="K7" i="4"/>
  <c r="K18" i="4" s="1"/>
  <c r="B7" i="4"/>
  <c r="G10" i="6"/>
  <c r="B16" i="5"/>
  <c r="H10" i="6"/>
  <c r="E22" i="7"/>
  <c r="B41" i="3"/>
  <c r="F7" i="4"/>
  <c r="F18" i="4" s="1"/>
  <c r="C38" i="3"/>
  <c r="C41" i="3" s="1"/>
  <c r="I10" i="6"/>
  <c r="C39" i="3"/>
  <c r="G7" i="4"/>
  <c r="G18" i="4" s="1"/>
  <c r="J9" i="3" l="1"/>
  <c r="D31" i="3" s="1"/>
  <c r="J7" i="3"/>
  <c r="J12" i="3"/>
  <c r="D32" i="3" s="1"/>
  <c r="B6" i="8"/>
  <c r="B9" i="4"/>
  <c r="B18" i="4"/>
  <c r="B25" i="8"/>
  <c r="C8" i="4" l="1"/>
  <c r="C9" i="4" s="1"/>
  <c r="B10" i="4"/>
  <c r="B31" i="8"/>
  <c r="B13" i="5"/>
  <c r="B18" i="5" s="1"/>
  <c r="D30" i="3"/>
  <c r="D39" i="3"/>
  <c r="E39" i="3" s="1"/>
  <c r="B10" i="5"/>
  <c r="B21" i="7" s="1"/>
  <c r="B6" i="5"/>
  <c r="B12" i="7" s="1"/>
  <c r="B8" i="5"/>
  <c r="B18" i="7" s="1"/>
  <c r="B6" i="7"/>
  <c r="B7" i="5"/>
  <c r="B20" i="4"/>
  <c r="B9" i="5"/>
  <c r="B20" i="7" s="1"/>
  <c r="C16" i="4" l="1"/>
  <c r="C17" i="5" s="1"/>
  <c r="C14" i="4"/>
  <c r="C15" i="5" s="1"/>
  <c r="C12" i="4"/>
  <c r="C13" i="5" s="1"/>
  <c r="D8" i="4"/>
  <c r="D9" i="4" s="1"/>
  <c r="C15" i="4"/>
  <c r="C16" i="5" s="1"/>
  <c r="C13" i="4"/>
  <c r="C10" i="4"/>
  <c r="C31" i="8"/>
  <c r="B4" i="6"/>
  <c r="B32" i="8"/>
  <c r="B5" i="7"/>
  <c r="B13" i="7"/>
  <c r="B14" i="7" s="1"/>
  <c r="B15" i="7" s="1"/>
  <c r="B19" i="7"/>
  <c r="B23" i="7" s="1"/>
  <c r="D16" i="4" l="1"/>
  <c r="D17" i="5" s="1"/>
  <c r="D14" i="4"/>
  <c r="D15" i="5" s="1"/>
  <c r="D12" i="4"/>
  <c r="D13" i="5" s="1"/>
  <c r="D15" i="4"/>
  <c r="D16" i="5" s="1"/>
  <c r="E8" i="4"/>
  <c r="E9" i="4" s="1"/>
  <c r="D10" i="4"/>
  <c r="D13" i="4"/>
  <c r="D31" i="8"/>
  <c r="B6" i="6"/>
  <c r="B11" i="6"/>
  <c r="B9" i="6"/>
  <c r="C4" i="6"/>
  <c r="C32" i="8"/>
  <c r="C5" i="7"/>
  <c r="D21" i="4"/>
  <c r="C21" i="4"/>
  <c r="C19" i="4"/>
  <c r="C5" i="5" s="1"/>
  <c r="C14" i="5"/>
  <c r="C18" i="5"/>
  <c r="E16" i="4" l="1"/>
  <c r="E17" i="5" s="1"/>
  <c r="E14" i="4"/>
  <c r="E15" i="5" s="1"/>
  <c r="E12" i="4"/>
  <c r="E13" i="5" s="1"/>
  <c r="E15" i="4"/>
  <c r="E16" i="5" s="1"/>
  <c r="F8" i="4"/>
  <c r="F9" i="4" s="1"/>
  <c r="E10" i="4"/>
  <c r="E13" i="4"/>
  <c r="E31" i="8"/>
  <c r="C11" i="6"/>
  <c r="C33" i="8" s="1"/>
  <c r="C6" i="6"/>
  <c r="C9" i="6"/>
  <c r="C10" i="5"/>
  <c r="C21" i="7" s="1"/>
  <c r="C6" i="5"/>
  <c r="C12" i="7" s="1"/>
  <c r="C14" i="7" s="1"/>
  <c r="C15" i="7" s="1"/>
  <c r="C8" i="5"/>
  <c r="C18" i="7" s="1"/>
  <c r="C6" i="7"/>
  <c r="C9" i="5"/>
  <c r="C20" i="7" s="1"/>
  <c r="C7" i="5"/>
  <c r="C20" i="4"/>
  <c r="B12" i="6"/>
  <c r="B8" i="7" s="1"/>
  <c r="B9" i="7" s="1"/>
  <c r="D32" i="8"/>
  <c r="D5" i="7"/>
  <c r="D4" i="6"/>
  <c r="B33" i="8"/>
  <c r="D19" i="4"/>
  <c r="D14" i="5"/>
  <c r="D18" i="5" s="1"/>
  <c r="C13" i="7"/>
  <c r="C7" i="7"/>
  <c r="C19" i="7"/>
  <c r="C12" i="6" l="1"/>
  <c r="C8" i="7" s="1"/>
  <c r="C9" i="7" s="1"/>
  <c r="E21" i="4"/>
  <c r="C23" i="7"/>
  <c r="F16" i="4"/>
  <c r="F17" i="5" s="1"/>
  <c r="F14" i="4"/>
  <c r="F15" i="5" s="1"/>
  <c r="F12" i="4"/>
  <c r="F13" i="5" s="1"/>
  <c r="F10" i="4"/>
  <c r="F15" i="4"/>
  <c r="F16" i="5" s="1"/>
  <c r="G8" i="4"/>
  <c r="G9" i="4" s="1"/>
  <c r="F31" i="8"/>
  <c r="F13" i="4"/>
  <c r="D13" i="7"/>
  <c r="D19" i="7"/>
  <c r="D7" i="7"/>
  <c r="D7" i="5"/>
  <c r="D10" i="5"/>
  <c r="D21" i="7" s="1"/>
  <c r="D9" i="5"/>
  <c r="D20" i="7" s="1"/>
  <c r="D6" i="5"/>
  <c r="D12" i="7" s="1"/>
  <c r="D14" i="7" s="1"/>
  <c r="D15" i="7" s="1"/>
  <c r="D20" i="4"/>
  <c r="D8" i="5"/>
  <c r="D18" i="7" s="1"/>
  <c r="D5" i="5"/>
  <c r="D6" i="7" s="1"/>
  <c r="E19" i="4"/>
  <c r="E14" i="5"/>
  <c r="E18" i="5" s="1"/>
  <c r="E5" i="7"/>
  <c r="E32" i="8"/>
  <c r="E4" i="6"/>
  <c r="D6" i="6"/>
  <c r="D11" i="6"/>
  <c r="D33" i="8" s="1"/>
  <c r="D9" i="6"/>
  <c r="B26" i="7"/>
  <c r="C26" i="7" l="1"/>
  <c r="C34" i="8" s="1"/>
  <c r="C35" i="8" s="1"/>
  <c r="G16" i="4"/>
  <c r="G17" i="5" s="1"/>
  <c r="G14" i="4"/>
  <c r="G15" i="5" s="1"/>
  <c r="G12" i="4"/>
  <c r="G13" i="5" s="1"/>
  <c r="G31" i="8"/>
  <c r="G10" i="4"/>
  <c r="G13" i="4"/>
  <c r="G15" i="4"/>
  <c r="G16" i="5" s="1"/>
  <c r="H8" i="4"/>
  <c r="H9" i="4" s="1"/>
  <c r="E13" i="7"/>
  <c r="E19" i="7"/>
  <c r="E7" i="7"/>
  <c r="B34" i="8"/>
  <c r="E6" i="6"/>
  <c r="E11" i="6"/>
  <c r="E33" i="8" s="1"/>
  <c r="E9" i="6"/>
  <c r="E8" i="5"/>
  <c r="E18" i="7" s="1"/>
  <c r="E7" i="5"/>
  <c r="E9" i="5"/>
  <c r="E20" i="7" s="1"/>
  <c r="E20" i="4"/>
  <c r="E5" i="5"/>
  <c r="E6" i="7" s="1"/>
  <c r="E10" i="5"/>
  <c r="E21" i="7" s="1"/>
  <c r="E6" i="5"/>
  <c r="E12" i="7" s="1"/>
  <c r="D12" i="6"/>
  <c r="D8" i="7" s="1"/>
  <c r="D9" i="7" s="1"/>
  <c r="F19" i="4"/>
  <c r="F14" i="5"/>
  <c r="F18" i="5" s="1"/>
  <c r="F21" i="4"/>
  <c r="F4" i="6"/>
  <c r="F32" i="8"/>
  <c r="F5" i="7"/>
  <c r="D23" i="7"/>
  <c r="G21" i="4" l="1"/>
  <c r="E12" i="6"/>
  <c r="E8" i="7" s="1"/>
  <c r="E9" i="7" s="1"/>
  <c r="H15" i="4"/>
  <c r="H16" i="5" s="1"/>
  <c r="H13" i="4"/>
  <c r="H10" i="4"/>
  <c r="H14" i="4"/>
  <c r="H15" i="5" s="1"/>
  <c r="H31" i="8"/>
  <c r="H16" i="4"/>
  <c r="H17" i="5" s="1"/>
  <c r="I8" i="4"/>
  <c r="I9" i="4" s="1"/>
  <c r="H12" i="4"/>
  <c r="H13" i="5" s="1"/>
  <c r="F7" i="7"/>
  <c r="F13" i="7"/>
  <c r="F19" i="7"/>
  <c r="D26" i="7"/>
  <c r="F11" i="6"/>
  <c r="F33" i="8" s="1"/>
  <c r="F9" i="6"/>
  <c r="F6" i="6"/>
  <c r="G19" i="4"/>
  <c r="G14" i="5"/>
  <c r="E14" i="7"/>
  <c r="E15" i="7" s="1"/>
  <c r="G18" i="5"/>
  <c r="B35" i="8"/>
  <c r="F6" i="5"/>
  <c r="F12" i="7" s="1"/>
  <c r="F20" i="4"/>
  <c r="F7" i="5"/>
  <c r="F5" i="5"/>
  <c r="F6" i="7" s="1"/>
  <c r="F8" i="5"/>
  <c r="F18" i="7" s="1"/>
  <c r="F9" i="5"/>
  <c r="F20" i="7" s="1"/>
  <c r="F10" i="5"/>
  <c r="F21" i="7" s="1"/>
  <c r="G4" i="6"/>
  <c r="G32" i="8"/>
  <c r="G5" i="7"/>
  <c r="E23" i="7"/>
  <c r="E26" i="7" l="1"/>
  <c r="E34" i="8" s="1"/>
  <c r="E35" i="8" s="1"/>
  <c r="F14" i="7"/>
  <c r="F15" i="7" s="1"/>
  <c r="F12" i="6"/>
  <c r="F8" i="7" s="1"/>
  <c r="F9" i="7" s="1"/>
  <c r="I10" i="4"/>
  <c r="I14" i="4"/>
  <c r="I15" i="5" s="1"/>
  <c r="I31" i="8"/>
  <c r="I16" i="4"/>
  <c r="I17" i="5" s="1"/>
  <c r="I15" i="4"/>
  <c r="I16" i="5" s="1"/>
  <c r="I13" i="4"/>
  <c r="J8" i="4"/>
  <c r="J9" i="4" s="1"/>
  <c r="I12" i="4"/>
  <c r="I13" i="5" s="1"/>
  <c r="F23" i="7"/>
  <c r="H19" i="4"/>
  <c r="H14" i="5"/>
  <c r="H18" i="5" s="1"/>
  <c r="G11" i="6"/>
  <c r="G33" i="8" s="1"/>
  <c r="G9" i="6"/>
  <c r="G6" i="6"/>
  <c r="D34" i="8"/>
  <c r="G7" i="7"/>
  <c r="G19" i="7"/>
  <c r="G13" i="7"/>
  <c r="H32" i="8"/>
  <c r="H5" i="7"/>
  <c r="H4" i="6"/>
  <c r="G9" i="5"/>
  <c r="G20" i="7" s="1"/>
  <c r="G7" i="5"/>
  <c r="G10" i="5"/>
  <c r="G21" i="7" s="1"/>
  <c r="G6" i="5"/>
  <c r="G12" i="7" s="1"/>
  <c r="G8" i="5"/>
  <c r="G18" i="7" s="1"/>
  <c r="G20" i="4"/>
  <c r="G5" i="5"/>
  <c r="G6" i="7" s="1"/>
  <c r="H21" i="4"/>
  <c r="I21" i="4" l="1"/>
  <c r="F26" i="7"/>
  <c r="G14" i="7"/>
  <c r="G15" i="7" s="1"/>
  <c r="H13" i="7"/>
  <c r="H7" i="7"/>
  <c r="H19" i="7"/>
  <c r="F34" i="8"/>
  <c r="F35" i="8" s="1"/>
  <c r="J16" i="4"/>
  <c r="J17" i="5" s="1"/>
  <c r="J14" i="4"/>
  <c r="J15" i="5" s="1"/>
  <c r="J12" i="4"/>
  <c r="J13" i="5" s="1"/>
  <c r="K8" i="4"/>
  <c r="J10" i="4"/>
  <c r="J31" i="8"/>
  <c r="J15" i="4"/>
  <c r="J16" i="5" s="1"/>
  <c r="K9" i="4"/>
  <c r="J13" i="4"/>
  <c r="G12" i="6"/>
  <c r="G8" i="7" s="1"/>
  <c r="G9" i="7" s="1"/>
  <c r="H8" i="5"/>
  <c r="H18" i="7" s="1"/>
  <c r="H6" i="5"/>
  <c r="H12" i="7" s="1"/>
  <c r="H14" i="7" s="1"/>
  <c r="H15" i="7" s="1"/>
  <c r="H5" i="5"/>
  <c r="H6" i="7" s="1"/>
  <c r="H20" i="4"/>
  <c r="H9" i="5"/>
  <c r="H20" i="7" s="1"/>
  <c r="H10" i="5"/>
  <c r="H21" i="7" s="1"/>
  <c r="H7" i="5"/>
  <c r="I19" i="4"/>
  <c r="I14" i="5"/>
  <c r="I18" i="5" s="1"/>
  <c r="H9" i="6"/>
  <c r="H11" i="6"/>
  <c r="H33" i="8" s="1"/>
  <c r="H6" i="6"/>
  <c r="D35" i="8"/>
  <c r="G23" i="7"/>
  <c r="I5" i="7"/>
  <c r="I32" i="8"/>
  <c r="I4" i="6"/>
  <c r="H12" i="6" l="1"/>
  <c r="H8" i="7" s="1"/>
  <c r="H9" i="7" s="1"/>
  <c r="G26" i="7"/>
  <c r="I9" i="6"/>
  <c r="I11" i="6"/>
  <c r="I33" i="8" s="1"/>
  <c r="I6" i="6"/>
  <c r="H23" i="7"/>
  <c r="K16" i="4"/>
  <c r="K17" i="5" s="1"/>
  <c r="K14" i="4"/>
  <c r="K15" i="5" s="1"/>
  <c r="K12" i="4"/>
  <c r="K13" i="5" s="1"/>
  <c r="K10" i="4"/>
  <c r="K31" i="8"/>
  <c r="K15" i="4"/>
  <c r="K16" i="5" s="1"/>
  <c r="L8" i="4"/>
  <c r="L9" i="4" s="1"/>
  <c r="K13" i="4"/>
  <c r="I9" i="5"/>
  <c r="I20" i="7" s="1"/>
  <c r="I20" i="4"/>
  <c r="I8" i="5"/>
  <c r="I18" i="7" s="1"/>
  <c r="I7" i="5"/>
  <c r="I6" i="5"/>
  <c r="I12" i="7" s="1"/>
  <c r="I5" i="5"/>
  <c r="I6" i="7" s="1"/>
  <c r="I10" i="5"/>
  <c r="I21" i="7" s="1"/>
  <c r="J19" i="4"/>
  <c r="J14" i="5"/>
  <c r="J18" i="5" s="1"/>
  <c r="J32" i="8"/>
  <c r="J5" i="7"/>
  <c r="J4" i="6"/>
  <c r="J21" i="4"/>
  <c r="I13" i="7"/>
  <c r="I7" i="7"/>
  <c r="I19" i="7"/>
  <c r="H26" i="7" l="1"/>
  <c r="H34" i="8" s="1"/>
  <c r="H35" i="8" s="1"/>
  <c r="J13" i="7"/>
  <c r="J7" i="7"/>
  <c r="J19" i="7"/>
  <c r="L31" i="8"/>
  <c r="L14" i="4"/>
  <c r="L15" i="5" s="1"/>
  <c r="L10" i="4"/>
  <c r="L13" i="4"/>
  <c r="L15" i="4"/>
  <c r="L16" i="5" s="1"/>
  <c r="M8" i="4"/>
  <c r="M9" i="4" s="1"/>
  <c r="L16" i="4"/>
  <c r="L17" i="5" s="1"/>
  <c r="L12" i="4"/>
  <c r="L13" i="5" s="1"/>
  <c r="K5" i="7"/>
  <c r="K32" i="8"/>
  <c r="K4" i="6"/>
  <c r="J11" i="6"/>
  <c r="J33" i="8" s="1"/>
  <c r="J9" i="6"/>
  <c r="J6" i="6"/>
  <c r="I12" i="6"/>
  <c r="I8" i="7" s="1"/>
  <c r="I9" i="7" s="1"/>
  <c r="J7" i="5"/>
  <c r="J10" i="5"/>
  <c r="J21" i="7" s="1"/>
  <c r="J5" i="5"/>
  <c r="J6" i="7" s="1"/>
  <c r="J20" i="4"/>
  <c r="J8" i="5"/>
  <c r="J18" i="7" s="1"/>
  <c r="J9" i="5"/>
  <c r="J20" i="7" s="1"/>
  <c r="J6" i="5"/>
  <c r="J12" i="7" s="1"/>
  <c r="J14" i="7" s="1"/>
  <c r="J15" i="7" s="1"/>
  <c r="G34" i="8"/>
  <c r="I23" i="7"/>
  <c r="K14" i="5"/>
  <c r="K18" i="5" s="1"/>
  <c r="K19" i="4"/>
  <c r="K21" i="4"/>
  <c r="I14" i="7"/>
  <c r="I15" i="7" s="1"/>
  <c r="J12" i="6" l="1"/>
  <c r="J8" i="7" s="1"/>
  <c r="J9" i="7" s="1"/>
  <c r="I26" i="7"/>
  <c r="M31" i="8"/>
  <c r="N31" i="8" s="1"/>
  <c r="M10" i="4"/>
  <c r="M14" i="4"/>
  <c r="M15" i="5" s="1"/>
  <c r="M13" i="4"/>
  <c r="M15" i="4"/>
  <c r="M16" i="5" s="1"/>
  <c r="B7" i="8"/>
  <c r="M12" i="4"/>
  <c r="M13" i="5" s="1"/>
  <c r="M16" i="4"/>
  <c r="M17" i="5" s="1"/>
  <c r="G35" i="8"/>
  <c r="K11" i="6"/>
  <c r="K33" i="8" s="1"/>
  <c r="K9" i="6"/>
  <c r="K6" i="6"/>
  <c r="J23" i="7"/>
  <c r="K13" i="7"/>
  <c r="K7" i="7"/>
  <c r="K19" i="7"/>
  <c r="K9" i="5"/>
  <c r="K20" i="7" s="1"/>
  <c r="K7" i="5"/>
  <c r="K5" i="5"/>
  <c r="K6" i="7" s="1"/>
  <c r="K10" i="5"/>
  <c r="K21" i="7" s="1"/>
  <c r="K20" i="4"/>
  <c r="K8" i="5"/>
  <c r="K18" i="7" s="1"/>
  <c r="K6" i="5"/>
  <c r="K12" i="7" s="1"/>
  <c r="L21" i="4"/>
  <c r="L14" i="5"/>
  <c r="L18" i="5" s="1"/>
  <c r="L19" i="4"/>
  <c r="L32" i="8"/>
  <c r="L4" i="6"/>
  <c r="L5" i="7"/>
  <c r="J26" i="7" l="1"/>
  <c r="J34" i="8" s="1"/>
  <c r="J35" i="8" s="1"/>
  <c r="K12" i="6"/>
  <c r="K8" i="7" s="1"/>
  <c r="K9" i="7" s="1"/>
  <c r="K23" i="7"/>
  <c r="M14" i="5"/>
  <c r="M18" i="5" s="1"/>
  <c r="M19" i="4"/>
  <c r="L9" i="6"/>
  <c r="L11" i="6"/>
  <c r="L33" i="8" s="1"/>
  <c r="L6" i="6"/>
  <c r="L6" i="5"/>
  <c r="L12" i="7" s="1"/>
  <c r="L9" i="5"/>
  <c r="L20" i="7" s="1"/>
  <c r="L5" i="5"/>
  <c r="L6" i="7" s="1"/>
  <c r="L10" i="5"/>
  <c r="L21" i="7" s="1"/>
  <c r="L8" i="5"/>
  <c r="L18" i="7" s="1"/>
  <c r="L7" i="5"/>
  <c r="L20" i="4"/>
  <c r="L19" i="7"/>
  <c r="L7" i="7"/>
  <c r="L13" i="7"/>
  <c r="M21" i="4"/>
  <c r="K14" i="7"/>
  <c r="K15" i="7" s="1"/>
  <c r="M32" i="8"/>
  <c r="N32" i="8" s="1"/>
  <c r="M4" i="6"/>
  <c r="M5" i="7"/>
  <c r="B8" i="8"/>
  <c r="I34" i="8"/>
  <c r="K26" i="7" l="1"/>
  <c r="K34" i="8" s="1"/>
  <c r="K35" i="8" s="1"/>
  <c r="L12" i="6"/>
  <c r="L8" i="7" s="1"/>
  <c r="L9" i="7" s="1"/>
  <c r="L14" i="7"/>
  <c r="L15" i="7" s="1"/>
  <c r="M19" i="7"/>
  <c r="M7" i="7"/>
  <c r="M13" i="7"/>
  <c r="M7" i="5"/>
  <c r="M5" i="5"/>
  <c r="M6" i="7" s="1"/>
  <c r="M20" i="4"/>
  <c r="M8" i="5"/>
  <c r="M18" i="7" s="1"/>
  <c r="M9" i="5"/>
  <c r="M20" i="7" s="1"/>
  <c r="M6" i="5"/>
  <c r="M12" i="7" s="1"/>
  <c r="M14" i="7" s="1"/>
  <c r="M15" i="7" s="1"/>
  <c r="B14" i="8" s="1"/>
  <c r="M10" i="5"/>
  <c r="M21" i="7" s="1"/>
  <c r="L23" i="7"/>
  <c r="I35" i="8"/>
  <c r="M9" i="6"/>
  <c r="M6" i="6"/>
  <c r="M11" i="6"/>
  <c r="L26" i="7" l="1"/>
  <c r="L34" i="8" s="1"/>
  <c r="L35" i="8"/>
  <c r="M33" i="8"/>
  <c r="B11" i="8"/>
  <c r="M12" i="6"/>
  <c r="M8" i="7" s="1"/>
  <c r="M9" i="7" s="1"/>
  <c r="B10" i="8"/>
  <c r="M23" i="7"/>
  <c r="B15" i="8" s="1"/>
  <c r="M26" i="7" l="1"/>
  <c r="B13" i="8"/>
  <c r="B21" i="8" s="1"/>
  <c r="N33" i="8"/>
  <c r="B24" i="8"/>
  <c r="M34" i="8" l="1"/>
  <c r="B16" i="8"/>
  <c r="B23" i="8" l="1"/>
  <c r="B22" i="8"/>
  <c r="N34" i="8"/>
  <c r="N35" i="8" s="1"/>
  <c r="M35" i="8"/>
</calcChain>
</file>

<file path=xl/sharedStrings.xml><?xml version="1.0" encoding="utf-8"?>
<sst xmlns="http://schemas.openxmlformats.org/spreadsheetml/2006/main" count="384" uniqueCount="242">
  <si>
    <t>LOYALTY PROGRAM FINANCIAL MODEL - INPUTS DASHBOARD</t>
  </si>
  <si>
    <t>ACQUISITION INPUTS</t>
  </si>
  <si>
    <t>Parameter</t>
  </si>
  <si>
    <t>Value</t>
  </si>
  <si>
    <t>Unit</t>
  </si>
  <si>
    <t>Name</t>
  </si>
  <si>
    <t>Description</t>
  </si>
  <si>
    <t>Used by</t>
  </si>
  <si>
    <t>Samples Sent - Month 1</t>
  </si>
  <si>
    <t>samples</t>
  </si>
  <si>
    <t>Initial month sample distribution</t>
  </si>
  <si>
    <t>Affiliate Projection | Cell B4</t>
  </si>
  <si>
    <t>Samples Sent - Month 2+</t>
  </si>
  <si>
    <t>Ongoing monthly sample distribution</t>
  </si>
  <si>
    <t>Affiliate Projection | Row 4</t>
  </si>
  <si>
    <t>Sample-to-Affiliate Conversion Rate</t>
  </si>
  <si>
    <t>%</t>
  </si>
  <si>
    <t>SampleAffConv</t>
  </si>
  <si>
    <t>Percentage of samples that convert to affiliates</t>
  </si>
  <si>
    <t>Affiliate Projection | Row 5</t>
  </si>
  <si>
    <t>Flywheel Affiliates per Month</t>
  </si>
  <si>
    <t>affiliates</t>
  </si>
  <si>
    <t>Organic inbound affiliates monthly</t>
  </si>
  <si>
    <t>Won't this be gradual and dynamic? M1 we may have 0, M7 we could have 100</t>
  </si>
  <si>
    <t>Time to First Sale</t>
  </si>
  <si>
    <t>days</t>
  </si>
  <si>
    <t>Lag between conversion and first sale</t>
  </si>
  <si>
    <t>Placeholder..</t>
  </si>
  <si>
    <t>Affiliate Attrition Rate</t>
  </si>
  <si>
    <t>AffAttrition</t>
  </si>
  <si>
    <t>Monthly churn rate of affiliates</t>
  </si>
  <si>
    <t>Affiliate Projection | Row 8</t>
  </si>
  <si>
    <t>PERFORMANCE INPUTS</t>
  </si>
  <si>
    <t>Average Sales per Affiliate per Month</t>
  </si>
  <si>
    <t>sales</t>
  </si>
  <si>
    <t>AvgAffSales</t>
  </si>
  <si>
    <t>Monthly sales velocity per active affiliate</t>
  </si>
  <si>
    <t>How can we make this… dynamic? Some affiliates may sell 2, 5, 10 … by %
Perhaps: 30% sell 0 (or attrition) | 40% sell 5 | 20% sell 8 | 10% sell 15</t>
  </si>
  <si>
    <t>Gross AOV</t>
  </si>
  <si>
    <t>$</t>
  </si>
  <si>
    <t>Average order value before discounts</t>
  </si>
  <si>
    <t>Revenue | Row 5 &amp; Missions | Col J</t>
  </si>
  <si>
    <t>Rolling Window Duration</t>
  </si>
  <si>
    <t>Time period for VIP level qualification</t>
  </si>
  <si>
    <t>REDEMPTION &amp; BEHAVIOR INPUTS</t>
  </si>
  <si>
    <t>Discount Redemption Rate</t>
  </si>
  <si>
    <t>Percentage of discount coupons redeemed</t>
  </si>
  <si>
    <t>Revenue | Row 8</t>
  </si>
  <si>
    <t>Default Mission Completion Rate</t>
  </si>
  <si>
    <t>Default completion rate for missions</t>
  </si>
  <si>
    <t>Overriden by mission sheet… delete?</t>
  </si>
  <si>
    <t>Avg Sales During Commission Boost</t>
  </si>
  <si>
    <t>Expected sales an affiliate makes during boost period</t>
  </si>
  <si>
    <t>Costs | Rows 6-7 &amp; Misions | Col J</t>
  </si>
  <si>
    <t>COST INPUTS</t>
  </si>
  <si>
    <t>Cost per Sample</t>
  </si>
  <si>
    <t>Cost of each sample sent (product + shipping)</t>
  </si>
  <si>
    <t>Costs row 22</t>
  </si>
  <si>
    <t>LEVEL DISTRIBUTION ASSUMPTIONS</t>
  </si>
  <si>
    <t>(Estimated % of affiliates at each level based on sales velocity vs thresholds)</t>
  </si>
  <si>
    <t>Level</t>
  </si>
  <si>
    <t>% of Affiliates</t>
  </si>
  <si>
    <t>Bronze</t>
  </si>
  <si>
    <t>Affiliates below Silver threshold</t>
  </si>
  <si>
    <t>This is static through time? We assume each month we will have this breakdown?</t>
  </si>
  <si>
    <t>Silver</t>
  </si>
  <si>
    <t>Affiliates at Silver, below Gold</t>
  </si>
  <si>
    <t>Gold</t>
  </si>
  <si>
    <t>Affiliates at Gold, below Platinum</t>
  </si>
  <si>
    <t>Platinum</t>
  </si>
  <si>
    <t>Affiliates at Platinum, below Diamond</t>
  </si>
  <si>
    <t>Diamond</t>
  </si>
  <si>
    <t>Top performers at Diamond</t>
  </si>
  <si>
    <t>Total (must = 100%)</t>
  </si>
  <si>
    <t>LEGEND</t>
  </si>
  <si>
    <t>Yellow cells</t>
  </si>
  <si>
    <t>Green cells</t>
  </si>
  <si>
    <t>VIP LEVEL CONFIGURATION</t>
  </si>
  <si>
    <t>LEVEL THRESHOLDS &amp; COMMISSION</t>
  </si>
  <si>
    <t>Level #</t>
  </si>
  <si>
    <t>Sales Threshold</t>
  </si>
  <si>
    <t>Base Commission %</t>
  </si>
  <si>
    <t>WELCOME REWARDS (Per Level)</t>
  </si>
  <si>
    <t>Comm Boost Qty</t>
  </si>
  <si>
    <t>Comm Boost %</t>
  </si>
  <si>
    <t>Comm Boost Days</t>
  </si>
  <si>
    <t>Gift Card Qty</t>
  </si>
  <si>
    <t>Gift Card $</t>
  </si>
  <si>
    <t>Discount Qty</t>
  </si>
  <si>
    <t>Discount %</t>
  </si>
  <si>
    <t>Spark Ads Qty</t>
  </si>
  <si>
    <t>Spark Ads $</t>
  </si>
  <si>
    <t>Phys Gift Qty</t>
  </si>
  <si>
    <t>Phys Gift $</t>
  </si>
  <si>
    <t>Experience Qty</t>
  </si>
  <si>
    <t>Experience $</t>
  </si>
  <si>
    <t>Yes</t>
  </si>
  <si>
    <t>WELCOME REWARD SUMMARY (Weighted by Level Distribution)</t>
  </si>
  <si>
    <t>Weighted Avg Commission Boost %</t>
  </si>
  <si>
    <t>Weighted Avg Gift Card Value</t>
  </si>
  <si>
    <t>Weighted Avg Spark Ads Value</t>
  </si>
  <si>
    <t>Weighted Avg Physical Gift Value</t>
  </si>
  <si>
    <t>Weighted Avg Experience Value</t>
  </si>
  <si>
    <t>MISSION CONFIGURATION</t>
  </si>
  <si>
    <t>MISSIONS BY VIP LEVEL</t>
  </si>
  <si>
    <t>VIP Level</t>
  </si>
  <si>
    <t>Mission Type</t>
  </si>
  <si>
    <t>Target</t>
  </si>
  <si>
    <t>Repeatability</t>
  </si>
  <si>
    <t>Completion Rate</t>
  </si>
  <si>
    <t>Reward Type</t>
  </si>
  <si>
    <t>Reward Value</t>
  </si>
  <si>
    <t>Reward Duration</t>
  </si>
  <si>
    <t>Active?</t>
  </si>
  <si>
    <t>Cost per Completion</t>
  </si>
  <si>
    <t>Videos</t>
  </si>
  <si>
    <t>Monthly</t>
  </si>
  <si>
    <t>Gift Card</t>
  </si>
  <si>
    <t>Likes</t>
  </si>
  <si>
    <t>Commission Boost</t>
  </si>
  <si>
    <t>Sales</t>
  </si>
  <si>
    <t>One-time</t>
  </si>
  <si>
    <t>Views</t>
  </si>
  <si>
    <t>Spark Ads</t>
  </si>
  <si>
    <t>MISSION SUMMARY BY LEVEL</t>
  </si>
  <si>
    <t>Active Missions</t>
  </si>
  <si>
    <t>Avg Completion Rate</t>
  </si>
  <si>
    <t>Avg Cost per Completion</t>
  </si>
  <si>
    <t>MISSION REWARD TYPE BREAKDOWN</t>
  </si>
  <si>
    <t>Count</t>
  </si>
  <si>
    <t>% of Total</t>
  </si>
  <si>
    <t>Avg Value</t>
  </si>
  <si>
    <t>Total Expected Cost</t>
  </si>
  <si>
    <t>Used in Costs</t>
  </si>
  <si>
    <t>TOTAL</t>
  </si>
  <si>
    <t>Mission Types: Videos, Likes, Sales, Views</t>
  </si>
  <si>
    <t>Repeatability: One-time, Weekly, Monthly</t>
  </si>
  <si>
    <t>Reward Types: Gift Card, Commission Boost, Spark Ads</t>
  </si>
  <si>
    <t>AFFILIATE PROJECTION (12 MONTHS)</t>
  </si>
  <si>
    <t>Metric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</si>
  <si>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</si>
  <si>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</si>
  <si>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</si>
  <si>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</si>
  <si>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</si>
  <si>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</si>
  <si>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</si>
  <si>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</si>
  <si>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</si>
  <si>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</si>
  <si>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</si>
  <si>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</si>
  <si>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Samples Sent</t>
  </si>
  <si>
    <t>New Affiliates (from Samples)</t>
  </si>
  <si>
    <t>Flywheel Affiliates</t>
  </si>
  <si>
    <t>Total New Affiliates</t>
  </si>
  <si>
    <t>s</t>
  </si>
  <si>
    <t>Churned Affiliates</t>
  </si>
  <si>
    <t>Active Affiliates (End of Month)</t>
  </si>
  <si>
    <t>Total Sales</t>
  </si>
  <si>
    <t>--- Level Distribution ---</t>
  </si>
  <si>
    <t>Affiliates at Bronze</t>
  </si>
  <si>
    <t>Affiliates at Silver</t>
  </si>
  <si>
    <t>Affiliates at Gold</t>
  </si>
  <si>
    <t>Affiliates at Platinum</t>
  </si>
  <si>
    <t>Affiliates at Diamond</t>
  </si>
  <si>
    <t>--- Level Events ---</t>
  </si>
  <si>
    <t>New Affiliate Level-Ups (to Bronze)</t>
  </si>
  <si>
    <t>Promotion Events (Bronze to higher)</t>
  </si>
  <si>
    <t>Total Level-Up Events</t>
  </si>
  <si>
    <t>Demotion Events</t>
  </si>
  <si>
    <t>REWARD TRIGGERS (12 MONTHS)</t>
  </si>
  <si>
    <t>--- WELCOME REWARDS (per level-up) ---</t>
  </si>
  <si>
    <t>Commission Boosts Triggered</t>
  </si>
  <si>
    <t>Gift Cards Triggered</t>
  </si>
  <si>
    <t>Discount Coupons Triggered</t>
  </si>
  <si>
    <t>Spark Ads Triggered</t>
  </si>
  <si>
    <t>Physical Gifts Triggered</t>
  </si>
  <si>
    <t>Experiences Triggered</t>
  </si>
  <si>
    <t>--- MISSION COMPLETIONS ---</t>
  </si>
  <si>
    <t>Mission Completions (Bronze)</t>
  </si>
  <si>
    <t>Mission Completions (Silver)</t>
  </si>
  <si>
    <t>Mission Completions (Gold)</t>
  </si>
  <si>
    <t>Mission Completions (Platinum)</t>
  </si>
  <si>
    <t>Mission Completions (Diamond)</t>
  </si>
  <si>
    <t>Total Mission Completions</t>
  </si>
  <si>
    <t>REVENUE PROJECTION (12 MONTHS)</t>
  </si>
  <si>
    <t>Total Sales Volume</t>
  </si>
  <si>
    <t>Gross Revenue</t>
  </si>
  <si>
    <t>Avg Discount % (when redeemed)</t>
  </si>
  <si>
    <t>Discounted Sales Count</t>
  </si>
  <si>
    <t>Net AOV (weighted avg)</t>
  </si>
  <si>
    <t>Net Revenue</t>
  </si>
  <si>
    <t>Discount Margin Erosion</t>
  </si>
  <si>
    <t>COST PROJECTION (12 MONTHS)</t>
  </si>
  <si>
    <t>--- CM1 COSTS (Per Sale) ---</t>
  </si>
  <si>
    <t>Base Commission Cost</t>
  </si>
  <si>
    <t>Commission Boost Cost (Welcome)</t>
  </si>
  <si>
    <t>Commission Boost Cost (Missions)</t>
  </si>
  <si>
    <t>Discount Cost (Margin Erosion)</t>
  </si>
  <si>
    <t>Total CM1 Costs</t>
  </si>
  <si>
    <t>--- LOYALTY PROGRAM COSTS ---</t>
  </si>
  <si>
    <t>Gift Card Cost (Welcome)</t>
  </si>
  <si>
    <t>Gift Card Cost (Missions)</t>
  </si>
  <si>
    <t>Total Gift Card Cost</t>
  </si>
  <si>
    <t>Total Loyalty Program Costs</t>
  </si>
  <si>
    <t>--- MARKETING OPEX ---</t>
  </si>
  <si>
    <t>Spark Ads Cost (Welcome)</t>
  </si>
  <si>
    <t>Spark Ads Cost (Missions)</t>
  </si>
  <si>
    <t>Physical Gift Cost</t>
  </si>
  <si>
    <t>Experience Cost</t>
  </si>
  <si>
    <t>Sample Cost</t>
  </si>
  <si>
    <t>Total Marketing OpEx</t>
  </si>
  <si>
    <t>--- TOTALS ---</t>
  </si>
  <si>
    <t>Total Program Cost</t>
  </si>
  <si>
    <t>SUMMARY DASHBOARD</t>
  </si>
  <si>
    <t>12-MONTH TOTALS</t>
  </si>
  <si>
    <t>Total Samples Sent</t>
  </si>
  <si>
    <t>Active Affiliates (Month 12)</t>
  </si>
  <si>
    <t>KEY RATIOS</t>
  </si>
  <si>
    <t>CM1 as % of Net Revenue</t>
  </si>
  <si>
    <t>Total Cost as % of Net Revenue</t>
  </si>
  <si>
    <t>Cost per Affiliate (12-mo avg)</t>
  </si>
  <si>
    <t>Revenue per Affiliate (12-mo avg)</t>
  </si>
  <si>
    <t>Sample-to-Affiliate Conversion</t>
  </si>
  <si>
    <t>Weighted Avg Commission Rate</t>
  </si>
  <si>
    <t>MONTHLY TREND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</si>
  <si>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</si>
  <si>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</si>
  <si>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</si>
  <si>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</si>
  <si>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</si>
  <si>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</si>
  <si>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</si>
  <si>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</si>
  <si>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</si>
  <si>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</si>
  <si>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</si>
  <si>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</si>
  <si>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</si>
  <si>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Active Affiliates</t>
  </si>
  <si>
    <t>Cost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</si>
</sst>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4472C4"/>
      <name val="Calibri"/>
      <family val="2"/>
    </font>
    <font>
      <b/>
      <sz val="14"/>
      <color rgb="FF4472C4"/>
      <name val="Calibri"/>
      <family val="2"/>
    </font>
    <font>
      <b/>
      <sz val="12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4" fillId="0" borderId="0" xfId="0" applyFont="1"/>
    <xf numFmtId="0" fontId="5" fillId="0" borderId="1" xfId="0" applyFont="1" applyBorder="1"/>
    <xf numFmtId="9" fontId="0" fillId="4" borderId="1" xfId="0" applyNumberForma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65" fontId="0" fillId="3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9" fontId="5" fillId="4" borderId="1" xfId="0" applyNumberFormat="1" applyFont="1" applyFill="1" applyBorder="1" applyAlignment="1">
      <alignment horizontal="center"/>
    </xf>
    <xf numFmtId="0" fontId="6" fillId="0" borderId="1" xfId="0" applyFont="1" applyBorder="1"/>
    <xf numFmtId="165" fontId="0" fillId="4" borderId="1" xfId="0" applyNumberForma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7" fillId="0" borderId="0" xfId="0" applyFont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opLeftCell="A11" workbookViewId="0">
      <selection activeCell="E34" sqref="E34"/>
    </sheetView>
  </sheetViews>
  <sheetFormatPr defaultRowHeight="15" x14ac:dyDescent="0.25"/>
  <cols>
    <col min="1" max="1" width="40" customWidth="1"/>
    <col min="2" max="2" width="18" customWidth="1"/>
    <col min="3" max="4" width="12" customWidth="1"/>
    <col min="5" max="5" width="45" customWidth="1"/>
    <col min="7" max="7" width="32.7109375" customWidth="1"/>
  </cols>
  <sheetData>
    <row r="1" spans="1:7" ht="21" customHeight="1" x14ac:dyDescent="0.35">
      <c r="A1" s="28" t="s">
        <v>0</v>
      </c>
      <c r="B1" s="29"/>
      <c r="C1" s="29"/>
      <c r="D1" s="29"/>
      <c r="E1" s="29"/>
      <c r="F1" s="29"/>
    </row>
    <row r="3" spans="1:7" ht="18.75" customHeight="1" x14ac:dyDescent="0.3">
      <c r="A3" s="1" t="s">
        <v>1</v>
      </c>
    </row>
    <row r="4" spans="1:7" ht="15.75" customHeight="1" x14ac:dyDescent="0.25">
      <c r="A4" s="2" t="s">
        <v>2</v>
      </c>
      <c r="B4" s="2" t="s">
        <v>3</v>
      </c>
      <c r="C4" s="2" t="s">
        <v>4</v>
      </c>
      <c r="D4" s="26" t="s">
        <v>5</v>
      </c>
      <c r="E4" s="2" t="s">
        <v>6</v>
      </c>
      <c r="G4" s="21" t="s">
        <v>7</v>
      </c>
    </row>
    <row r="5" spans="1:7" x14ac:dyDescent="0.25">
      <c r="A5" s="3" t="s">
        <v>8</v>
      </c>
      <c r="B5" s="4">
        <v>150</v>
      </c>
      <c r="C5" s="3" t="s">
        <v>9</v>
      </c>
      <c r="D5" s="3"/>
      <c r="E5" s="3" t="s">
        <v>10</v>
      </c>
      <c r="G5" t="s">
        <v>11</v>
      </c>
    </row>
    <row r="6" spans="1:7" x14ac:dyDescent="0.25">
      <c r="A6" s="3" t="s">
        <v>12</v>
      </c>
      <c r="B6" s="4">
        <v>100</v>
      </c>
      <c r="C6" s="3" t="s">
        <v>9</v>
      </c>
      <c r="D6" s="3"/>
      <c r="E6" s="3" t="s">
        <v>13</v>
      </c>
      <c r="G6" t="s">
        <v>14</v>
      </c>
    </row>
    <row r="7" spans="1:7" x14ac:dyDescent="0.25">
      <c r="A7" s="3" t="s">
        <v>15</v>
      </c>
      <c r="B7" s="5">
        <v>0.7</v>
      </c>
      <c r="C7" s="3" t="s">
        <v>16</v>
      </c>
      <c r="D7" s="3" t="s">
        <v>17</v>
      </c>
      <c r="E7" s="3" t="s">
        <v>18</v>
      </c>
      <c r="G7" t="s">
        <v>19</v>
      </c>
    </row>
    <row r="8" spans="1:7" x14ac:dyDescent="0.25">
      <c r="A8" s="3" t="s">
        <v>20</v>
      </c>
      <c r="B8" s="4">
        <v>10</v>
      </c>
      <c r="C8" s="3" t="s">
        <v>21</v>
      </c>
      <c r="D8" s="3"/>
      <c r="E8" s="3" t="s">
        <v>22</v>
      </c>
      <c r="G8" s="22" t="s">
        <v>23</v>
      </c>
    </row>
    <row r="9" spans="1:7" x14ac:dyDescent="0.25">
      <c r="A9" s="3" t="s">
        <v>24</v>
      </c>
      <c r="B9" s="4">
        <v>14</v>
      </c>
      <c r="C9" s="3" t="s">
        <v>25</v>
      </c>
      <c r="D9" s="3"/>
      <c r="E9" s="3" t="s">
        <v>26</v>
      </c>
      <c r="G9" s="23" t="s">
        <v>27</v>
      </c>
    </row>
    <row r="10" spans="1:7" x14ac:dyDescent="0.25">
      <c r="A10" s="3" t="s">
        <v>28</v>
      </c>
      <c r="B10" s="5">
        <v>0.05</v>
      </c>
      <c r="C10" s="3" t="s">
        <v>16</v>
      </c>
      <c r="D10" s="3" t="s">
        <v>29</v>
      </c>
      <c r="E10" s="3" t="s">
        <v>30</v>
      </c>
      <c r="G10" t="s">
        <v>31</v>
      </c>
    </row>
    <row r="12" spans="1:7" ht="18.75" customHeight="1" x14ac:dyDescent="0.3">
      <c r="A12" s="1" t="s">
        <v>32</v>
      </c>
    </row>
    <row r="13" spans="1:7" ht="15.75" customHeight="1" x14ac:dyDescent="0.25">
      <c r="A13" s="2" t="s">
        <v>2</v>
      </c>
      <c r="B13" s="2" t="s">
        <v>3</v>
      </c>
      <c r="C13" s="2" t="s">
        <v>4</v>
      </c>
      <c r="D13" s="2"/>
      <c r="E13" s="2" t="s">
        <v>6</v>
      </c>
    </row>
    <row r="14" spans="1:7" ht="75" customHeight="1" x14ac:dyDescent="0.25">
      <c r="A14" s="3" t="s">
        <v>33</v>
      </c>
      <c r="B14" s="4">
        <v>3</v>
      </c>
      <c r="C14" s="3" t="s">
        <v>34</v>
      </c>
      <c r="D14" s="3" t="s">
        <v>35</v>
      </c>
      <c r="E14" s="3" t="s">
        <v>36</v>
      </c>
      <c r="G14" s="24" t="s">
        <v>37</v>
      </c>
    </row>
    <row r="15" spans="1:7" x14ac:dyDescent="0.25">
      <c r="A15" s="3" t="s">
        <v>38</v>
      </c>
      <c r="B15" s="6">
        <v>100</v>
      </c>
      <c r="C15" s="3" t="s">
        <v>39</v>
      </c>
      <c r="D15" s="3"/>
      <c r="E15" s="3" t="s">
        <v>40</v>
      </c>
      <c r="G15" t="s">
        <v>41</v>
      </c>
    </row>
    <row r="16" spans="1:7" x14ac:dyDescent="0.25">
      <c r="A16" s="3" t="s">
        <v>42</v>
      </c>
      <c r="B16" s="4">
        <v>30</v>
      </c>
      <c r="C16" s="3" t="s">
        <v>25</v>
      </c>
      <c r="D16" s="3"/>
      <c r="E16" s="3" t="s">
        <v>43</v>
      </c>
      <c r="G16" s="23" t="s">
        <v>27</v>
      </c>
    </row>
    <row r="19" spans="1:7" ht="18.75" customHeight="1" x14ac:dyDescent="0.3">
      <c r="A19" s="1" t="s">
        <v>44</v>
      </c>
    </row>
    <row r="20" spans="1:7" ht="15.75" customHeight="1" x14ac:dyDescent="0.25">
      <c r="A20" s="2" t="s">
        <v>2</v>
      </c>
      <c r="B20" s="2" t="s">
        <v>3</v>
      </c>
      <c r="C20" s="2" t="s">
        <v>4</v>
      </c>
      <c r="D20" s="2"/>
      <c r="E20" s="2" t="s">
        <v>6</v>
      </c>
    </row>
    <row r="21" spans="1:7" x14ac:dyDescent="0.25">
      <c r="A21" s="3" t="s">
        <v>45</v>
      </c>
      <c r="B21" s="5">
        <v>0.3</v>
      </c>
      <c r="C21" s="3" t="s">
        <v>16</v>
      </c>
      <c r="D21" s="3"/>
      <c r="E21" s="3" t="s">
        <v>46</v>
      </c>
      <c r="G21" t="s">
        <v>47</v>
      </c>
    </row>
    <row r="22" spans="1:7" x14ac:dyDescent="0.25">
      <c r="A22" s="3" t="s">
        <v>48</v>
      </c>
      <c r="B22" s="5">
        <v>0.25</v>
      </c>
      <c r="C22" s="3" t="s">
        <v>16</v>
      </c>
      <c r="D22" s="3"/>
      <c r="E22" s="3" t="s">
        <v>49</v>
      </c>
      <c r="G22" s="23" t="s">
        <v>50</v>
      </c>
    </row>
    <row r="23" spans="1:7" x14ac:dyDescent="0.25">
      <c r="A23" s="3" t="s">
        <v>51</v>
      </c>
      <c r="B23" s="4">
        <v>3</v>
      </c>
      <c r="C23" s="3" t="s">
        <v>34</v>
      </c>
      <c r="D23" s="3"/>
      <c r="E23" s="3" t="s">
        <v>52</v>
      </c>
      <c r="G23" t="s">
        <v>53</v>
      </c>
    </row>
    <row r="26" spans="1:7" ht="18.75" customHeight="1" x14ac:dyDescent="0.3">
      <c r="A26" s="1" t="s">
        <v>54</v>
      </c>
    </row>
    <row r="27" spans="1:7" ht="15.75" customHeight="1" x14ac:dyDescent="0.25">
      <c r="A27" s="2" t="s">
        <v>2</v>
      </c>
      <c r="B27" s="2" t="s">
        <v>3</v>
      </c>
      <c r="C27" s="2" t="s">
        <v>4</v>
      </c>
      <c r="D27" s="2"/>
      <c r="E27" s="2" t="s">
        <v>6</v>
      </c>
    </row>
    <row r="28" spans="1:7" x14ac:dyDescent="0.25">
      <c r="A28" s="3" t="s">
        <v>55</v>
      </c>
      <c r="B28" s="6">
        <v>15</v>
      </c>
      <c r="C28" s="3" t="s">
        <v>39</v>
      </c>
      <c r="D28" s="3"/>
      <c r="E28" s="3" t="s">
        <v>56</v>
      </c>
      <c r="G28" t="s">
        <v>57</v>
      </c>
    </row>
    <row r="31" spans="1:7" ht="18.75" customHeight="1" x14ac:dyDescent="0.3">
      <c r="A31" s="1" t="s">
        <v>58</v>
      </c>
    </row>
    <row r="32" spans="1:7" x14ac:dyDescent="0.25">
      <c r="A32" s="7" t="s">
        <v>59</v>
      </c>
    </row>
    <row r="33" spans="1:7" ht="31.5" customHeight="1" x14ac:dyDescent="0.25">
      <c r="A33" s="2" t="s">
        <v>60</v>
      </c>
      <c r="B33" s="2" t="s">
        <v>61</v>
      </c>
      <c r="C33" s="2" t="s">
        <v>6</v>
      </c>
      <c r="D33" s="25"/>
    </row>
    <row r="34" spans="1:7" x14ac:dyDescent="0.25">
      <c r="A34" s="3" t="s">
        <v>62</v>
      </c>
      <c r="B34" s="5">
        <v>0.65</v>
      </c>
      <c r="C34" s="3" t="s">
        <v>63</v>
      </c>
      <c r="G34" s="22" t="s">
        <v>64</v>
      </c>
    </row>
    <row r="35" spans="1:7" x14ac:dyDescent="0.25">
      <c r="A35" s="3" t="s">
        <v>65</v>
      </c>
      <c r="B35" s="5">
        <v>0.2</v>
      </c>
      <c r="C35" s="3" t="s">
        <v>66</v>
      </c>
      <c r="G35" s="22"/>
    </row>
    <row r="36" spans="1:7" x14ac:dyDescent="0.25">
      <c r="A36" s="3" t="s">
        <v>67</v>
      </c>
      <c r="B36" s="5">
        <v>0.1</v>
      </c>
      <c r="C36" s="3" t="s">
        <v>68</v>
      </c>
      <c r="G36" s="22"/>
    </row>
    <row r="37" spans="1:7" x14ac:dyDescent="0.25">
      <c r="A37" s="3" t="s">
        <v>69</v>
      </c>
      <c r="B37" s="5">
        <v>0.05</v>
      </c>
      <c r="C37" s="3" t="s">
        <v>70</v>
      </c>
      <c r="G37" s="22"/>
    </row>
    <row r="38" spans="1:7" x14ac:dyDescent="0.25">
      <c r="A38" s="3" t="s">
        <v>71</v>
      </c>
      <c r="B38" s="5">
        <v>0</v>
      </c>
      <c r="C38" s="3" t="s">
        <v>72</v>
      </c>
      <c r="G38" s="22"/>
    </row>
    <row r="39" spans="1:7" x14ac:dyDescent="0.25">
      <c r="A39" s="8" t="s">
        <v>73</v>
      </c>
      <c r="B39" s="9">
        <f>SUM(B34:B38)</f>
        <v>1</v>
      </c>
    </row>
    <row r="42" spans="1:7" ht="18.75" customHeight="1" x14ac:dyDescent="0.3">
      <c r="A42" s="1" t="s">
        <v>74</v>
      </c>
    </row>
    <row r="43" spans="1:7" x14ac:dyDescent="0.25">
      <c r="A43" t="s">
        <v>75</v>
      </c>
      <c r="B43" s="10" t="e">
        <f>Editable inputs</f>
        <v>#NAME?</v>
      </c>
    </row>
    <row r="44" spans="1:7" x14ac:dyDescent="0.25">
      <c r="A44" t="s">
        <v>76</v>
      </c>
      <c r="B44" s="11" t="e">
        <f>Calculated values</f>
        <v>#NAME?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F24" sqref="F24"/>
    </sheetView>
  </sheetViews>
  <sheetFormatPr defaultRowHeight="15" x14ac:dyDescent="0.25"/>
  <cols>
    <col min="1" max="1" width="45" customWidth="1"/>
    <col min="2" max="14" width="13" customWidth="1"/>
  </cols>
  <sheetData>
    <row r="1" spans="1:15" ht="21" customHeight="1" x14ac:dyDescent="0.35">
      <c r="A1" s="28" t="s">
        <v>77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3" spans="1:15" ht="18.75" customHeight="1" x14ac:dyDescent="0.3">
      <c r="A3" s="1" t="s">
        <v>78</v>
      </c>
    </row>
    <row r="4" spans="1:15" ht="47.25" customHeight="1" x14ac:dyDescent="0.25">
      <c r="A4" s="2" t="s">
        <v>79</v>
      </c>
      <c r="B4" s="2" t="s">
        <v>5</v>
      </c>
      <c r="C4" s="2" t="s">
        <v>80</v>
      </c>
      <c r="D4" s="2" t="s">
        <v>81</v>
      </c>
    </row>
    <row r="5" spans="1:15" x14ac:dyDescent="0.25">
      <c r="A5" s="3">
        <v>1</v>
      </c>
      <c r="B5" s="4" t="s">
        <v>62</v>
      </c>
      <c r="C5" s="4">
        <v>0</v>
      </c>
      <c r="D5" s="5">
        <v>0.1</v>
      </c>
    </row>
    <row r="6" spans="1:15" x14ac:dyDescent="0.25">
      <c r="A6" s="3">
        <v>2</v>
      </c>
      <c r="B6" s="4" t="s">
        <v>65</v>
      </c>
      <c r="C6" s="4">
        <v>5</v>
      </c>
      <c r="D6" s="5">
        <v>0.12</v>
      </c>
    </row>
    <row r="7" spans="1:15" x14ac:dyDescent="0.25">
      <c r="A7" s="3">
        <v>3</v>
      </c>
      <c r="B7" s="4" t="s">
        <v>67</v>
      </c>
      <c r="C7" s="4">
        <v>20</v>
      </c>
      <c r="D7" s="5">
        <v>0.18</v>
      </c>
    </row>
    <row r="8" spans="1:15" x14ac:dyDescent="0.25">
      <c r="A8" s="3">
        <v>4</v>
      </c>
      <c r="B8" s="4" t="s">
        <v>69</v>
      </c>
      <c r="C8" s="4">
        <v>50</v>
      </c>
      <c r="D8" s="5">
        <v>0.22</v>
      </c>
    </row>
    <row r="9" spans="1:15" x14ac:dyDescent="0.25">
      <c r="A9" s="3">
        <v>5</v>
      </c>
      <c r="B9" s="4" t="s">
        <v>71</v>
      </c>
      <c r="C9" s="4">
        <v>100</v>
      </c>
      <c r="D9" s="5">
        <v>0.25</v>
      </c>
    </row>
    <row r="12" spans="1:15" ht="18.75" customHeight="1" x14ac:dyDescent="0.3">
      <c r="A12" s="1" t="s">
        <v>82</v>
      </c>
    </row>
    <row r="13" spans="1:15" ht="31.5" customHeight="1" x14ac:dyDescent="0.25">
      <c r="A13" s="2" t="s">
        <v>60</v>
      </c>
      <c r="B13" s="2" t="s">
        <v>83</v>
      </c>
      <c r="C13" s="2" t="s">
        <v>84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90</v>
      </c>
      <c r="J13" s="2" t="s">
        <v>91</v>
      </c>
      <c r="K13" s="2" t="s">
        <v>92</v>
      </c>
      <c r="L13" s="2" t="s">
        <v>93</v>
      </c>
      <c r="M13" s="2" t="s">
        <v>94</v>
      </c>
      <c r="N13" s="2" t="s">
        <v>95</v>
      </c>
    </row>
    <row r="14" spans="1:15" x14ac:dyDescent="0.25">
      <c r="A14" s="3" t="s">
        <v>62</v>
      </c>
      <c r="B14" s="4">
        <v>1</v>
      </c>
      <c r="C14" s="5">
        <v>0.1</v>
      </c>
      <c r="D14" s="4">
        <v>30</v>
      </c>
      <c r="E14" s="4">
        <v>0</v>
      </c>
      <c r="F14" s="12">
        <v>0</v>
      </c>
      <c r="G14" s="4">
        <v>2</v>
      </c>
      <c r="H14" s="5">
        <v>0.15</v>
      </c>
      <c r="I14" s="4">
        <v>0</v>
      </c>
      <c r="J14" s="12">
        <v>0</v>
      </c>
      <c r="K14" s="4">
        <v>0</v>
      </c>
      <c r="L14" s="12">
        <v>0</v>
      </c>
      <c r="M14" s="4">
        <v>0</v>
      </c>
      <c r="N14" s="12">
        <v>0</v>
      </c>
    </row>
    <row r="15" spans="1:15" x14ac:dyDescent="0.25">
      <c r="A15" s="3" t="s">
        <v>65</v>
      </c>
      <c r="B15" s="4">
        <v>2</v>
      </c>
      <c r="C15" s="5">
        <v>0.15</v>
      </c>
      <c r="D15" s="4">
        <v>30</v>
      </c>
      <c r="E15" s="4">
        <v>1</v>
      </c>
      <c r="F15" s="12">
        <v>50</v>
      </c>
      <c r="G15" s="4">
        <v>2</v>
      </c>
      <c r="H15" s="5">
        <v>0.15</v>
      </c>
      <c r="I15" s="4">
        <v>1</v>
      </c>
      <c r="J15" s="12">
        <v>25</v>
      </c>
      <c r="K15" s="4">
        <v>0</v>
      </c>
      <c r="L15" s="12">
        <v>0</v>
      </c>
      <c r="M15" s="4">
        <v>0</v>
      </c>
      <c r="N15" s="12">
        <v>0</v>
      </c>
    </row>
    <row r="16" spans="1:15" x14ac:dyDescent="0.25">
      <c r="A16" s="3" t="s">
        <v>96</v>
      </c>
      <c r="B16" s="4">
        <v>1</v>
      </c>
      <c r="C16" s="5">
        <v>0.2</v>
      </c>
      <c r="D16" s="4">
        <v>30</v>
      </c>
      <c r="E16" s="4">
        <v>1</v>
      </c>
      <c r="F16" s="12">
        <v>100</v>
      </c>
      <c r="G16" s="4">
        <v>2</v>
      </c>
      <c r="H16" s="5">
        <v>0.2</v>
      </c>
      <c r="I16" s="4">
        <v>1</v>
      </c>
      <c r="J16" s="12">
        <v>50</v>
      </c>
      <c r="K16" s="4">
        <v>1</v>
      </c>
      <c r="L16" s="12">
        <v>50</v>
      </c>
      <c r="M16" s="4">
        <v>0</v>
      </c>
      <c r="N16" s="12">
        <v>0</v>
      </c>
    </row>
    <row r="17" spans="1:14" x14ac:dyDescent="0.25">
      <c r="A17" s="3" t="s">
        <v>69</v>
      </c>
      <c r="B17" s="4">
        <v>2</v>
      </c>
      <c r="C17" s="5">
        <v>0.25</v>
      </c>
      <c r="D17" s="4">
        <v>45</v>
      </c>
      <c r="E17" s="4">
        <v>2</v>
      </c>
      <c r="F17" s="12">
        <v>150</v>
      </c>
      <c r="G17" s="4">
        <v>3</v>
      </c>
      <c r="H17" s="5">
        <v>0.25</v>
      </c>
      <c r="I17" s="4">
        <v>2</v>
      </c>
      <c r="J17" s="12">
        <v>75</v>
      </c>
      <c r="K17" s="4">
        <v>1</v>
      </c>
      <c r="L17" s="12">
        <v>75</v>
      </c>
      <c r="M17" s="4">
        <v>1</v>
      </c>
      <c r="N17" s="12">
        <v>100</v>
      </c>
    </row>
    <row r="18" spans="1:14" x14ac:dyDescent="0.25">
      <c r="A18" s="3" t="s">
        <v>71</v>
      </c>
      <c r="B18" s="4">
        <v>3</v>
      </c>
      <c r="C18" s="5">
        <v>0.3</v>
      </c>
      <c r="D18" s="4">
        <v>60</v>
      </c>
      <c r="E18" s="4">
        <v>2</v>
      </c>
      <c r="F18" s="12">
        <v>200</v>
      </c>
      <c r="G18" s="4">
        <v>3</v>
      </c>
      <c r="H18" s="5">
        <v>0.3</v>
      </c>
      <c r="I18" s="4">
        <v>2</v>
      </c>
      <c r="J18" s="12">
        <v>100</v>
      </c>
      <c r="K18" s="4">
        <v>1</v>
      </c>
      <c r="L18" s="12">
        <v>100</v>
      </c>
      <c r="M18" s="4">
        <v>1</v>
      </c>
      <c r="N18" s="12">
        <v>200</v>
      </c>
    </row>
    <row r="21" spans="1:14" ht="18.75" customHeight="1" x14ac:dyDescent="0.3">
      <c r="A21" s="1" t="s">
        <v>97</v>
      </c>
    </row>
    <row r="22" spans="1:14" x14ac:dyDescent="0.25">
      <c r="A22" s="3" t="s">
        <v>98</v>
      </c>
      <c r="B22" s="13">
        <f>SUMPRODUCT(C14:C18,Inputs!$B$34:$B$38)</f>
        <v>0.1275</v>
      </c>
    </row>
    <row r="23" spans="1:14" x14ac:dyDescent="0.25">
      <c r="A23" s="3" t="s">
        <v>99</v>
      </c>
      <c r="B23" s="14">
        <f t="array" ref="B23">SUMPRODUCT(E14:E18*F14:F18,Inputs!$B$34:$B$38)</f>
        <v>35</v>
      </c>
    </row>
    <row r="24" spans="1:14" x14ac:dyDescent="0.25">
      <c r="A24" s="3" t="s">
        <v>100</v>
      </c>
      <c r="B24" s="14">
        <f>SUMPRODUCT(I14:I18*J14:J18,Inputs!$B$34:$B$38)</f>
        <v>17.5</v>
      </c>
    </row>
    <row r="25" spans="1:14" x14ac:dyDescent="0.25">
      <c r="A25" s="3" t="s">
        <v>101</v>
      </c>
      <c r="B25" s="14">
        <f>SUMPRODUCT(K14:K18*L14:L18,Inputs!$B$34:$B$38)</f>
        <v>8.75</v>
      </c>
    </row>
    <row r="26" spans="1:14" x14ac:dyDescent="0.25">
      <c r="A26" s="3" t="s">
        <v>102</v>
      </c>
      <c r="B26" s="14">
        <f>SUMPRODUCT(M14:M18*N14:N18,Inputs!$B$34:$B$38)</f>
        <v>5</v>
      </c>
    </row>
  </sheetData>
  <mergeCells count="1">
    <mergeCell ref="A1:O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topLeftCell="A8" workbookViewId="0">
      <selection activeCell="G28" sqref="G28"/>
    </sheetView>
  </sheetViews>
  <sheetFormatPr defaultRowHeight="15" x14ac:dyDescent="0.25"/>
  <cols>
    <col min="1" max="10" width="18" customWidth="1"/>
  </cols>
  <sheetData>
    <row r="1" spans="1:12" ht="21" customHeight="1" x14ac:dyDescent="0.35">
      <c r="A1" s="28" t="s">
        <v>103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3" spans="1:12" ht="18.75" customHeight="1" x14ac:dyDescent="0.3">
      <c r="A3" s="1" t="s">
        <v>104</v>
      </c>
    </row>
    <row r="4" spans="1:12" ht="31.5" customHeight="1" x14ac:dyDescent="0.25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113</v>
      </c>
      <c r="J4" s="2" t="s">
        <v>114</v>
      </c>
    </row>
    <row r="5" spans="1:12" x14ac:dyDescent="0.25">
      <c r="A5" s="4" t="s">
        <v>62</v>
      </c>
      <c r="B5" s="4" t="s">
        <v>115</v>
      </c>
      <c r="C5" s="4">
        <v>5</v>
      </c>
      <c r="D5" s="4" t="s">
        <v>116</v>
      </c>
      <c r="E5" s="5">
        <v>0.25</v>
      </c>
      <c r="F5" s="4" t="s">
        <v>117</v>
      </c>
      <c r="G5" s="12">
        <v>50</v>
      </c>
      <c r="H5" s="4">
        <v>0</v>
      </c>
      <c r="I5" s="4" t="s">
        <v>96</v>
      </c>
      <c r="J5" s="14">
        <f>IF(F5="Gift Card",G5,IF(F5="Spark Ads",G5,IF(F5="Commission Boost",G5*Inputs!$B$23*Revenue!$B$10,0)))</f>
        <v>50</v>
      </c>
    </row>
    <row r="6" spans="1:12" x14ac:dyDescent="0.25">
      <c r="A6" s="4" t="s">
        <v>62</v>
      </c>
      <c r="B6" s="4" t="s">
        <v>118</v>
      </c>
      <c r="C6" s="4">
        <v>100</v>
      </c>
      <c r="D6" s="4" t="s">
        <v>116</v>
      </c>
      <c r="E6" s="5">
        <v>0.2</v>
      </c>
      <c r="F6" s="4" t="s">
        <v>117</v>
      </c>
      <c r="G6" s="12">
        <v>50</v>
      </c>
      <c r="H6" s="4">
        <v>0</v>
      </c>
      <c r="I6" s="4" t="s">
        <v>96</v>
      </c>
      <c r="J6" s="14">
        <f>IF(F6="Gift Card",G6,IF(F6="Spark Ads",G6,IF(F6="Commission Boost",G6*Inputs!$B$23*Revenue!$B$10,0)))</f>
        <v>50</v>
      </c>
    </row>
    <row r="7" spans="1:12" x14ac:dyDescent="0.25">
      <c r="A7" s="4" t="s">
        <v>65</v>
      </c>
      <c r="B7" s="4" t="s">
        <v>115</v>
      </c>
      <c r="C7" s="4">
        <v>10</v>
      </c>
      <c r="D7" s="4" t="s">
        <v>116</v>
      </c>
      <c r="E7" s="5">
        <v>0.2</v>
      </c>
      <c r="F7" s="4" t="s">
        <v>119</v>
      </c>
      <c r="G7" s="5">
        <v>0.2</v>
      </c>
      <c r="H7" s="4">
        <v>30</v>
      </c>
      <c r="I7" s="4" t="s">
        <v>96</v>
      </c>
      <c r="J7" s="14">
        <f>IF(F7="Gift Card",G7,IF(F7="Spark Ads",G7,IF(F7="Commission Boost",G7*Inputs!$B$23*Revenue!$B$10,0)))</f>
        <v>57.120000000000005</v>
      </c>
    </row>
    <row r="8" spans="1:12" x14ac:dyDescent="0.25">
      <c r="A8" s="4" t="s">
        <v>65</v>
      </c>
      <c r="B8" s="4" t="s">
        <v>118</v>
      </c>
      <c r="C8" s="4">
        <v>100</v>
      </c>
      <c r="D8" s="4" t="s">
        <v>116</v>
      </c>
      <c r="E8" s="5">
        <v>0.15</v>
      </c>
      <c r="F8" s="4" t="s">
        <v>117</v>
      </c>
      <c r="G8" s="12">
        <v>50</v>
      </c>
      <c r="H8" s="4">
        <v>0</v>
      </c>
      <c r="I8" s="4" t="s">
        <v>96</v>
      </c>
      <c r="J8" s="14">
        <f>IF(F8="Gift Card",G8,IF(F8="Spark Ads",G8,IF(F8="Commission Boost",G8*Inputs!$B$23*Revenue!$B$10,0)))</f>
        <v>50</v>
      </c>
    </row>
    <row r="9" spans="1:12" x14ac:dyDescent="0.25">
      <c r="A9" s="4" t="s">
        <v>67</v>
      </c>
      <c r="B9" s="4" t="s">
        <v>120</v>
      </c>
      <c r="C9" s="4">
        <v>100</v>
      </c>
      <c r="D9" s="4" t="s">
        <v>121</v>
      </c>
      <c r="E9" s="5">
        <v>0.1</v>
      </c>
      <c r="F9" s="4" t="s">
        <v>119</v>
      </c>
      <c r="G9" s="5">
        <v>0.3</v>
      </c>
      <c r="H9" s="4">
        <v>45</v>
      </c>
      <c r="I9" s="4" t="s">
        <v>96</v>
      </c>
      <c r="J9" s="14">
        <f>IF(F9="Gift Card",G9,IF(F9="Spark Ads",G9,IF(F9="Commission Boost",G9*Inputs!$B$23*Revenue!$B$10,0)))</f>
        <v>85.679999999999978</v>
      </c>
    </row>
    <row r="10" spans="1:12" x14ac:dyDescent="0.25">
      <c r="A10" s="4" t="s">
        <v>67</v>
      </c>
      <c r="B10" s="4" t="s">
        <v>122</v>
      </c>
      <c r="C10" s="4">
        <v>1000</v>
      </c>
      <c r="D10" s="4" t="s">
        <v>116</v>
      </c>
      <c r="E10" s="5">
        <v>0.15</v>
      </c>
      <c r="F10" s="4" t="s">
        <v>123</v>
      </c>
      <c r="G10" s="12">
        <v>50</v>
      </c>
      <c r="H10" s="4">
        <v>0</v>
      </c>
      <c r="I10" s="4" t="s">
        <v>96</v>
      </c>
      <c r="J10" s="14">
        <f>IF(F10="Gift Card",G10,IF(F10="Spark Ads",G10,IF(F10="Commission Boost",G10*Inputs!$B$23*Revenue!$B$10,0)))</f>
        <v>50</v>
      </c>
    </row>
    <row r="11" spans="1:12" x14ac:dyDescent="0.25">
      <c r="A11" s="4" t="s">
        <v>69</v>
      </c>
      <c r="B11" s="4" t="s">
        <v>120</v>
      </c>
      <c r="C11" s="4">
        <v>200</v>
      </c>
      <c r="D11" s="4" t="s">
        <v>121</v>
      </c>
      <c r="E11" s="5">
        <v>0.08</v>
      </c>
      <c r="F11" s="4" t="s">
        <v>117</v>
      </c>
      <c r="G11" s="12">
        <v>200</v>
      </c>
      <c r="H11" s="4">
        <v>0</v>
      </c>
      <c r="I11" s="4" t="s">
        <v>96</v>
      </c>
      <c r="J11" s="14">
        <f>IF(F11="Gift Card",G11,IF(F11="Spark Ads",G11,IF(F11="Commission Boost",G11*Inputs!$B$23*Revenue!$B$10,0)))</f>
        <v>200</v>
      </c>
    </row>
    <row r="12" spans="1:12" x14ac:dyDescent="0.25">
      <c r="A12" s="4" t="s">
        <v>69</v>
      </c>
      <c r="B12" s="4" t="s">
        <v>115</v>
      </c>
      <c r="C12" s="4">
        <v>20</v>
      </c>
      <c r="D12" s="4" t="s">
        <v>116</v>
      </c>
      <c r="E12" s="5">
        <v>0.12</v>
      </c>
      <c r="F12" s="4" t="s">
        <v>119</v>
      </c>
      <c r="G12" s="5">
        <v>0.25</v>
      </c>
      <c r="H12" s="4">
        <v>30</v>
      </c>
      <c r="I12" s="4" t="s">
        <v>96</v>
      </c>
      <c r="J12" s="14">
        <f>IF(F12="Gift Card",G12,IF(F12="Spark Ads",G12,IF(F12="Commission Boost",G12*Inputs!$B$23*Revenue!$B$10,0)))</f>
        <v>71.399999999999991</v>
      </c>
    </row>
    <row r="13" spans="1:12" x14ac:dyDescent="0.25">
      <c r="A13" s="4" t="s">
        <v>71</v>
      </c>
      <c r="B13" s="4" t="s">
        <v>120</v>
      </c>
      <c r="C13" s="4">
        <v>500</v>
      </c>
      <c r="D13" s="4" t="s">
        <v>121</v>
      </c>
      <c r="E13" s="5">
        <v>0.05</v>
      </c>
      <c r="F13" s="4" t="s">
        <v>117</v>
      </c>
      <c r="G13" s="12">
        <v>300</v>
      </c>
      <c r="H13" s="4">
        <v>0</v>
      </c>
      <c r="I13" s="4" t="s">
        <v>96</v>
      </c>
      <c r="J13" s="14">
        <f>IF(F13="Gift Card",G13,IF(F13="Spark Ads",G13,IF(F13="Commission Boost",G13*Inputs!$B$23*Revenue!$B$10,0)))</f>
        <v>300</v>
      </c>
    </row>
    <row r="14" spans="1:12" x14ac:dyDescent="0.25">
      <c r="A14" s="4" t="s">
        <v>71</v>
      </c>
      <c r="B14" s="4" t="s">
        <v>122</v>
      </c>
      <c r="C14" s="4">
        <v>5000</v>
      </c>
      <c r="D14" s="4" t="s">
        <v>116</v>
      </c>
      <c r="E14" s="5">
        <v>0.1</v>
      </c>
      <c r="F14" s="4" t="s">
        <v>123</v>
      </c>
      <c r="G14" s="12">
        <v>100</v>
      </c>
      <c r="H14" s="4">
        <v>0</v>
      </c>
      <c r="I14" s="4" t="s">
        <v>96</v>
      </c>
      <c r="J14" s="14">
        <f>IF(F14="Gift Card",G14,IF(F14="Spark Ads",G14,IF(F14="Commission Boost",G14*Inputs!$B$23*Revenue!$B$10,0)))</f>
        <v>100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15">
        <f>IF(F15="Gift Card",G15,IF(F15="Spark Ads",G15,IF(F15="Commission Boost",G15*Inputs!$B$23*Revenue!$B$10,0)))</f>
        <v>0</v>
      </c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15">
        <f>IF(F16="Gift Card",G16,IF(F16="Spark Ads",G16,IF(F16="Commission Boost",G16*Inputs!$B$23*Revenue!$B$10,0)))</f>
        <v>0</v>
      </c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15">
        <f>IF(F17="Gift Card",G17,IF(F17="Spark Ads",G17,IF(F17="Commission Boost",G17*Inputs!$B$23*Revenue!$B$10,0)))</f>
        <v>0</v>
      </c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15">
        <f>IF(F18="Gift Card",G18,IF(F18="Spark Ads",G18,IF(F18="Commission Boost",G18*Inputs!$B$23*Revenue!$B$10,0)))</f>
        <v>0</v>
      </c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15">
        <f>IF(F19="Gift Card",G19,IF(F19="Spark Ads",G19,IF(F19="Commission Boost",G19*Inputs!$B$23*Revenue!$B$10,0)))</f>
        <v>0</v>
      </c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15">
        <f>IF(F20="Gift Card",G20,IF(F20="Spark Ads",G20,IF(F20="Commission Boost",G20*Inputs!$B$23*Revenue!$B$10,0)))</f>
        <v>0</v>
      </c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15">
        <f>IF(F21="Gift Card",G21,IF(F21="Spark Ads",G21,IF(F21="Commission Boost",G21*Inputs!$B$23*Revenue!$B$10,0)))</f>
        <v>0</v>
      </c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15">
        <f>IF(F22="Gift Card",G22,IF(F22="Spark Ads",G22,IF(F22="Commission Boost",G22*Inputs!$B$23*Revenue!$B$10,0)))</f>
        <v>0</v>
      </c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15">
        <f>IF(F23="Gift Card",G23,IF(F23="Spark Ads",G23,IF(F23="Commission Boost",G23*Inputs!$B$23*Revenue!$B$10,0)))</f>
        <v>0</v>
      </c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15">
        <f>IF(F24="Gift Card",G24,IF(F24="Spark Ads",G24,IF(F24="Commission Boost",G24*Inputs!$B$23*Revenue!$B$10,0)))</f>
        <v>0</v>
      </c>
    </row>
    <row r="27" spans="1:10" ht="18.75" customHeight="1" x14ac:dyDescent="0.3">
      <c r="A27" s="1" t="s">
        <v>124</v>
      </c>
    </row>
    <row r="28" spans="1:10" ht="31.5" customHeight="1" x14ac:dyDescent="0.25">
      <c r="A28" s="2" t="s">
        <v>60</v>
      </c>
      <c r="B28" s="2" t="s">
        <v>125</v>
      </c>
      <c r="C28" s="2" t="s">
        <v>126</v>
      </c>
      <c r="D28" s="2" t="s">
        <v>127</v>
      </c>
    </row>
    <row r="29" spans="1:10" x14ac:dyDescent="0.25">
      <c r="A29" s="3" t="s">
        <v>62</v>
      </c>
      <c r="B29" s="15">
        <f>COUNTIFS(A$5:A$24,A29,I$5:I$24,"Yes")</f>
        <v>2</v>
      </c>
      <c r="C29" s="9">
        <f>IFERROR(AVERAGEIFS(E$5:E$24,A$5:A$24,A29,I$5:I$24,"Yes"),0)</f>
        <v>0.22500000000000001</v>
      </c>
      <c r="D29" s="14">
        <f>IFERROR(AVERAGEIFS(J$5:J$24,A$5:A$24,A29,I$5:I$24,"Yes"),0)</f>
        <v>50</v>
      </c>
    </row>
    <row r="30" spans="1:10" x14ac:dyDescent="0.25">
      <c r="A30" s="3" t="s">
        <v>65</v>
      </c>
      <c r="B30" s="15">
        <f>COUNTIFS(A$5:A$24,A30,I$5:I$24,"Yes")</f>
        <v>2</v>
      </c>
      <c r="C30" s="9">
        <f>IFERROR(AVERAGEIFS(E$5:E$24,A$5:A$24,A30,I$5:I$24,"Yes"),0)</f>
        <v>0.17499999999999999</v>
      </c>
      <c r="D30" s="14">
        <f>IFERROR(AVERAGEIFS(J$5:J$24,A$5:A$24,A30,I$5:I$24,"Yes"),0)</f>
        <v>53.56</v>
      </c>
    </row>
    <row r="31" spans="1:10" x14ac:dyDescent="0.25">
      <c r="A31" s="3" t="s">
        <v>67</v>
      </c>
      <c r="B31" s="15">
        <f>COUNTIFS(A$5:A$24,A31,I$5:I$24,"Yes")</f>
        <v>2</v>
      </c>
      <c r="C31" s="9">
        <f>IFERROR(AVERAGEIFS(E$5:E$24,A$5:A$24,A31,I$5:I$24,"Yes"),0)</f>
        <v>0.125</v>
      </c>
      <c r="D31" s="14">
        <f>IFERROR(AVERAGEIFS(J$5:J$24,A$5:A$24,A31,I$5:I$24,"Yes"),0)</f>
        <v>67.839999999999989</v>
      </c>
    </row>
    <row r="32" spans="1:10" x14ac:dyDescent="0.25">
      <c r="A32" s="3" t="s">
        <v>69</v>
      </c>
      <c r="B32" s="15">
        <f>COUNTIFS(A$5:A$24,A32,I$5:I$24,"Yes")</f>
        <v>2</v>
      </c>
      <c r="C32" s="9">
        <f>IFERROR(AVERAGEIFS(E$5:E$24,A$5:A$24,A32,I$5:I$24,"Yes"),0)</f>
        <v>0.1</v>
      </c>
      <c r="D32" s="14">
        <f>IFERROR(AVERAGEIFS(J$5:J$24,A$5:A$24,A32,I$5:I$24,"Yes"),0)</f>
        <v>135.69999999999999</v>
      </c>
    </row>
    <row r="33" spans="1:7" x14ac:dyDescent="0.25">
      <c r="A33" s="3" t="s">
        <v>71</v>
      </c>
      <c r="B33" s="15">
        <f>COUNTIFS(A$5:A$24,A33,I$5:I$24,"Yes")</f>
        <v>2</v>
      </c>
      <c r="C33" s="9">
        <f>IFERROR(AVERAGEIFS(E$5:E$24,A$5:A$24,A33,I$5:I$24,"Yes"),0)</f>
        <v>7.5000000000000011E-2</v>
      </c>
      <c r="D33" s="14">
        <f>IFERROR(AVERAGEIFS(J$5:J$24,A$5:A$24,A33,I$5:I$24,"Yes"),0)</f>
        <v>200</v>
      </c>
    </row>
    <row r="36" spans="1:7" ht="18.75" customHeight="1" x14ac:dyDescent="0.3">
      <c r="A36" s="1" t="s">
        <v>128</v>
      </c>
    </row>
    <row r="37" spans="1:7" ht="31.5" customHeight="1" x14ac:dyDescent="0.25">
      <c r="A37" s="2" t="s">
        <v>110</v>
      </c>
      <c r="B37" s="2" t="s">
        <v>129</v>
      </c>
      <c r="C37" s="2" t="s">
        <v>130</v>
      </c>
      <c r="D37" s="2" t="s">
        <v>131</v>
      </c>
      <c r="E37" s="2" t="s">
        <v>132</v>
      </c>
    </row>
    <row r="38" spans="1:7" x14ac:dyDescent="0.25">
      <c r="A38" s="3" t="s">
        <v>117</v>
      </c>
      <c r="B38" s="15">
        <f>COUNTIFS(F$5:F$24,A38,I$5:I$24,"Yes")</f>
        <v>5</v>
      </c>
      <c r="C38" s="9">
        <f>IFERROR(B38/SUM($B$38:$B$40),0)</f>
        <v>0.5</v>
      </c>
      <c r="D38" s="14">
        <f>IFERROR(AVERAGEIFS(J$5:J$24,F$5:F$24,A38,I$5:I$24,"Yes"),0)</f>
        <v>130</v>
      </c>
      <c r="E38" s="14">
        <f>B38*D38</f>
        <v>650</v>
      </c>
      <c r="G38" s="21" t="s">
        <v>133</v>
      </c>
    </row>
    <row r="39" spans="1:7" x14ac:dyDescent="0.25">
      <c r="A39" s="3" t="s">
        <v>119</v>
      </c>
      <c r="B39" s="15">
        <f>COUNTIFS(F$5:F$24,A39,I$5:I$24,"Yes")</f>
        <v>3</v>
      </c>
      <c r="C39" s="9">
        <f>IFERROR(B39/SUM($B$38:$B$40),0)</f>
        <v>0.3</v>
      </c>
      <c r="D39" s="14">
        <f>IFERROR(AVERAGEIFS(J$5:J$24,F$5:F$24,A39,I$5:I$24,"Yes"),0)</f>
        <v>71.399999999999991</v>
      </c>
      <c r="E39" s="14">
        <f>B39*D39</f>
        <v>214.2</v>
      </c>
      <c r="G39" s="21" t="s">
        <v>133</v>
      </c>
    </row>
    <row r="40" spans="1:7" x14ac:dyDescent="0.25">
      <c r="A40" s="3" t="s">
        <v>123</v>
      </c>
      <c r="B40" s="15">
        <f>COUNTIFS(F$5:F$24,A40,I$5:I$24,"Yes")</f>
        <v>2</v>
      </c>
      <c r="C40" s="9">
        <f>IFERROR(B40/SUM($B$38:$B$40),0)</f>
        <v>0.2</v>
      </c>
      <c r="D40" s="14">
        <f>IFERROR(AVERAGEIFS(J$5:J$24,F$5:F$24,A40,I$5:I$24,"Yes"),0)</f>
        <v>75</v>
      </c>
      <c r="E40" s="14">
        <f>B40*D40</f>
        <v>150</v>
      </c>
      <c r="G40" s="21" t="s">
        <v>133</v>
      </c>
    </row>
    <row r="41" spans="1:7" x14ac:dyDescent="0.25">
      <c r="A41" s="8" t="s">
        <v>134</v>
      </c>
      <c r="B41" s="16">
        <f>SUM(B38:B40)</f>
        <v>10</v>
      </c>
      <c r="C41" s="17">
        <f>SUM(C38:C40)</f>
        <v>1</v>
      </c>
    </row>
    <row r="44" spans="1:7" x14ac:dyDescent="0.25">
      <c r="A44" t="s">
        <v>135</v>
      </c>
    </row>
    <row r="45" spans="1:7" x14ac:dyDescent="0.25">
      <c r="A45" t="s">
        <v>136</v>
      </c>
    </row>
    <row r="46" spans="1:7" x14ac:dyDescent="0.25">
      <c r="A46" t="s">
        <v>137</v>
      </c>
    </row>
  </sheetData>
  <mergeCells count="1">
    <mergeCell ref="A1:L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workbookViewId="0">
      <selection activeCell="C13" sqref="C13"/>
    </sheetView>
  </sheetViews>
  <sheetFormatPr defaultRowHeight="15" x14ac:dyDescent="0.25"/>
  <cols>
    <col min="1" max="1" width="35" customWidth="1"/>
    <col min="2" max="13" width="12" customWidth="1"/>
  </cols>
  <sheetData>
    <row r="1" spans="1:17" ht="21" customHeight="1" x14ac:dyDescent="0.35">
      <c r="A1" s="28" t="s">
        <v>138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7" ht="15.75" customHeight="1" x14ac:dyDescent="0.25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</row>
    <row r="4" spans="1:17" x14ac:dyDescent="0.25">
      <c r="A4" s="18" t="s">
        <v>152</v>
      </c>
      <c r="B4" s="15">
        <f>Inputs!$B$5</f>
        <v>150</v>
      </c>
      <c r="C4" s="15">
        <f>Inputs!$B$6</f>
        <v>100</v>
      </c>
      <c r="D4" s="15">
        <f>Inputs!$B$6</f>
        <v>100</v>
      </c>
      <c r="E4" s="15">
        <f>Inputs!$B$6</f>
        <v>100</v>
      </c>
      <c r="F4" s="15">
        <f>Inputs!$B$6</f>
        <v>100</v>
      </c>
      <c r="G4" s="15">
        <f>Inputs!$B$6</f>
        <v>100</v>
      </c>
      <c r="H4" s="15">
        <f>Inputs!$B$6</f>
        <v>100</v>
      </c>
      <c r="I4" s="15">
        <f>Inputs!$B$6</f>
        <v>100</v>
      </c>
      <c r="J4" s="15">
        <f>Inputs!$B$6</f>
        <v>100</v>
      </c>
      <c r="K4" s="15">
        <f>Inputs!$B$6</f>
        <v>100</v>
      </c>
      <c r="L4" s="15">
        <f>Inputs!$B$6</f>
        <v>100</v>
      </c>
      <c r="M4" s="15">
        <f>Inputs!$B$6</f>
        <v>100</v>
      </c>
    </row>
    <row r="5" spans="1:17" x14ac:dyDescent="0.25">
      <c r="A5" s="18" t="s">
        <v>153</v>
      </c>
      <c r="B5" s="15">
        <f t="array" ref="B5">ROUND(B4*SampleAffConv,0)</f>
        <v>105</v>
      </c>
      <c r="C5" s="15">
        <f t="shared" ref="C5:M5" si="0">ROUND(C4*SampleAffConv,0)</f>
        <v>70</v>
      </c>
      <c r="D5" s="15">
        <f t="shared" si="0"/>
        <v>70</v>
      </c>
      <c r="E5" s="15">
        <f t="shared" si="0"/>
        <v>70</v>
      </c>
      <c r="F5" s="15">
        <f t="shared" si="0"/>
        <v>70</v>
      </c>
      <c r="G5" s="15">
        <f t="shared" si="0"/>
        <v>70</v>
      </c>
      <c r="H5" s="15">
        <f t="shared" si="0"/>
        <v>70</v>
      </c>
      <c r="I5" s="15">
        <f t="shared" si="0"/>
        <v>70</v>
      </c>
      <c r="J5" s="15">
        <f t="shared" si="0"/>
        <v>70</v>
      </c>
      <c r="K5" s="15">
        <f t="shared" si="0"/>
        <v>70</v>
      </c>
      <c r="L5" s="15">
        <f t="shared" si="0"/>
        <v>70</v>
      </c>
      <c r="M5" s="15">
        <f t="shared" si="0"/>
        <v>70</v>
      </c>
    </row>
    <row r="6" spans="1:17" x14ac:dyDescent="0.25">
      <c r="A6" s="18" t="s">
        <v>154</v>
      </c>
      <c r="B6" s="15">
        <f>Inputs!$B$8</f>
        <v>10</v>
      </c>
      <c r="C6" s="15">
        <f>Inputs!$B$8</f>
        <v>10</v>
      </c>
      <c r="D6" s="15">
        <f>Inputs!$B$8</f>
        <v>10</v>
      </c>
      <c r="E6" s="15">
        <f>Inputs!$B$8</f>
        <v>10</v>
      </c>
      <c r="F6" s="15">
        <f>Inputs!$B$8</f>
        <v>10</v>
      </c>
      <c r="G6" s="15">
        <f>Inputs!$B$8</f>
        <v>10</v>
      </c>
      <c r="H6" s="15">
        <f>Inputs!$B$8</f>
        <v>10</v>
      </c>
      <c r="I6" s="15">
        <f>Inputs!$B$8</f>
        <v>10</v>
      </c>
      <c r="J6" s="15">
        <f>Inputs!$B$8</f>
        <v>10</v>
      </c>
      <c r="K6" s="15">
        <f>Inputs!$B$8</f>
        <v>10</v>
      </c>
      <c r="L6" s="15">
        <f>Inputs!$B$8</f>
        <v>10</v>
      </c>
      <c r="M6" s="15">
        <f>Inputs!$B$8</f>
        <v>10</v>
      </c>
    </row>
    <row r="7" spans="1:17" x14ac:dyDescent="0.25">
      <c r="A7" s="18" t="s">
        <v>155</v>
      </c>
      <c r="B7" s="15">
        <f t="shared" ref="B7:M7" si="1">B5+B6</f>
        <v>115</v>
      </c>
      <c r="C7" s="15">
        <f t="shared" si="1"/>
        <v>80</v>
      </c>
      <c r="D7" s="15">
        <f t="shared" si="1"/>
        <v>80</v>
      </c>
      <c r="E7" s="15">
        <f t="shared" si="1"/>
        <v>80</v>
      </c>
      <c r="F7" s="15">
        <f t="shared" si="1"/>
        <v>80</v>
      </c>
      <c r="G7" s="15">
        <f t="shared" si="1"/>
        <v>80</v>
      </c>
      <c r="H7" s="15">
        <f t="shared" si="1"/>
        <v>80</v>
      </c>
      <c r="I7" s="15">
        <f t="shared" si="1"/>
        <v>80</v>
      </c>
      <c r="J7" s="15">
        <f t="shared" si="1"/>
        <v>80</v>
      </c>
      <c r="K7" s="15">
        <f t="shared" si="1"/>
        <v>80</v>
      </c>
      <c r="L7" s="15">
        <f t="shared" si="1"/>
        <v>80</v>
      </c>
      <c r="M7" s="15">
        <f t="shared" si="1"/>
        <v>80</v>
      </c>
      <c r="Q7" t="s">
        <v>156</v>
      </c>
    </row>
    <row r="8" spans="1:17" x14ac:dyDescent="0.25">
      <c r="A8" s="18" t="s">
        <v>157</v>
      </c>
      <c r="B8" s="15">
        <v>0</v>
      </c>
      <c r="C8" s="15">
        <f t="shared" ref="C8:M8" si="2">ROUND(B9*AffAttrition,0)</f>
        <v>6</v>
      </c>
      <c r="D8" s="15">
        <f t="shared" si="2"/>
        <v>9</v>
      </c>
      <c r="E8" s="15">
        <f t="shared" si="2"/>
        <v>13</v>
      </c>
      <c r="F8" s="15">
        <f t="shared" si="2"/>
        <v>16</v>
      </c>
      <c r="G8" s="15">
        <f t="shared" si="2"/>
        <v>20</v>
      </c>
      <c r="H8" s="15">
        <f t="shared" si="2"/>
        <v>23</v>
      </c>
      <c r="I8" s="15">
        <f t="shared" si="2"/>
        <v>25</v>
      </c>
      <c r="J8" s="15">
        <f t="shared" si="2"/>
        <v>28</v>
      </c>
      <c r="K8" s="15">
        <f t="shared" si="2"/>
        <v>31</v>
      </c>
      <c r="L8" s="15">
        <f t="shared" si="2"/>
        <v>33</v>
      </c>
      <c r="M8" s="15">
        <f t="shared" si="2"/>
        <v>36</v>
      </c>
    </row>
    <row r="9" spans="1:17" x14ac:dyDescent="0.25">
      <c r="A9" s="18" t="s">
        <v>158</v>
      </c>
      <c r="B9" s="15">
        <f>B7-B8</f>
        <v>115</v>
      </c>
      <c r="C9" s="15">
        <f t="shared" ref="C9:M9" si="3">B9+C7-C8</f>
        <v>189</v>
      </c>
      <c r="D9" s="15">
        <f t="shared" si="3"/>
        <v>260</v>
      </c>
      <c r="E9" s="15">
        <f t="shared" si="3"/>
        <v>327</v>
      </c>
      <c r="F9" s="15">
        <f t="shared" si="3"/>
        <v>391</v>
      </c>
      <c r="G9" s="15">
        <f t="shared" si="3"/>
        <v>451</v>
      </c>
      <c r="H9" s="15">
        <f t="shared" si="3"/>
        <v>508</v>
      </c>
      <c r="I9" s="15">
        <f t="shared" si="3"/>
        <v>563</v>
      </c>
      <c r="J9" s="15">
        <f t="shared" si="3"/>
        <v>615</v>
      </c>
      <c r="K9" s="15">
        <f t="shared" si="3"/>
        <v>664</v>
      </c>
      <c r="L9" s="15">
        <f t="shared" si="3"/>
        <v>711</v>
      </c>
      <c r="M9" s="15">
        <f t="shared" si="3"/>
        <v>755</v>
      </c>
    </row>
    <row r="10" spans="1:17" x14ac:dyDescent="0.25">
      <c r="A10" s="18" t="s">
        <v>159</v>
      </c>
      <c r="B10" s="15">
        <f t="shared" ref="B10:M10" si="4">ROUND(B9*AvgAffSales,0)</f>
        <v>345</v>
      </c>
      <c r="C10" s="15">
        <f t="shared" si="4"/>
        <v>567</v>
      </c>
      <c r="D10" s="15">
        <f t="shared" si="4"/>
        <v>780</v>
      </c>
      <c r="E10" s="15">
        <f t="shared" si="4"/>
        <v>981</v>
      </c>
      <c r="F10" s="15">
        <f t="shared" si="4"/>
        <v>1173</v>
      </c>
      <c r="G10" s="15">
        <f t="shared" si="4"/>
        <v>1353</v>
      </c>
      <c r="H10" s="15">
        <f t="shared" si="4"/>
        <v>1524</v>
      </c>
      <c r="I10" s="15">
        <f t="shared" si="4"/>
        <v>1689</v>
      </c>
      <c r="J10" s="15">
        <f t="shared" si="4"/>
        <v>1845</v>
      </c>
      <c r="K10" s="15">
        <f t="shared" si="4"/>
        <v>1992</v>
      </c>
      <c r="L10" s="15">
        <f t="shared" si="4"/>
        <v>2133</v>
      </c>
      <c r="M10" s="15">
        <f t="shared" si="4"/>
        <v>2265</v>
      </c>
    </row>
    <row r="11" spans="1:17" ht="18.75" customHeight="1" x14ac:dyDescent="0.3">
      <c r="A11" s="1" t="s">
        <v>160</v>
      </c>
    </row>
    <row r="12" spans="1:17" x14ac:dyDescent="0.25">
      <c r="A12" s="18" t="s">
        <v>161</v>
      </c>
      <c r="B12" s="15">
        <f>B9</f>
        <v>115</v>
      </c>
      <c r="C12" s="15">
        <f>ROUND(C9*Inputs!$B$34,0)</f>
        <v>123</v>
      </c>
      <c r="D12" s="15">
        <f>ROUND(D9*Inputs!$B$34,0)</f>
        <v>169</v>
      </c>
      <c r="E12" s="15">
        <f>ROUND(E9*Inputs!$B$34,0)</f>
        <v>213</v>
      </c>
      <c r="F12" s="15">
        <f>ROUND(F9*Inputs!$B$34,0)</f>
        <v>254</v>
      </c>
      <c r="G12" s="15">
        <f>ROUND(G9*Inputs!$B$34,0)</f>
        <v>293</v>
      </c>
      <c r="H12" s="15">
        <f>ROUND(H9*Inputs!$B$34,0)</f>
        <v>330</v>
      </c>
      <c r="I12" s="15">
        <f>ROUND(I9*Inputs!$B$34,0)</f>
        <v>366</v>
      </c>
      <c r="J12" s="15">
        <f>ROUND(J9*Inputs!$B$34,0)</f>
        <v>400</v>
      </c>
      <c r="K12" s="15">
        <f>ROUND(K9*Inputs!$B$34,0)</f>
        <v>432</v>
      </c>
      <c r="L12" s="15">
        <f>ROUND(L9*Inputs!$B$34,0)</f>
        <v>462</v>
      </c>
      <c r="M12" s="15">
        <f>ROUND(M9*Inputs!$B$34,0)</f>
        <v>491</v>
      </c>
    </row>
    <row r="13" spans="1:17" x14ac:dyDescent="0.25">
      <c r="A13" s="18" t="s">
        <v>162</v>
      </c>
      <c r="B13" s="15">
        <v>0</v>
      </c>
      <c r="C13" s="15">
        <f>ROUND(C9*Inputs!$B$35,0)</f>
        <v>38</v>
      </c>
      <c r="D13" s="15">
        <f>ROUND(D9*Inputs!$B$35,0)</f>
        <v>52</v>
      </c>
      <c r="E13" s="15">
        <f>ROUND(E9*Inputs!$B$35,0)</f>
        <v>65</v>
      </c>
      <c r="F13" s="15">
        <f>ROUND(F9*Inputs!$B$35,0)</f>
        <v>78</v>
      </c>
      <c r="G13" s="15">
        <f>ROUND(G9*Inputs!$B$35,0)</f>
        <v>90</v>
      </c>
      <c r="H13" s="15">
        <f>ROUND(H9*Inputs!$B$35,0)</f>
        <v>102</v>
      </c>
      <c r="I13" s="15">
        <f>ROUND(I9*Inputs!$B$35,0)</f>
        <v>113</v>
      </c>
      <c r="J13" s="15">
        <f>ROUND(J9*Inputs!$B$35,0)</f>
        <v>123</v>
      </c>
      <c r="K13" s="15">
        <f>ROUND(K9*Inputs!$B$35,0)</f>
        <v>133</v>
      </c>
      <c r="L13" s="15">
        <f>ROUND(L9*Inputs!$B$35,0)</f>
        <v>142</v>
      </c>
      <c r="M13" s="15">
        <f>ROUND(M9*Inputs!$B$35,0)</f>
        <v>151</v>
      </c>
    </row>
    <row r="14" spans="1:17" x14ac:dyDescent="0.25">
      <c r="A14" s="18" t="s">
        <v>163</v>
      </c>
      <c r="B14" s="15">
        <v>0</v>
      </c>
      <c r="C14" s="15">
        <f>ROUND(C9*Inputs!$B$36,0)</f>
        <v>19</v>
      </c>
      <c r="D14" s="15">
        <f>ROUND(D9*Inputs!$B$36,0)</f>
        <v>26</v>
      </c>
      <c r="E14" s="15">
        <f>ROUND(E9*Inputs!$B$36,0)</f>
        <v>33</v>
      </c>
      <c r="F14" s="15">
        <f>ROUND(F9*Inputs!$B$36,0)</f>
        <v>39</v>
      </c>
      <c r="G14" s="15">
        <f>ROUND(G9*Inputs!$B$36,0)</f>
        <v>45</v>
      </c>
      <c r="H14" s="15">
        <f>ROUND(H9*Inputs!$B$36,0)</f>
        <v>51</v>
      </c>
      <c r="I14" s="15">
        <f>ROUND(I9*Inputs!$B$36,0)</f>
        <v>56</v>
      </c>
      <c r="J14" s="15">
        <f>ROUND(J9*Inputs!$B$36,0)</f>
        <v>62</v>
      </c>
      <c r="K14" s="15">
        <f>ROUND(K9*Inputs!$B$36,0)</f>
        <v>66</v>
      </c>
      <c r="L14" s="15">
        <f>ROUND(L9*Inputs!$B$36,0)</f>
        <v>71</v>
      </c>
      <c r="M14" s="15">
        <f>ROUND(M9*Inputs!$B$36,0)</f>
        <v>76</v>
      </c>
    </row>
    <row r="15" spans="1:17" x14ac:dyDescent="0.25">
      <c r="A15" s="18" t="s">
        <v>164</v>
      </c>
      <c r="B15" s="15">
        <v>0</v>
      </c>
      <c r="C15" s="15">
        <f>ROUND(C9*Inputs!$B$37,0)</f>
        <v>9</v>
      </c>
      <c r="D15" s="15">
        <f>ROUND(D9*Inputs!$B$37,0)</f>
        <v>13</v>
      </c>
      <c r="E15" s="15">
        <f>ROUND(E9*Inputs!$B$37,0)</f>
        <v>16</v>
      </c>
      <c r="F15" s="15">
        <f>ROUND(F9*Inputs!$B$37,0)</f>
        <v>20</v>
      </c>
      <c r="G15" s="15">
        <f>ROUND(G9*Inputs!$B$37,0)</f>
        <v>23</v>
      </c>
      <c r="H15" s="15">
        <f>ROUND(H9*Inputs!$B$37,0)</f>
        <v>25</v>
      </c>
      <c r="I15" s="15">
        <f>ROUND(I9*Inputs!$B$37,0)</f>
        <v>28</v>
      </c>
      <c r="J15" s="15">
        <f>ROUND(J9*Inputs!$B$37,0)</f>
        <v>31</v>
      </c>
      <c r="K15" s="15">
        <f>ROUND(K9*Inputs!$B$37,0)</f>
        <v>33</v>
      </c>
      <c r="L15" s="15">
        <f>ROUND(L9*Inputs!$B$37,0)</f>
        <v>36</v>
      </c>
      <c r="M15" s="15">
        <f>ROUND(M9*Inputs!$B$37,0)</f>
        <v>38</v>
      </c>
    </row>
    <row r="16" spans="1:17" x14ac:dyDescent="0.25">
      <c r="A16" s="18" t="s">
        <v>165</v>
      </c>
      <c r="B16" s="15">
        <v>0</v>
      </c>
      <c r="C16" s="15">
        <f>ROUND(C9*Inputs!$B$38,0)</f>
        <v>0</v>
      </c>
      <c r="D16" s="15">
        <f>ROUND(D9*Inputs!$B$38,0)</f>
        <v>0</v>
      </c>
      <c r="E16" s="15">
        <f>ROUND(E9*Inputs!$B$38,0)</f>
        <v>0</v>
      </c>
      <c r="F16" s="15">
        <f>ROUND(F9*Inputs!$B$38,0)</f>
        <v>0</v>
      </c>
      <c r="G16" s="15">
        <f>ROUND(G9*Inputs!$B$38,0)</f>
        <v>0</v>
      </c>
      <c r="H16" s="15">
        <f>ROUND(H9*Inputs!$B$38,0)</f>
        <v>0</v>
      </c>
      <c r="I16" s="15">
        <f>ROUND(I9*Inputs!$B$38,0)</f>
        <v>0</v>
      </c>
      <c r="J16" s="15">
        <f>ROUND(J9*Inputs!$B$38,0)</f>
        <v>0</v>
      </c>
      <c r="K16" s="15">
        <f>ROUND(K9*Inputs!$B$38,0)</f>
        <v>0</v>
      </c>
      <c r="L16" s="15">
        <f>ROUND(L9*Inputs!$B$38,0)</f>
        <v>0</v>
      </c>
      <c r="M16" s="15">
        <f>ROUND(M9*Inputs!$B$38,0)</f>
        <v>0</v>
      </c>
    </row>
    <row r="17" spans="1:13" ht="18.75" customHeight="1" x14ac:dyDescent="0.3">
      <c r="A17" s="1" t="s">
        <v>166</v>
      </c>
    </row>
    <row r="18" spans="1:13" x14ac:dyDescent="0.25">
      <c r="A18" s="18" t="s">
        <v>167</v>
      </c>
      <c r="B18" s="15">
        <f t="shared" ref="B18:M18" si="5">B7</f>
        <v>115</v>
      </c>
      <c r="C18" s="15">
        <f t="shared" si="5"/>
        <v>80</v>
      </c>
      <c r="D18" s="15">
        <f t="shared" si="5"/>
        <v>80</v>
      </c>
      <c r="E18" s="15">
        <f t="shared" si="5"/>
        <v>80</v>
      </c>
      <c r="F18" s="15">
        <f t="shared" si="5"/>
        <v>80</v>
      </c>
      <c r="G18" s="15">
        <f t="shared" si="5"/>
        <v>80</v>
      </c>
      <c r="H18" s="15">
        <f t="shared" si="5"/>
        <v>80</v>
      </c>
      <c r="I18" s="15">
        <f t="shared" si="5"/>
        <v>80</v>
      </c>
      <c r="J18" s="15">
        <f t="shared" si="5"/>
        <v>80</v>
      </c>
      <c r="K18" s="15">
        <f t="shared" si="5"/>
        <v>80</v>
      </c>
      <c r="L18" s="15">
        <f t="shared" si="5"/>
        <v>80</v>
      </c>
      <c r="M18" s="15">
        <f t="shared" si="5"/>
        <v>80</v>
      </c>
    </row>
    <row r="19" spans="1:13" x14ac:dyDescent="0.25">
      <c r="A19" s="18" t="s">
        <v>168</v>
      </c>
      <c r="B19" s="15">
        <v>0</v>
      </c>
      <c r="C19" s="15">
        <f t="shared" ref="C19:M19" si="6">MAX(0,(C13+C14+C15+C16)-(B13+B14+B15+B16))</f>
        <v>66</v>
      </c>
      <c r="D19" s="15">
        <f t="shared" si="6"/>
        <v>25</v>
      </c>
      <c r="E19" s="15">
        <f t="shared" si="6"/>
        <v>23</v>
      </c>
      <c r="F19" s="15">
        <f t="shared" si="6"/>
        <v>23</v>
      </c>
      <c r="G19" s="15">
        <f t="shared" si="6"/>
        <v>21</v>
      </c>
      <c r="H19" s="15">
        <f t="shared" si="6"/>
        <v>20</v>
      </c>
      <c r="I19" s="15">
        <f t="shared" si="6"/>
        <v>19</v>
      </c>
      <c r="J19" s="15">
        <f t="shared" si="6"/>
        <v>19</v>
      </c>
      <c r="K19" s="15">
        <f t="shared" si="6"/>
        <v>16</v>
      </c>
      <c r="L19" s="15">
        <f t="shared" si="6"/>
        <v>17</v>
      </c>
      <c r="M19" s="15">
        <f t="shared" si="6"/>
        <v>16</v>
      </c>
    </row>
    <row r="20" spans="1:13" x14ac:dyDescent="0.25">
      <c r="A20" s="18" t="s">
        <v>169</v>
      </c>
      <c r="B20" s="15">
        <f t="shared" ref="B20:M20" si="7">B18+B19</f>
        <v>115</v>
      </c>
      <c r="C20" s="15">
        <f t="shared" si="7"/>
        <v>146</v>
      </c>
      <c r="D20" s="15">
        <f t="shared" si="7"/>
        <v>105</v>
      </c>
      <c r="E20" s="15">
        <f t="shared" si="7"/>
        <v>103</v>
      </c>
      <c r="F20" s="15">
        <f t="shared" si="7"/>
        <v>103</v>
      </c>
      <c r="G20" s="15">
        <f t="shared" si="7"/>
        <v>101</v>
      </c>
      <c r="H20" s="15">
        <f t="shared" si="7"/>
        <v>100</v>
      </c>
      <c r="I20" s="15">
        <f t="shared" si="7"/>
        <v>99</v>
      </c>
      <c r="J20" s="15">
        <f t="shared" si="7"/>
        <v>99</v>
      </c>
      <c r="K20" s="15">
        <f t="shared" si="7"/>
        <v>96</v>
      </c>
      <c r="L20" s="15">
        <f t="shared" si="7"/>
        <v>97</v>
      </c>
      <c r="M20" s="15">
        <f t="shared" si="7"/>
        <v>96</v>
      </c>
    </row>
    <row r="21" spans="1:13" x14ac:dyDescent="0.25">
      <c r="A21" s="18" t="s">
        <v>170</v>
      </c>
      <c r="B21" s="15">
        <v>0</v>
      </c>
      <c r="C21" s="15">
        <f t="shared" ref="C21:M21" si="8">MAX(0,(B13+B14+B15+B16)-(C13+C14+C15+C16))</f>
        <v>0</v>
      </c>
      <c r="D21" s="15">
        <f t="shared" si="8"/>
        <v>0</v>
      </c>
      <c r="E21" s="15">
        <f t="shared" si="8"/>
        <v>0</v>
      </c>
      <c r="F21" s="15">
        <f t="shared" si="8"/>
        <v>0</v>
      </c>
      <c r="G21" s="15">
        <f t="shared" si="8"/>
        <v>0</v>
      </c>
      <c r="H21" s="15">
        <f t="shared" si="8"/>
        <v>0</v>
      </c>
      <c r="I21" s="15">
        <f t="shared" si="8"/>
        <v>0</v>
      </c>
      <c r="J21" s="15">
        <f t="shared" si="8"/>
        <v>0</v>
      </c>
      <c r="K21" s="15">
        <f t="shared" si="8"/>
        <v>0</v>
      </c>
      <c r="L21" s="15">
        <f t="shared" si="8"/>
        <v>0</v>
      </c>
      <c r="M21" s="15">
        <f t="shared" si="8"/>
        <v>0</v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tabSelected="1" workbookViewId="0">
      <selection activeCell="I26" sqref="I26"/>
    </sheetView>
  </sheetViews>
  <sheetFormatPr defaultRowHeight="15" x14ac:dyDescent="0.25"/>
  <cols>
    <col min="1" max="1" width="38" customWidth="1"/>
    <col min="2" max="13" width="12" customWidth="1"/>
  </cols>
  <sheetData>
    <row r="1" spans="1:14" ht="21" customHeight="1" x14ac:dyDescent="0.35">
      <c r="A1" s="28" t="s">
        <v>171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15.75" customHeight="1" x14ac:dyDescent="0.25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</row>
    <row r="4" spans="1:14" ht="18.75" customHeight="1" x14ac:dyDescent="0.3">
      <c r="A4" s="1" t="s">
        <v>172</v>
      </c>
    </row>
    <row r="5" spans="1:14" x14ac:dyDescent="0.25">
      <c r="A5" s="27" t="s">
        <v>173</v>
      </c>
      <c r="B5" s="15">
        <f>ROUND('Affiliate Projection'!B18*'VIP Levels'!$B$14+'Affiliate Projection'!B19*IFERROR(SUMPRODUCT('VIP Levels'!$B$15:$B$18,Inputs!$B$35:$B$38)/SUM(Inputs!$B$35:$B$38),0),0)</f>
        <v>115</v>
      </c>
      <c r="C5" s="15">
        <f>ROUND('Affiliate Projection'!C18*'VIP Levels'!$B$14+'Affiliate Projection'!C19*IFERROR(SUMPRODUCT('VIP Levels'!$B$15:$B$18,Inputs!$B$35:$B$38)/SUM(Inputs!$B$35:$B$38),0),0)</f>
        <v>193</v>
      </c>
      <c r="D5" s="15">
        <f>ROUND('Affiliate Projection'!D18*'VIP Levels'!$B$14+'Affiliate Projection'!D19*IFERROR(SUMPRODUCT('VIP Levels'!$B$15:$B$18,Inputs!$B$35:$B$38)/SUM(Inputs!$B$35:$B$38),0),0)</f>
        <v>123</v>
      </c>
      <c r="E5" s="15">
        <f>ROUND('Affiliate Projection'!E18*'VIP Levels'!$B$14+'Affiliate Projection'!E19*IFERROR(SUMPRODUCT('VIP Levels'!$B$15:$B$18,Inputs!$B$35:$B$38)/SUM(Inputs!$B$35:$B$38),0),0)</f>
        <v>119</v>
      </c>
      <c r="F5" s="15">
        <f>ROUND('Affiliate Projection'!F18*'VIP Levels'!$B$14+'Affiliate Projection'!F19*IFERROR(SUMPRODUCT('VIP Levels'!$B$15:$B$18,Inputs!$B$35:$B$38)/SUM(Inputs!$B$35:$B$38),0),0)</f>
        <v>119</v>
      </c>
      <c r="G5" s="15">
        <f>ROUND('Affiliate Projection'!G18*'VIP Levels'!$B$14+'Affiliate Projection'!G19*IFERROR(SUMPRODUCT('VIP Levels'!$B$15:$B$18,Inputs!$B$35:$B$38)/SUM(Inputs!$B$35:$B$38),0),0)</f>
        <v>116</v>
      </c>
      <c r="H5" s="15">
        <f>ROUND('Affiliate Projection'!H18*'VIP Levels'!$B$14+'Affiliate Projection'!H19*IFERROR(SUMPRODUCT('VIP Levels'!$B$15:$B$18,Inputs!$B$35:$B$38)/SUM(Inputs!$B$35:$B$38),0),0)</f>
        <v>114</v>
      </c>
      <c r="I5" s="15">
        <f>ROUND('Affiliate Projection'!I18*'VIP Levels'!$B$14+'Affiliate Projection'!I19*IFERROR(SUMPRODUCT('VIP Levels'!$B$15:$B$18,Inputs!$B$35:$B$38)/SUM(Inputs!$B$35:$B$38),0),0)</f>
        <v>113</v>
      </c>
      <c r="J5" s="15">
        <f>ROUND('Affiliate Projection'!J18*'VIP Levels'!$B$14+'Affiliate Projection'!J19*IFERROR(SUMPRODUCT('VIP Levels'!$B$15:$B$18,Inputs!$B$35:$B$38)/SUM(Inputs!$B$35:$B$38),0),0)</f>
        <v>113</v>
      </c>
      <c r="K5" s="15">
        <f>ROUND('Affiliate Projection'!K18*'VIP Levels'!$B$14+'Affiliate Projection'!K19*IFERROR(SUMPRODUCT('VIP Levels'!$B$15:$B$18,Inputs!$B$35:$B$38)/SUM(Inputs!$B$35:$B$38),0),0)</f>
        <v>107</v>
      </c>
      <c r="L5" s="15">
        <f>ROUND('Affiliate Projection'!L18*'VIP Levels'!$B$14+'Affiliate Projection'!L19*IFERROR(SUMPRODUCT('VIP Levels'!$B$15:$B$18,Inputs!$B$35:$B$38)/SUM(Inputs!$B$35:$B$38),0),0)</f>
        <v>109</v>
      </c>
      <c r="M5" s="15">
        <f>ROUND('Affiliate Projection'!M18*'VIP Levels'!$B$14+'Affiliate Projection'!M19*IFERROR(SUMPRODUCT('VIP Levels'!$B$15:$B$18,Inputs!$B$35:$B$38)/SUM(Inputs!$B$35:$B$38),0),0)</f>
        <v>107</v>
      </c>
    </row>
    <row r="6" spans="1:14" x14ac:dyDescent="0.25">
      <c r="A6" s="18" t="s">
        <v>174</v>
      </c>
      <c r="B6" s="15">
        <f>ROUND('Affiliate Projection'!B18*'VIP Levels'!$E$14+'Affiliate Projection'!B19*IFERROR(SUMPRODUCT('VIP Levels'!$E$15:$E$18,Inputs!$B$35:$B$38)/SUM(Inputs!$B$35:$B$38),0),0)</f>
        <v>0</v>
      </c>
      <c r="C6" s="15">
        <f>ROUND('Affiliate Projection'!C18*'VIP Levels'!$E$14+'Affiliate Projection'!C19*IFERROR(SUMPRODUCT('VIP Levels'!$E$15:$E$18,Inputs!$B$35:$B$38)/SUM(Inputs!$B$35:$B$38),0),0)</f>
        <v>75</v>
      </c>
      <c r="D6" s="15">
        <f>ROUND('Affiliate Projection'!D18*'VIP Levels'!$E$14+'Affiliate Projection'!D19*IFERROR(SUMPRODUCT('VIP Levels'!$E$15:$E$18,Inputs!$B$35:$B$38)/SUM(Inputs!$B$35:$B$38),0),0)</f>
        <v>29</v>
      </c>
      <c r="E6" s="15">
        <f>ROUND('Affiliate Projection'!E18*'VIP Levels'!$E$14+'Affiliate Projection'!E19*IFERROR(SUMPRODUCT('VIP Levels'!$E$15:$E$18,Inputs!$B$35:$B$38)/SUM(Inputs!$B$35:$B$38),0),0)</f>
        <v>26</v>
      </c>
      <c r="F6" s="15">
        <f>ROUND('Affiliate Projection'!F18*'VIP Levels'!$E$14+'Affiliate Projection'!F19*IFERROR(SUMPRODUCT('VIP Levels'!$E$15:$E$18,Inputs!$B$35:$B$38)/SUM(Inputs!$B$35:$B$38),0),0)</f>
        <v>26</v>
      </c>
      <c r="G6" s="15">
        <f>ROUND('Affiliate Projection'!G18*'VIP Levels'!$E$14+'Affiliate Projection'!G19*IFERROR(SUMPRODUCT('VIP Levels'!$E$15:$E$18,Inputs!$B$35:$B$38)/SUM(Inputs!$B$35:$B$38),0),0)</f>
        <v>24</v>
      </c>
      <c r="H6" s="15">
        <f>ROUND('Affiliate Projection'!H18*'VIP Levels'!$E$14+'Affiliate Projection'!H19*IFERROR(SUMPRODUCT('VIP Levels'!$E$15:$E$18,Inputs!$B$35:$B$38)/SUM(Inputs!$B$35:$B$38),0),0)</f>
        <v>23</v>
      </c>
      <c r="I6" s="15">
        <f>ROUND('Affiliate Projection'!I18*'VIP Levels'!$E$14+'Affiliate Projection'!I19*IFERROR(SUMPRODUCT('VIP Levels'!$E$15:$E$18,Inputs!$B$35:$B$38)/SUM(Inputs!$B$35:$B$38),0),0)</f>
        <v>22</v>
      </c>
      <c r="J6" s="15">
        <f>ROUND('Affiliate Projection'!J18*'VIP Levels'!$E$14+'Affiliate Projection'!J19*IFERROR(SUMPRODUCT('VIP Levels'!$E$15:$E$18,Inputs!$B$35:$B$38)/SUM(Inputs!$B$35:$B$38),0),0)</f>
        <v>22</v>
      </c>
      <c r="K6" s="15">
        <f>ROUND('Affiliate Projection'!K18*'VIP Levels'!$E$14+'Affiliate Projection'!K19*IFERROR(SUMPRODUCT('VIP Levels'!$E$15:$E$18,Inputs!$B$35:$B$38)/SUM(Inputs!$B$35:$B$38),0),0)</f>
        <v>18</v>
      </c>
      <c r="L6" s="15">
        <f>ROUND('Affiliate Projection'!L18*'VIP Levels'!$E$14+'Affiliate Projection'!L19*IFERROR(SUMPRODUCT('VIP Levels'!$E$15:$E$18,Inputs!$B$35:$B$38)/SUM(Inputs!$B$35:$B$38),0),0)</f>
        <v>19</v>
      </c>
      <c r="M6" s="15">
        <f>ROUND('Affiliate Projection'!M18*'VIP Levels'!$E$14+'Affiliate Projection'!M19*IFERROR(SUMPRODUCT('VIP Levels'!$E$15:$E$18,Inputs!$B$35:$B$38)/SUM(Inputs!$B$35:$B$38),0),0)</f>
        <v>18</v>
      </c>
    </row>
    <row r="7" spans="1:14" x14ac:dyDescent="0.25">
      <c r="A7" s="18" t="s">
        <v>175</v>
      </c>
      <c r="B7" s="15">
        <f>ROUND('Affiliate Projection'!B18*'VIP Levels'!$G$14+'Affiliate Projection'!B19*IFERROR(SUMPRODUCT('VIP Levels'!$G$15:$G$18,Inputs!$B$35:$B$38)/SUM(Inputs!$B$35:$B$38),0),0)</f>
        <v>230</v>
      </c>
      <c r="C7" s="15">
        <f>ROUND('Affiliate Projection'!C18*'VIP Levels'!$G$14+'Affiliate Projection'!C19*IFERROR(SUMPRODUCT('VIP Levels'!$G$15:$G$18,Inputs!$B$35:$B$38)/SUM(Inputs!$B$35:$B$38),0),0)</f>
        <v>301</v>
      </c>
      <c r="D7" s="15">
        <f>ROUND('Affiliate Projection'!D18*'VIP Levels'!$G$14+'Affiliate Projection'!D19*IFERROR(SUMPRODUCT('VIP Levels'!$G$15:$G$18,Inputs!$B$35:$B$38)/SUM(Inputs!$B$35:$B$38),0),0)</f>
        <v>214</v>
      </c>
      <c r="E7" s="15">
        <f>ROUND('Affiliate Projection'!E18*'VIP Levels'!$G$14+'Affiliate Projection'!E19*IFERROR(SUMPRODUCT('VIP Levels'!$G$15:$G$18,Inputs!$B$35:$B$38)/SUM(Inputs!$B$35:$B$38),0),0)</f>
        <v>209</v>
      </c>
      <c r="F7" s="15">
        <f>ROUND('Affiliate Projection'!F18*'VIP Levels'!$G$14+'Affiliate Projection'!F19*IFERROR(SUMPRODUCT('VIP Levels'!$G$15:$G$18,Inputs!$B$35:$B$38)/SUM(Inputs!$B$35:$B$38),0),0)</f>
        <v>209</v>
      </c>
      <c r="G7" s="15">
        <f>ROUND('Affiliate Projection'!G18*'VIP Levels'!$G$14+'Affiliate Projection'!G19*IFERROR(SUMPRODUCT('VIP Levels'!$G$15:$G$18,Inputs!$B$35:$B$38)/SUM(Inputs!$B$35:$B$38),0),0)</f>
        <v>205</v>
      </c>
      <c r="H7" s="15">
        <f>ROUND('Affiliate Projection'!H18*'VIP Levels'!$G$14+'Affiliate Projection'!H19*IFERROR(SUMPRODUCT('VIP Levels'!$G$15:$G$18,Inputs!$B$35:$B$38)/SUM(Inputs!$B$35:$B$38),0),0)</f>
        <v>203</v>
      </c>
      <c r="I7" s="15">
        <f>ROUND('Affiliate Projection'!I18*'VIP Levels'!$G$14+'Affiliate Projection'!I19*IFERROR(SUMPRODUCT('VIP Levels'!$G$15:$G$18,Inputs!$B$35:$B$38)/SUM(Inputs!$B$35:$B$38),0),0)</f>
        <v>201</v>
      </c>
      <c r="J7" s="15">
        <f>ROUND('Affiliate Projection'!J18*'VIP Levels'!$G$14+'Affiliate Projection'!J19*IFERROR(SUMPRODUCT('VIP Levels'!$G$15:$G$18,Inputs!$B$35:$B$38)/SUM(Inputs!$B$35:$B$38),0),0)</f>
        <v>201</v>
      </c>
      <c r="K7" s="15">
        <f>ROUND('Affiliate Projection'!K18*'VIP Levels'!$G$14+'Affiliate Projection'!K19*IFERROR(SUMPRODUCT('VIP Levels'!$G$15:$G$18,Inputs!$B$35:$B$38)/SUM(Inputs!$B$35:$B$38),0),0)</f>
        <v>194</v>
      </c>
      <c r="L7" s="15">
        <f>ROUND('Affiliate Projection'!L18*'VIP Levels'!$G$14+'Affiliate Projection'!L19*IFERROR(SUMPRODUCT('VIP Levels'!$G$15:$G$18,Inputs!$B$35:$B$38)/SUM(Inputs!$B$35:$B$38),0),0)</f>
        <v>196</v>
      </c>
      <c r="M7" s="15">
        <f>ROUND('Affiliate Projection'!M18*'VIP Levels'!$G$14+'Affiliate Projection'!M19*IFERROR(SUMPRODUCT('VIP Levels'!$G$15:$G$18,Inputs!$B$35:$B$38)/SUM(Inputs!$B$35:$B$38),0),0)</f>
        <v>194</v>
      </c>
    </row>
    <row r="8" spans="1:14" x14ac:dyDescent="0.25">
      <c r="A8" s="18" t="s">
        <v>176</v>
      </c>
      <c r="B8" s="15">
        <f>ROUND('Affiliate Projection'!B18*'VIP Levels'!$I$14+'Affiliate Projection'!B19*IFERROR(SUMPRODUCT('VIP Levels'!$I$15:$I$18,Inputs!$B$35:$B$38)/SUM(Inputs!$B$35:$B$38),0),0)</f>
        <v>0</v>
      </c>
      <c r="C8" s="15">
        <f>ROUND('Affiliate Projection'!C18*'VIP Levels'!$I$14+'Affiliate Projection'!C19*IFERROR(SUMPRODUCT('VIP Levels'!$I$15:$I$18,Inputs!$B$35:$B$38)/SUM(Inputs!$B$35:$B$38),0),0)</f>
        <v>75</v>
      </c>
      <c r="D8" s="15">
        <f>ROUND('Affiliate Projection'!D18*'VIP Levels'!$I$14+'Affiliate Projection'!D19*IFERROR(SUMPRODUCT('VIP Levels'!$I$15:$I$18,Inputs!$B$35:$B$38)/SUM(Inputs!$B$35:$B$38),0),0)</f>
        <v>29</v>
      </c>
      <c r="E8" s="15">
        <f>ROUND('Affiliate Projection'!E18*'VIP Levels'!$I$14+'Affiliate Projection'!E19*IFERROR(SUMPRODUCT('VIP Levels'!$I$15:$I$18,Inputs!$B$35:$B$38)/SUM(Inputs!$B$35:$B$38),0),0)</f>
        <v>26</v>
      </c>
      <c r="F8" s="15">
        <f>ROUND('Affiliate Projection'!F18*'VIP Levels'!$I$14+'Affiliate Projection'!F19*IFERROR(SUMPRODUCT('VIP Levels'!$I$15:$I$18,Inputs!$B$35:$B$38)/SUM(Inputs!$B$35:$B$38),0),0)</f>
        <v>26</v>
      </c>
      <c r="G8" s="15">
        <f>ROUND('Affiliate Projection'!G18*'VIP Levels'!$I$14+'Affiliate Projection'!G19*IFERROR(SUMPRODUCT('VIP Levels'!$I$15:$I$18,Inputs!$B$35:$B$38)/SUM(Inputs!$B$35:$B$38),0),0)</f>
        <v>24</v>
      </c>
      <c r="H8" s="15">
        <f>ROUND('Affiliate Projection'!H18*'VIP Levels'!$I$14+'Affiliate Projection'!H19*IFERROR(SUMPRODUCT('VIP Levels'!$I$15:$I$18,Inputs!$B$35:$B$38)/SUM(Inputs!$B$35:$B$38),0),0)</f>
        <v>23</v>
      </c>
      <c r="I8" s="15">
        <f>ROUND('Affiliate Projection'!I18*'VIP Levels'!$I$14+'Affiliate Projection'!I19*IFERROR(SUMPRODUCT('VIP Levels'!$I$15:$I$18,Inputs!$B$35:$B$38)/SUM(Inputs!$B$35:$B$38),0),0)</f>
        <v>22</v>
      </c>
      <c r="J8" s="15">
        <f>ROUND('Affiliate Projection'!J18*'VIP Levels'!$I$14+'Affiliate Projection'!J19*IFERROR(SUMPRODUCT('VIP Levels'!$I$15:$I$18,Inputs!$B$35:$B$38)/SUM(Inputs!$B$35:$B$38),0),0)</f>
        <v>22</v>
      </c>
      <c r="K8" s="15">
        <f>ROUND('Affiliate Projection'!K18*'VIP Levels'!$I$14+'Affiliate Projection'!K19*IFERROR(SUMPRODUCT('VIP Levels'!$I$15:$I$18,Inputs!$B$35:$B$38)/SUM(Inputs!$B$35:$B$38),0),0)</f>
        <v>18</v>
      </c>
      <c r="L8" s="15">
        <f>ROUND('Affiliate Projection'!L18*'VIP Levels'!$I$14+'Affiliate Projection'!L19*IFERROR(SUMPRODUCT('VIP Levels'!$I$15:$I$18,Inputs!$B$35:$B$38)/SUM(Inputs!$B$35:$B$38),0),0)</f>
        <v>19</v>
      </c>
      <c r="M8" s="15">
        <f>ROUND('Affiliate Projection'!M18*'VIP Levels'!$I$14+'Affiliate Projection'!M19*IFERROR(SUMPRODUCT('VIP Levels'!$I$15:$I$18,Inputs!$B$35:$B$38)/SUM(Inputs!$B$35:$B$38),0),0)</f>
        <v>18</v>
      </c>
    </row>
    <row r="9" spans="1:14" x14ac:dyDescent="0.25">
      <c r="A9" s="18" t="s">
        <v>177</v>
      </c>
      <c r="B9" s="15">
        <f>ROUND('Affiliate Projection'!B18*'VIP Levels'!$K$14+'Affiliate Projection'!B19*IFERROR(SUMPRODUCT('VIP Levels'!$K$15:$K$18,Inputs!$B$35:$B$38)/SUM(Inputs!$B$35:$B$38),0),0)</f>
        <v>0</v>
      </c>
      <c r="C9" s="15">
        <f>ROUND('Affiliate Projection'!C18*'VIP Levels'!$K$14+'Affiliate Projection'!C19*IFERROR(SUMPRODUCT('VIP Levels'!$K$15:$K$18,Inputs!$B$35:$B$38)/SUM(Inputs!$B$35:$B$38),0),0)</f>
        <v>28</v>
      </c>
      <c r="D9" s="15">
        <f>ROUND('Affiliate Projection'!D18*'VIP Levels'!$K$14+'Affiliate Projection'!D19*IFERROR(SUMPRODUCT('VIP Levels'!$K$15:$K$18,Inputs!$B$35:$B$38)/SUM(Inputs!$B$35:$B$38),0),0)</f>
        <v>11</v>
      </c>
      <c r="E9" s="15">
        <f>ROUND('Affiliate Projection'!E18*'VIP Levels'!$K$14+'Affiliate Projection'!E19*IFERROR(SUMPRODUCT('VIP Levels'!$K$15:$K$18,Inputs!$B$35:$B$38)/SUM(Inputs!$B$35:$B$38),0),0)</f>
        <v>10</v>
      </c>
      <c r="F9" s="15">
        <f>ROUND('Affiliate Projection'!F18*'VIP Levels'!$K$14+'Affiliate Projection'!F19*IFERROR(SUMPRODUCT('VIP Levels'!$K$15:$K$18,Inputs!$B$35:$B$38)/SUM(Inputs!$B$35:$B$38),0),0)</f>
        <v>10</v>
      </c>
      <c r="G9" s="15">
        <f>ROUND('Affiliate Projection'!G18*'VIP Levels'!$K$14+'Affiliate Projection'!G19*IFERROR(SUMPRODUCT('VIP Levels'!$K$15:$K$18,Inputs!$B$35:$B$38)/SUM(Inputs!$B$35:$B$38),0),0)</f>
        <v>9</v>
      </c>
      <c r="H9" s="15">
        <f>ROUND('Affiliate Projection'!H18*'VIP Levels'!$K$14+'Affiliate Projection'!H19*IFERROR(SUMPRODUCT('VIP Levels'!$K$15:$K$18,Inputs!$B$35:$B$38)/SUM(Inputs!$B$35:$B$38),0),0)</f>
        <v>9</v>
      </c>
      <c r="I9" s="15">
        <f>ROUND('Affiliate Projection'!I18*'VIP Levels'!$K$14+'Affiliate Projection'!I19*IFERROR(SUMPRODUCT('VIP Levels'!$K$15:$K$18,Inputs!$B$35:$B$38)/SUM(Inputs!$B$35:$B$38),0),0)</f>
        <v>8</v>
      </c>
      <c r="J9" s="15">
        <f>ROUND('Affiliate Projection'!J18*'VIP Levels'!$K$14+'Affiliate Projection'!J19*IFERROR(SUMPRODUCT('VIP Levels'!$K$15:$K$18,Inputs!$B$35:$B$38)/SUM(Inputs!$B$35:$B$38),0),0)</f>
        <v>8</v>
      </c>
      <c r="K9" s="15">
        <f>ROUND('Affiliate Projection'!K18*'VIP Levels'!$K$14+'Affiliate Projection'!K19*IFERROR(SUMPRODUCT('VIP Levels'!$K$15:$K$18,Inputs!$B$35:$B$38)/SUM(Inputs!$B$35:$B$38),0),0)</f>
        <v>7</v>
      </c>
      <c r="L9" s="15">
        <f>ROUND('Affiliate Projection'!L18*'VIP Levels'!$K$14+'Affiliate Projection'!L19*IFERROR(SUMPRODUCT('VIP Levels'!$K$15:$K$18,Inputs!$B$35:$B$38)/SUM(Inputs!$B$35:$B$38),0),0)</f>
        <v>7</v>
      </c>
      <c r="M9" s="15">
        <f>ROUND('Affiliate Projection'!M18*'VIP Levels'!$K$14+'Affiliate Projection'!M19*IFERROR(SUMPRODUCT('VIP Levels'!$K$15:$K$18,Inputs!$B$35:$B$38)/SUM(Inputs!$B$35:$B$38),0),0)</f>
        <v>7</v>
      </c>
    </row>
    <row r="10" spans="1:14" x14ac:dyDescent="0.25">
      <c r="A10" s="18" t="s">
        <v>178</v>
      </c>
      <c r="B10" s="15">
        <f>ROUND('Affiliate Projection'!B18*'VIP Levels'!$M$14+'Affiliate Projection'!B19*IFERROR(SUMPRODUCT('VIP Levels'!$M$15:$M$18,Inputs!$B$35:$B$38)/SUM(Inputs!$B$35:$B$38),0),0)</f>
        <v>0</v>
      </c>
      <c r="C10" s="15">
        <f>ROUND('Affiliate Projection'!C18*'VIP Levels'!$M$14+'Affiliate Projection'!C19*IFERROR(SUMPRODUCT('VIP Levels'!$M$15:$M$18,Inputs!$B$35:$B$38)/SUM(Inputs!$B$35:$B$38),0),0)</f>
        <v>9</v>
      </c>
      <c r="D10" s="15">
        <f>ROUND('Affiliate Projection'!D18*'VIP Levels'!$M$14+'Affiliate Projection'!D19*IFERROR(SUMPRODUCT('VIP Levels'!$M$15:$M$18,Inputs!$B$35:$B$38)/SUM(Inputs!$B$35:$B$38),0),0)</f>
        <v>4</v>
      </c>
      <c r="E10" s="15">
        <f>ROUND('Affiliate Projection'!E18*'VIP Levels'!$M$14+'Affiliate Projection'!E19*IFERROR(SUMPRODUCT('VIP Levels'!$M$15:$M$18,Inputs!$B$35:$B$38)/SUM(Inputs!$B$35:$B$38),0),0)</f>
        <v>3</v>
      </c>
      <c r="F10" s="15">
        <f>ROUND('Affiliate Projection'!F18*'VIP Levels'!$M$14+'Affiliate Projection'!F19*IFERROR(SUMPRODUCT('VIP Levels'!$M$15:$M$18,Inputs!$B$35:$B$38)/SUM(Inputs!$B$35:$B$38),0),0)</f>
        <v>3</v>
      </c>
      <c r="G10" s="15">
        <f>ROUND('Affiliate Projection'!G18*'VIP Levels'!$M$14+'Affiliate Projection'!G19*IFERROR(SUMPRODUCT('VIP Levels'!$M$15:$M$18,Inputs!$B$35:$B$38)/SUM(Inputs!$B$35:$B$38),0),0)</f>
        <v>3</v>
      </c>
      <c r="H10" s="15">
        <f>ROUND('Affiliate Projection'!H18*'VIP Levels'!$M$14+'Affiliate Projection'!H19*IFERROR(SUMPRODUCT('VIP Levels'!$M$15:$M$18,Inputs!$B$35:$B$38)/SUM(Inputs!$B$35:$B$38),0),0)</f>
        <v>3</v>
      </c>
      <c r="I10" s="15">
        <f>ROUND('Affiliate Projection'!I18*'VIP Levels'!$M$14+'Affiliate Projection'!I19*IFERROR(SUMPRODUCT('VIP Levels'!$M$15:$M$18,Inputs!$B$35:$B$38)/SUM(Inputs!$B$35:$B$38),0),0)</f>
        <v>3</v>
      </c>
      <c r="J10" s="15">
        <f>ROUND('Affiliate Projection'!J18*'VIP Levels'!$M$14+'Affiliate Projection'!J19*IFERROR(SUMPRODUCT('VIP Levels'!$M$15:$M$18,Inputs!$B$35:$B$38)/SUM(Inputs!$B$35:$B$38),0),0)</f>
        <v>3</v>
      </c>
      <c r="K10" s="15">
        <f>ROUND('Affiliate Projection'!K18*'VIP Levels'!$M$14+'Affiliate Projection'!K19*IFERROR(SUMPRODUCT('VIP Levels'!$M$15:$M$18,Inputs!$B$35:$B$38)/SUM(Inputs!$B$35:$B$38),0),0)</f>
        <v>2</v>
      </c>
      <c r="L10" s="15">
        <f>ROUND('Affiliate Projection'!L18*'VIP Levels'!$M$14+'Affiliate Projection'!L19*IFERROR(SUMPRODUCT('VIP Levels'!$M$15:$M$18,Inputs!$B$35:$B$38)/SUM(Inputs!$B$35:$B$38),0),0)</f>
        <v>2</v>
      </c>
      <c r="M10" s="15">
        <f>ROUND('Affiliate Projection'!M18*'VIP Levels'!$M$14+'Affiliate Projection'!M19*IFERROR(SUMPRODUCT('VIP Levels'!$M$15:$M$18,Inputs!$B$35:$B$38)/SUM(Inputs!$B$35:$B$38),0),0)</f>
        <v>2</v>
      </c>
    </row>
    <row r="11" spans="1:14" x14ac:dyDescent="0.25">
      <c r="A11" s="18"/>
    </row>
    <row r="12" spans="1:14" ht="18.75" customHeight="1" x14ac:dyDescent="0.3">
      <c r="A12" s="1" t="s">
        <v>179</v>
      </c>
    </row>
    <row r="13" spans="1:14" x14ac:dyDescent="0.25">
      <c r="A13" s="18" t="s">
        <v>180</v>
      </c>
      <c r="B13" s="15">
        <f>ROUND('Affiliate Projection'!B12*Missions!$B$29*Missions!$C$29,0)</f>
        <v>52</v>
      </c>
      <c r="C13" s="15">
        <f>ROUND('Affiliate Projection'!C12*Missions!$B$29*Missions!$C$29,0)</f>
        <v>55</v>
      </c>
      <c r="D13" s="15">
        <f>ROUND('Affiliate Projection'!D12*Missions!$B$29*Missions!$C$29,0)</f>
        <v>76</v>
      </c>
      <c r="E13" s="15">
        <f>ROUND('Affiliate Projection'!E12*Missions!$B$29*Missions!$C$29,0)</f>
        <v>96</v>
      </c>
      <c r="F13" s="15">
        <f>ROUND('Affiliate Projection'!F12*Missions!$B$29*Missions!$C$29,0)</f>
        <v>114</v>
      </c>
      <c r="G13" s="15">
        <f>ROUND('Affiliate Projection'!G12*Missions!$B$29*Missions!$C$29,0)</f>
        <v>132</v>
      </c>
      <c r="H13" s="15">
        <f>ROUND('Affiliate Projection'!H12*Missions!$B$29*Missions!$C$29,0)</f>
        <v>149</v>
      </c>
      <c r="I13" s="15">
        <f>ROUND('Affiliate Projection'!I12*Missions!$B$29*Missions!$C$29,0)</f>
        <v>165</v>
      </c>
      <c r="J13" s="15">
        <f>ROUND('Affiliate Projection'!J12*Missions!$B$29*Missions!$C$29,0)</f>
        <v>180</v>
      </c>
      <c r="K13" s="15">
        <f>ROUND('Affiliate Projection'!K12*Missions!$B$29*Missions!$C$29,0)</f>
        <v>194</v>
      </c>
      <c r="L13" s="15">
        <f>ROUND('Affiliate Projection'!L12*Missions!$B$29*Missions!$C$29,0)</f>
        <v>208</v>
      </c>
      <c r="M13" s="15">
        <f>ROUND('Affiliate Projection'!M12*Missions!$B$29*Missions!$C$29,0)</f>
        <v>221</v>
      </c>
    </row>
    <row r="14" spans="1:14" x14ac:dyDescent="0.25">
      <c r="A14" s="18" t="s">
        <v>181</v>
      </c>
      <c r="B14" s="15">
        <f>ROUND('Affiliate Projection'!B13*Missions!$B$30*Missions!$C$30,0)</f>
        <v>0</v>
      </c>
      <c r="C14" s="15">
        <f>ROUND('Affiliate Projection'!C13*Missions!$B$30*Missions!$C$30,0)</f>
        <v>13</v>
      </c>
      <c r="D14" s="15">
        <f>ROUND('Affiliate Projection'!D13*Missions!$B$30*Missions!$C$30,0)</f>
        <v>18</v>
      </c>
      <c r="E14" s="15">
        <f>ROUND('Affiliate Projection'!E13*Missions!$B$30*Missions!$C$30,0)</f>
        <v>23</v>
      </c>
      <c r="F14" s="15">
        <f>ROUND('Affiliate Projection'!F13*Missions!$B$30*Missions!$C$30,0)</f>
        <v>27</v>
      </c>
      <c r="G14" s="15">
        <f>ROUND('Affiliate Projection'!G13*Missions!$B$30*Missions!$C$30,0)</f>
        <v>32</v>
      </c>
      <c r="H14" s="15">
        <f>ROUND('Affiliate Projection'!H13*Missions!$B$30*Missions!$C$30,0)</f>
        <v>36</v>
      </c>
      <c r="I14" s="15">
        <f>ROUND('Affiliate Projection'!I13*Missions!$B$30*Missions!$C$30,0)</f>
        <v>40</v>
      </c>
      <c r="J14" s="15">
        <f>ROUND('Affiliate Projection'!J13*Missions!$B$30*Missions!$C$30,0)</f>
        <v>43</v>
      </c>
      <c r="K14" s="15">
        <f>ROUND('Affiliate Projection'!K13*Missions!$B$30*Missions!$C$30,0)</f>
        <v>47</v>
      </c>
      <c r="L14" s="15">
        <f>ROUND('Affiliate Projection'!L13*Missions!$B$30*Missions!$C$30,0)</f>
        <v>50</v>
      </c>
      <c r="M14" s="15">
        <f>ROUND('Affiliate Projection'!M13*Missions!$B$30*Missions!$C$30,0)</f>
        <v>53</v>
      </c>
    </row>
    <row r="15" spans="1:14" x14ac:dyDescent="0.25">
      <c r="A15" s="18" t="s">
        <v>182</v>
      </c>
      <c r="B15" s="15">
        <f>ROUND('Affiliate Projection'!B14*Missions!$B$31*Missions!$C$31,0)</f>
        <v>0</v>
      </c>
      <c r="C15" s="15">
        <f>ROUND('Affiliate Projection'!C14*Missions!$B$31*Missions!$C$31,0)</f>
        <v>5</v>
      </c>
      <c r="D15" s="15">
        <f>ROUND('Affiliate Projection'!D14*Missions!$B$31*Missions!$C$31,0)</f>
        <v>7</v>
      </c>
      <c r="E15" s="15">
        <f>ROUND('Affiliate Projection'!E14*Missions!$B$31*Missions!$C$31,0)</f>
        <v>8</v>
      </c>
      <c r="F15" s="15">
        <f>ROUND('Affiliate Projection'!F14*Missions!$B$31*Missions!$C$31,0)</f>
        <v>10</v>
      </c>
      <c r="G15" s="15">
        <f>ROUND('Affiliate Projection'!G14*Missions!$B$31*Missions!$C$31,0)</f>
        <v>11</v>
      </c>
      <c r="H15" s="15">
        <f>ROUND('Affiliate Projection'!H14*Missions!$B$31*Missions!$C$31,0)</f>
        <v>13</v>
      </c>
      <c r="I15" s="15">
        <f>ROUND('Affiliate Projection'!I14*Missions!$B$31*Missions!$C$31,0)</f>
        <v>14</v>
      </c>
      <c r="J15" s="15">
        <f>ROUND('Affiliate Projection'!J14*Missions!$B$31*Missions!$C$31,0)</f>
        <v>16</v>
      </c>
      <c r="K15" s="15">
        <f>ROUND('Affiliate Projection'!K14*Missions!$B$31*Missions!$C$31,0)</f>
        <v>17</v>
      </c>
      <c r="L15" s="15">
        <f>ROUND('Affiliate Projection'!L14*Missions!$B$31*Missions!$C$31,0)</f>
        <v>18</v>
      </c>
      <c r="M15" s="15">
        <f>ROUND('Affiliate Projection'!M14*Missions!$B$31*Missions!$C$31,0)</f>
        <v>19</v>
      </c>
    </row>
    <row r="16" spans="1:14" x14ac:dyDescent="0.25">
      <c r="A16" s="18" t="s">
        <v>183</v>
      </c>
      <c r="B16" s="15">
        <f>ROUND('Affiliate Projection'!B15*Missions!$B$32*Missions!$C$32,0)</f>
        <v>0</v>
      </c>
      <c r="C16" s="15">
        <f>ROUND('Affiliate Projection'!C15*Missions!$B$32*Missions!$C$32,0)</f>
        <v>2</v>
      </c>
      <c r="D16" s="15">
        <f>ROUND('Affiliate Projection'!D15*Missions!$B$32*Missions!$C$32,0)</f>
        <v>3</v>
      </c>
      <c r="E16" s="15">
        <f>ROUND('Affiliate Projection'!E15*Missions!$B$32*Missions!$C$32,0)</f>
        <v>3</v>
      </c>
      <c r="F16" s="15">
        <f>ROUND('Affiliate Projection'!F15*Missions!$B$32*Missions!$C$32,0)</f>
        <v>4</v>
      </c>
      <c r="G16" s="15">
        <f>ROUND('Affiliate Projection'!G15*Missions!$B$32*Missions!$C$32,0)</f>
        <v>5</v>
      </c>
      <c r="H16" s="15">
        <f>ROUND('Affiliate Projection'!H15*Missions!$B$32*Missions!$C$32,0)</f>
        <v>5</v>
      </c>
      <c r="I16" s="15">
        <f>ROUND('Affiliate Projection'!I15*Missions!$B$32*Missions!$C$32,0)</f>
        <v>6</v>
      </c>
      <c r="J16" s="15">
        <f>ROUND('Affiliate Projection'!J15*Missions!$B$32*Missions!$C$32,0)</f>
        <v>6</v>
      </c>
      <c r="K16" s="15">
        <f>ROUND('Affiliate Projection'!K15*Missions!$B$32*Missions!$C$32,0)</f>
        <v>7</v>
      </c>
      <c r="L16" s="15">
        <f>ROUND('Affiliate Projection'!L15*Missions!$B$32*Missions!$C$32,0)</f>
        <v>7</v>
      </c>
      <c r="M16" s="15">
        <f>ROUND('Affiliate Projection'!M15*Missions!$B$32*Missions!$C$32,0)</f>
        <v>8</v>
      </c>
    </row>
    <row r="17" spans="1:13" x14ac:dyDescent="0.25">
      <c r="A17" s="18" t="s">
        <v>184</v>
      </c>
      <c r="B17" s="15">
        <f>ROUND('Affiliate Projection'!B16*Missions!$B$33*Missions!$C$33,0)</f>
        <v>0</v>
      </c>
      <c r="C17" s="15">
        <f>ROUND('Affiliate Projection'!C16*Missions!$B$33*Missions!$C$33,0)</f>
        <v>0</v>
      </c>
      <c r="D17" s="15">
        <f>ROUND('Affiliate Projection'!D16*Missions!$B$33*Missions!$C$33,0)</f>
        <v>0</v>
      </c>
      <c r="E17" s="15">
        <f>ROUND('Affiliate Projection'!E16*Missions!$B$33*Missions!$C$33,0)</f>
        <v>0</v>
      </c>
      <c r="F17" s="15">
        <f>ROUND('Affiliate Projection'!F16*Missions!$B$33*Missions!$C$33,0)</f>
        <v>0</v>
      </c>
      <c r="G17" s="15">
        <f>ROUND('Affiliate Projection'!G16*Missions!$B$33*Missions!$C$33,0)</f>
        <v>0</v>
      </c>
      <c r="H17" s="15">
        <f>ROUND('Affiliate Projection'!H16*Missions!$B$33*Missions!$C$33,0)</f>
        <v>0</v>
      </c>
      <c r="I17" s="15">
        <f>ROUND('Affiliate Projection'!I16*Missions!$B$33*Missions!$C$33,0)</f>
        <v>0</v>
      </c>
      <c r="J17" s="15">
        <f>ROUND('Affiliate Projection'!J16*Missions!$B$33*Missions!$C$33,0)</f>
        <v>0</v>
      </c>
      <c r="K17" s="15">
        <f>ROUND('Affiliate Projection'!K16*Missions!$B$33*Missions!$C$33,0)</f>
        <v>0</v>
      </c>
      <c r="L17" s="15">
        <f>ROUND('Affiliate Projection'!L16*Missions!$B$33*Missions!$C$33,0)</f>
        <v>0</v>
      </c>
      <c r="M17" s="15">
        <f>ROUND('Affiliate Projection'!M16*Missions!$B$33*Missions!$C$33,0)</f>
        <v>0</v>
      </c>
    </row>
    <row r="18" spans="1:13" x14ac:dyDescent="0.25">
      <c r="A18" s="18" t="s">
        <v>185</v>
      </c>
      <c r="B18" s="15">
        <f t="shared" ref="B18:M18" si="0">SUM(B13:B17)</f>
        <v>52</v>
      </c>
      <c r="C18" s="15">
        <f t="shared" si="0"/>
        <v>75</v>
      </c>
      <c r="D18" s="15">
        <f t="shared" si="0"/>
        <v>104</v>
      </c>
      <c r="E18" s="15">
        <f t="shared" si="0"/>
        <v>130</v>
      </c>
      <c r="F18" s="15">
        <f t="shared" si="0"/>
        <v>155</v>
      </c>
      <c r="G18" s="15">
        <f t="shared" si="0"/>
        <v>180</v>
      </c>
      <c r="H18" s="15">
        <f t="shared" si="0"/>
        <v>203</v>
      </c>
      <c r="I18" s="15">
        <f t="shared" si="0"/>
        <v>225</v>
      </c>
      <c r="J18" s="15">
        <f t="shared" si="0"/>
        <v>245</v>
      </c>
      <c r="K18" s="15">
        <f t="shared" si="0"/>
        <v>265</v>
      </c>
      <c r="L18" s="15">
        <f t="shared" si="0"/>
        <v>283</v>
      </c>
      <c r="M18" s="15">
        <f t="shared" si="0"/>
        <v>301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workbookViewId="0">
      <selection activeCell="B4" sqref="B4"/>
    </sheetView>
  </sheetViews>
  <sheetFormatPr defaultRowHeight="15" x14ac:dyDescent="0.25"/>
  <cols>
    <col min="1" max="1" width="35" customWidth="1"/>
    <col min="2" max="13" width="12" customWidth="1"/>
  </cols>
  <sheetData>
    <row r="1" spans="1:14" ht="21" customHeight="1" x14ac:dyDescent="0.35">
      <c r="A1" s="28" t="s">
        <v>186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15.75" customHeight="1" x14ac:dyDescent="0.25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</row>
    <row r="4" spans="1:14" x14ac:dyDescent="0.25">
      <c r="A4" s="18" t="s">
        <v>187</v>
      </c>
      <c r="B4" s="15">
        <f>'Affiliate Projection'!B10</f>
        <v>345</v>
      </c>
      <c r="C4" s="15">
        <f>'Affiliate Projection'!C10</f>
        <v>567</v>
      </c>
      <c r="D4" s="15">
        <f>'Affiliate Projection'!D10</f>
        <v>780</v>
      </c>
      <c r="E4" s="15">
        <f>'Affiliate Projection'!E10</f>
        <v>981</v>
      </c>
      <c r="F4" s="15">
        <f>'Affiliate Projection'!F10</f>
        <v>1173</v>
      </c>
      <c r="G4" s="15">
        <f>'Affiliate Projection'!G10</f>
        <v>1353</v>
      </c>
      <c r="H4" s="15">
        <f>'Affiliate Projection'!H10</f>
        <v>1524</v>
      </c>
      <c r="I4" s="15">
        <f>'Affiliate Projection'!I10</f>
        <v>1689</v>
      </c>
      <c r="J4" s="15">
        <f>'Affiliate Projection'!J10</f>
        <v>1845</v>
      </c>
      <c r="K4" s="15">
        <f>'Affiliate Projection'!K10</f>
        <v>1992</v>
      </c>
      <c r="L4" s="15">
        <f>'Affiliate Projection'!L10</f>
        <v>2133</v>
      </c>
      <c r="M4" s="15">
        <f>'Affiliate Projection'!M10</f>
        <v>2265</v>
      </c>
    </row>
    <row r="5" spans="1:14" x14ac:dyDescent="0.25">
      <c r="A5" s="18" t="s">
        <v>38</v>
      </c>
      <c r="B5" s="14">
        <f>Inputs!$B$15</f>
        <v>100</v>
      </c>
      <c r="C5" s="14">
        <f>Inputs!$B$15</f>
        <v>100</v>
      </c>
      <c r="D5" s="14">
        <f>Inputs!$B$15</f>
        <v>100</v>
      </c>
      <c r="E5" s="14">
        <f>Inputs!$B$15</f>
        <v>100</v>
      </c>
      <c r="F5" s="14">
        <f>Inputs!$B$15</f>
        <v>100</v>
      </c>
      <c r="G5" s="14">
        <f>Inputs!$B$15</f>
        <v>100</v>
      </c>
      <c r="H5" s="14">
        <f>Inputs!$B$15</f>
        <v>100</v>
      </c>
      <c r="I5" s="14">
        <f>Inputs!$B$15</f>
        <v>100</v>
      </c>
      <c r="J5" s="14">
        <f>Inputs!$B$15</f>
        <v>100</v>
      </c>
      <c r="K5" s="14">
        <f>Inputs!$B$15</f>
        <v>100</v>
      </c>
      <c r="L5" s="14">
        <f>Inputs!$B$15</f>
        <v>100</v>
      </c>
      <c r="M5" s="14">
        <f>Inputs!$B$15</f>
        <v>100</v>
      </c>
    </row>
    <row r="6" spans="1:14" x14ac:dyDescent="0.25">
      <c r="A6" s="18" t="s">
        <v>188</v>
      </c>
      <c r="B6" s="19">
        <f t="shared" ref="B6:M6" si="0">B4*B5</f>
        <v>34500</v>
      </c>
      <c r="C6" s="19">
        <f t="shared" si="0"/>
        <v>56700</v>
      </c>
      <c r="D6" s="19">
        <f t="shared" si="0"/>
        <v>78000</v>
      </c>
      <c r="E6" s="19">
        <f t="shared" si="0"/>
        <v>98100</v>
      </c>
      <c r="F6" s="19">
        <f t="shared" si="0"/>
        <v>117300</v>
      </c>
      <c r="G6" s="19">
        <f t="shared" si="0"/>
        <v>135300</v>
      </c>
      <c r="H6" s="19">
        <f t="shared" si="0"/>
        <v>152400</v>
      </c>
      <c r="I6" s="19">
        <f t="shared" si="0"/>
        <v>168900</v>
      </c>
      <c r="J6" s="19">
        <f t="shared" si="0"/>
        <v>184500</v>
      </c>
      <c r="K6" s="19">
        <f t="shared" si="0"/>
        <v>199200</v>
      </c>
      <c r="L6" s="19">
        <f t="shared" si="0"/>
        <v>213300</v>
      </c>
      <c r="M6" s="19">
        <f t="shared" si="0"/>
        <v>226500</v>
      </c>
    </row>
    <row r="7" spans="1:14" x14ac:dyDescent="0.25">
      <c r="A7" s="18" t="s">
        <v>189</v>
      </c>
      <c r="B7" s="9">
        <f>SUMPRODUCT('VIP Levels'!$H$14:$H$18,Inputs!$B$34:$B$38)</f>
        <v>0.16000000000000003</v>
      </c>
      <c r="C7" s="9">
        <f>SUMPRODUCT('VIP Levels'!$H$14:$H$18,Inputs!$B$34:$B$38)</f>
        <v>0.16000000000000003</v>
      </c>
      <c r="D7" s="9">
        <f>SUMPRODUCT('VIP Levels'!$H$14:$H$18,Inputs!$B$34:$B$38)</f>
        <v>0.16000000000000003</v>
      </c>
      <c r="E7" s="9">
        <f>SUMPRODUCT('VIP Levels'!$H$14:$H$18,Inputs!$B$34:$B$38)</f>
        <v>0.16000000000000003</v>
      </c>
      <c r="F7" s="9">
        <f>SUMPRODUCT('VIP Levels'!$H$14:$H$18,Inputs!$B$34:$B$38)</f>
        <v>0.16000000000000003</v>
      </c>
      <c r="G7" s="9">
        <f>SUMPRODUCT('VIP Levels'!$H$14:$H$18,Inputs!$B$34:$B$38)</f>
        <v>0.16000000000000003</v>
      </c>
      <c r="H7" s="9">
        <f>SUMPRODUCT('VIP Levels'!$H$14:$H$18,Inputs!$B$34:$B$38)</f>
        <v>0.16000000000000003</v>
      </c>
      <c r="I7" s="9">
        <f>SUMPRODUCT('VIP Levels'!$H$14:$H$18,Inputs!$B$34:$B$38)</f>
        <v>0.16000000000000003</v>
      </c>
      <c r="J7" s="9">
        <f>SUMPRODUCT('VIP Levels'!$H$14:$H$18,Inputs!$B$34:$B$38)</f>
        <v>0.16000000000000003</v>
      </c>
      <c r="K7" s="9">
        <f>SUMPRODUCT('VIP Levels'!$H$14:$H$18,Inputs!$B$34:$B$38)</f>
        <v>0.16000000000000003</v>
      </c>
      <c r="L7" s="9">
        <f>SUMPRODUCT('VIP Levels'!$H$14:$H$18,Inputs!$B$34:$B$38)</f>
        <v>0.16000000000000003</v>
      </c>
      <c r="M7" s="9">
        <f>SUMPRODUCT('VIP Levels'!$H$14:$H$18,Inputs!$B$34:$B$38)</f>
        <v>0.16000000000000003</v>
      </c>
    </row>
    <row r="8" spans="1:14" x14ac:dyDescent="0.25">
      <c r="A8" s="18" t="s">
        <v>45</v>
      </c>
      <c r="B8" s="9">
        <f>Inputs!$B$21</f>
        <v>0.3</v>
      </c>
      <c r="C8" s="9">
        <f>Inputs!$B$21</f>
        <v>0.3</v>
      </c>
      <c r="D8" s="9">
        <f>Inputs!$B$21</f>
        <v>0.3</v>
      </c>
      <c r="E8" s="9">
        <f>Inputs!$B$21</f>
        <v>0.3</v>
      </c>
      <c r="F8" s="9">
        <f>Inputs!$B$21</f>
        <v>0.3</v>
      </c>
      <c r="G8" s="9">
        <f>Inputs!$B$21</f>
        <v>0.3</v>
      </c>
      <c r="H8" s="9">
        <f>Inputs!$B$21</f>
        <v>0.3</v>
      </c>
      <c r="I8" s="9">
        <f>Inputs!$B$21</f>
        <v>0.3</v>
      </c>
      <c r="J8" s="9">
        <f>Inputs!$B$21</f>
        <v>0.3</v>
      </c>
      <c r="K8" s="9">
        <f>Inputs!$B$21</f>
        <v>0.3</v>
      </c>
      <c r="L8" s="9">
        <f>Inputs!$B$21</f>
        <v>0.3</v>
      </c>
      <c r="M8" s="9">
        <f>Inputs!$B$21</f>
        <v>0.3</v>
      </c>
    </row>
    <row r="9" spans="1:14" x14ac:dyDescent="0.25">
      <c r="A9" s="18" t="s">
        <v>190</v>
      </c>
      <c r="B9" s="15">
        <f t="shared" ref="B9:M9" si="1">ROUND(B4*B8,0)</f>
        <v>104</v>
      </c>
      <c r="C9" s="15">
        <f t="shared" si="1"/>
        <v>170</v>
      </c>
      <c r="D9" s="15">
        <f t="shared" si="1"/>
        <v>234</v>
      </c>
      <c r="E9" s="15">
        <f t="shared" si="1"/>
        <v>294</v>
      </c>
      <c r="F9" s="15">
        <f t="shared" si="1"/>
        <v>352</v>
      </c>
      <c r="G9" s="15">
        <f t="shared" si="1"/>
        <v>406</v>
      </c>
      <c r="H9" s="15">
        <f t="shared" si="1"/>
        <v>457</v>
      </c>
      <c r="I9" s="15">
        <f t="shared" si="1"/>
        <v>507</v>
      </c>
      <c r="J9" s="15">
        <f t="shared" si="1"/>
        <v>554</v>
      </c>
      <c r="K9" s="15">
        <f t="shared" si="1"/>
        <v>598</v>
      </c>
      <c r="L9" s="15">
        <f t="shared" si="1"/>
        <v>640</v>
      </c>
      <c r="M9" s="15">
        <f t="shared" si="1"/>
        <v>680</v>
      </c>
    </row>
    <row r="10" spans="1:14" x14ac:dyDescent="0.25">
      <c r="A10" s="18" t="s">
        <v>191</v>
      </c>
      <c r="B10" s="14">
        <f t="shared" ref="B10:M10" si="2">B5*(1-B7*B8)</f>
        <v>95.199999999999989</v>
      </c>
      <c r="C10" s="14">
        <f t="shared" si="2"/>
        <v>95.199999999999989</v>
      </c>
      <c r="D10" s="14">
        <f t="shared" si="2"/>
        <v>95.199999999999989</v>
      </c>
      <c r="E10" s="14">
        <f t="shared" si="2"/>
        <v>95.199999999999989</v>
      </c>
      <c r="F10" s="14">
        <f t="shared" si="2"/>
        <v>95.199999999999989</v>
      </c>
      <c r="G10" s="14">
        <f t="shared" si="2"/>
        <v>95.199999999999989</v>
      </c>
      <c r="H10" s="14">
        <f t="shared" si="2"/>
        <v>95.199999999999989</v>
      </c>
      <c r="I10" s="14">
        <f t="shared" si="2"/>
        <v>95.199999999999989</v>
      </c>
      <c r="J10" s="14">
        <f t="shared" si="2"/>
        <v>95.199999999999989</v>
      </c>
      <c r="K10" s="14">
        <f t="shared" si="2"/>
        <v>95.199999999999989</v>
      </c>
      <c r="L10" s="14">
        <f t="shared" si="2"/>
        <v>95.199999999999989</v>
      </c>
      <c r="M10" s="14">
        <f t="shared" si="2"/>
        <v>95.199999999999989</v>
      </c>
    </row>
    <row r="11" spans="1:14" x14ac:dyDescent="0.25">
      <c r="A11" s="18" t="s">
        <v>192</v>
      </c>
      <c r="B11" s="19">
        <f t="shared" ref="B11:M11" si="3">B4*B10</f>
        <v>32843.999999999993</v>
      </c>
      <c r="C11" s="19">
        <f t="shared" si="3"/>
        <v>53978.399999999994</v>
      </c>
      <c r="D11" s="19">
        <f t="shared" si="3"/>
        <v>74255.999999999985</v>
      </c>
      <c r="E11" s="19">
        <f t="shared" si="3"/>
        <v>93391.199999999983</v>
      </c>
      <c r="F11" s="19">
        <f t="shared" si="3"/>
        <v>111669.59999999999</v>
      </c>
      <c r="G11" s="19">
        <f t="shared" si="3"/>
        <v>128805.59999999999</v>
      </c>
      <c r="H11" s="19">
        <f t="shared" si="3"/>
        <v>145084.79999999999</v>
      </c>
      <c r="I11" s="19">
        <f t="shared" si="3"/>
        <v>160792.79999999999</v>
      </c>
      <c r="J11" s="19">
        <f t="shared" si="3"/>
        <v>175643.99999999997</v>
      </c>
      <c r="K11" s="19">
        <f t="shared" si="3"/>
        <v>189638.39999999997</v>
      </c>
      <c r="L11" s="19">
        <f t="shared" si="3"/>
        <v>203061.59999999998</v>
      </c>
      <c r="M11" s="19">
        <f t="shared" si="3"/>
        <v>215627.99999999997</v>
      </c>
    </row>
    <row r="12" spans="1:14" x14ac:dyDescent="0.25">
      <c r="A12" s="18" t="s">
        <v>193</v>
      </c>
      <c r="B12" s="19">
        <f t="shared" ref="B12:M12" si="4">B6-B11</f>
        <v>1656.0000000000073</v>
      </c>
      <c r="C12" s="19">
        <f t="shared" si="4"/>
        <v>2721.6000000000058</v>
      </c>
      <c r="D12" s="19">
        <f t="shared" si="4"/>
        <v>3744.0000000000146</v>
      </c>
      <c r="E12" s="19">
        <f t="shared" si="4"/>
        <v>4708.8000000000175</v>
      </c>
      <c r="F12" s="19">
        <f t="shared" si="4"/>
        <v>5630.4000000000087</v>
      </c>
      <c r="G12" s="19">
        <f t="shared" si="4"/>
        <v>6494.4000000000087</v>
      </c>
      <c r="H12" s="19">
        <f t="shared" si="4"/>
        <v>7315.2000000000116</v>
      </c>
      <c r="I12" s="19">
        <f t="shared" si="4"/>
        <v>8107.2000000000116</v>
      </c>
      <c r="J12" s="19">
        <f t="shared" si="4"/>
        <v>8856.0000000000291</v>
      </c>
      <c r="K12" s="19">
        <f t="shared" si="4"/>
        <v>9561.6000000000349</v>
      </c>
      <c r="L12" s="19">
        <f t="shared" si="4"/>
        <v>10238.400000000023</v>
      </c>
      <c r="M12" s="19">
        <f t="shared" si="4"/>
        <v>10872.000000000029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workbookViewId="0">
      <selection activeCell="D6" sqref="D6"/>
    </sheetView>
  </sheetViews>
  <sheetFormatPr defaultRowHeight="15" x14ac:dyDescent="0.25"/>
  <cols>
    <col min="1" max="1" width="35" customWidth="1"/>
    <col min="2" max="13" width="12" customWidth="1"/>
  </cols>
  <sheetData>
    <row r="1" spans="1:14" ht="21" customHeight="1" x14ac:dyDescent="0.35">
      <c r="A1" s="28" t="s">
        <v>194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15.75" customHeight="1" x14ac:dyDescent="0.25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150</v>
      </c>
      <c r="M3" s="2" t="s">
        <v>151</v>
      </c>
    </row>
    <row r="4" spans="1:14" ht="18.75" customHeight="1" x14ac:dyDescent="0.3">
      <c r="A4" s="1" t="s">
        <v>195</v>
      </c>
    </row>
    <row r="5" spans="1:14" x14ac:dyDescent="0.25">
      <c r="A5" s="18" t="s">
        <v>196</v>
      </c>
      <c r="B5" s="19">
        <f>'Affiliate Projection'!B10*SUMPRODUCT('VIP Levels'!$D$5:$D$9,Inputs!$B$34:$B$38)*Revenue!B10</f>
        <v>3875.5919999999996</v>
      </c>
      <c r="C5" s="19">
        <f>'Affiliate Projection'!C10*SUMPRODUCT('VIP Levels'!$D$5:$D$9,Inputs!$B$34:$B$38)*Revenue!C10</f>
        <v>6369.4511999999986</v>
      </c>
      <c r="D5" s="19">
        <f>'Affiliate Projection'!D10*SUMPRODUCT('VIP Levels'!$D$5:$D$9,Inputs!$B$34:$B$38)*Revenue!D10</f>
        <v>8762.2079999999987</v>
      </c>
      <c r="E5" s="19">
        <f>'Affiliate Projection'!E10*SUMPRODUCT('VIP Levels'!$D$5:$D$9,Inputs!$B$34:$B$38)*Revenue!E10</f>
        <v>11020.161599999998</v>
      </c>
      <c r="F5" s="19">
        <f>'Affiliate Projection'!F10*SUMPRODUCT('VIP Levels'!$D$5:$D$9,Inputs!$B$34:$B$38)*Revenue!F10</f>
        <v>13177.012799999997</v>
      </c>
      <c r="G5" s="19">
        <f>'Affiliate Projection'!G10*SUMPRODUCT('VIP Levels'!$D$5:$D$9,Inputs!$B$34:$B$38)*Revenue!G10</f>
        <v>15199.060799999997</v>
      </c>
      <c r="H5" s="19">
        <f>'Affiliate Projection'!H10*SUMPRODUCT('VIP Levels'!$D$5:$D$9,Inputs!$B$34:$B$38)*Revenue!H10</f>
        <v>17120.006399999998</v>
      </c>
      <c r="I5" s="19">
        <f>'Affiliate Projection'!I10*SUMPRODUCT('VIP Levels'!$D$5:$D$9,Inputs!$B$34:$B$38)*Revenue!I10</f>
        <v>18973.550399999996</v>
      </c>
      <c r="J5" s="19">
        <f>'Affiliate Projection'!J10*SUMPRODUCT('VIP Levels'!$D$5:$D$9,Inputs!$B$34:$B$38)*Revenue!J10</f>
        <v>20725.991999999995</v>
      </c>
      <c r="K5" s="19">
        <f>'Affiliate Projection'!K10*SUMPRODUCT('VIP Levels'!$D$5:$D$9,Inputs!$B$34:$B$38)*Revenue!K10</f>
        <v>22377.331199999997</v>
      </c>
      <c r="L5" s="19">
        <f>'Affiliate Projection'!L10*SUMPRODUCT('VIP Levels'!$D$5:$D$9,Inputs!$B$34:$B$38)*Revenue!L10</f>
        <v>23961.268799999994</v>
      </c>
      <c r="M5" s="19">
        <f>'Affiliate Projection'!M10*SUMPRODUCT('VIP Levels'!$D$5:$D$9,Inputs!$B$34:$B$38)*Revenue!M10</f>
        <v>25444.103999999996</v>
      </c>
    </row>
    <row r="6" spans="1:14" x14ac:dyDescent="0.25">
      <c r="A6" s="18" t="s">
        <v>197</v>
      </c>
      <c r="B6" s="19">
        <f>'Reward Triggers'!B5*Inputs!$B$23*'VIP Levels'!$B$22*Revenue!B10</f>
        <v>4187.6099999999997</v>
      </c>
      <c r="C6" s="19">
        <f>'Reward Triggers'!C5*Inputs!$B$23*'VIP Levels'!$B$22*Revenue!C10</f>
        <v>7027.902</v>
      </c>
      <c r="D6" s="19">
        <f>'Reward Triggers'!D5*Inputs!$B$23*'VIP Levels'!$B$22*Revenue!D10</f>
        <v>4478.9219999999996</v>
      </c>
      <c r="E6" s="19">
        <f>'Reward Triggers'!E5*Inputs!$B$23*'VIP Levels'!$B$22*Revenue!E10</f>
        <v>4333.2659999999996</v>
      </c>
      <c r="F6" s="19">
        <f>'Reward Triggers'!F5*Inputs!$B$23*'VIP Levels'!$B$22*Revenue!F10</f>
        <v>4333.2659999999996</v>
      </c>
      <c r="G6" s="19">
        <f>'Reward Triggers'!G5*Inputs!$B$23*'VIP Levels'!$B$22*Revenue!G10</f>
        <v>4224.0239999999994</v>
      </c>
      <c r="H6" s="19">
        <f>'Reward Triggers'!H5*Inputs!$B$23*'VIP Levels'!$B$22*Revenue!H10</f>
        <v>4151.1959999999999</v>
      </c>
      <c r="I6" s="19">
        <f>'Reward Triggers'!I5*Inputs!$B$23*'VIP Levels'!$B$22*Revenue!I10</f>
        <v>4114.7820000000002</v>
      </c>
      <c r="J6" s="19">
        <f>'Reward Triggers'!J5*Inputs!$B$23*'VIP Levels'!$B$22*Revenue!J10</f>
        <v>4114.7820000000002</v>
      </c>
      <c r="K6" s="19">
        <f>'Reward Triggers'!K5*Inputs!$B$23*'VIP Levels'!$B$22*Revenue!K10</f>
        <v>3896.2979999999998</v>
      </c>
      <c r="L6" s="19">
        <f>'Reward Triggers'!L5*Inputs!$B$23*'VIP Levels'!$B$22*Revenue!L10</f>
        <v>3969.1259999999997</v>
      </c>
      <c r="M6" s="19">
        <f>'Reward Triggers'!M5*Inputs!$B$23*'VIP Levels'!$B$22*Revenue!M10</f>
        <v>3896.2979999999998</v>
      </c>
    </row>
    <row r="7" spans="1:14" x14ac:dyDescent="0.25">
      <c r="A7" s="18" t="s">
        <v>198</v>
      </c>
      <c r="B7" s="19">
        <f>'Reward Triggers'!B18*Missions!$C$39*Missions!$D$39</f>
        <v>1113.8399999999999</v>
      </c>
      <c r="C7" s="19">
        <f>'Reward Triggers'!C18*Missions!$C$39*Missions!$D$39</f>
        <v>1606.4999999999998</v>
      </c>
      <c r="D7" s="19">
        <f>'Reward Triggers'!D18*Missions!$C$39*Missions!$D$39</f>
        <v>2227.6799999999998</v>
      </c>
      <c r="E7" s="19">
        <f>'Reward Triggers'!E18*Missions!$C$39*Missions!$D$39</f>
        <v>2784.5999999999995</v>
      </c>
      <c r="F7" s="19">
        <f>'Reward Triggers'!F18*Missions!$C$39*Missions!$D$39</f>
        <v>3320.0999999999995</v>
      </c>
      <c r="G7" s="19">
        <f>'Reward Triggers'!G18*Missions!$C$39*Missions!$D$39</f>
        <v>3855.5999999999995</v>
      </c>
      <c r="H7" s="19">
        <f>'Reward Triggers'!H18*Missions!$C$39*Missions!$D$39</f>
        <v>4348.2599999999993</v>
      </c>
      <c r="I7" s="19">
        <f>'Reward Triggers'!I18*Missions!$C$39*Missions!$D$39</f>
        <v>4819.4999999999991</v>
      </c>
      <c r="J7" s="19">
        <f>'Reward Triggers'!J18*Missions!$C$39*Missions!$D$39</f>
        <v>5247.9</v>
      </c>
      <c r="K7" s="19">
        <f>'Reward Triggers'!K18*Missions!$C$39*Missions!$D$39</f>
        <v>5676.2999999999993</v>
      </c>
      <c r="L7" s="19">
        <f>'Reward Triggers'!L18*Missions!$C$39*Missions!$D$39</f>
        <v>6061.8599999999988</v>
      </c>
      <c r="M7" s="19">
        <f>'Reward Triggers'!M18*Missions!$C$39*Missions!$D$39</f>
        <v>6447.4199999999992</v>
      </c>
    </row>
    <row r="8" spans="1:14" x14ac:dyDescent="0.25">
      <c r="A8" s="18" t="s">
        <v>199</v>
      </c>
      <c r="B8" s="19">
        <f>Revenue!B12</f>
        <v>1656.0000000000073</v>
      </c>
      <c r="C8" s="19">
        <f>Revenue!C12</f>
        <v>2721.6000000000058</v>
      </c>
      <c r="D8" s="19">
        <f>Revenue!D12</f>
        <v>3744.0000000000146</v>
      </c>
      <c r="E8" s="19">
        <f>Revenue!E12</f>
        <v>4708.8000000000175</v>
      </c>
      <c r="F8" s="19">
        <f>Revenue!F12</f>
        <v>5630.4000000000087</v>
      </c>
      <c r="G8" s="19">
        <f>Revenue!G12</f>
        <v>6494.4000000000087</v>
      </c>
      <c r="H8" s="19">
        <f>Revenue!H12</f>
        <v>7315.2000000000116</v>
      </c>
      <c r="I8" s="19">
        <f>Revenue!I12</f>
        <v>8107.2000000000116</v>
      </c>
      <c r="J8" s="19">
        <f>Revenue!J12</f>
        <v>8856.0000000000291</v>
      </c>
      <c r="K8" s="19">
        <f>Revenue!K12</f>
        <v>9561.6000000000349</v>
      </c>
      <c r="L8" s="19">
        <f>Revenue!L12</f>
        <v>10238.400000000023</v>
      </c>
      <c r="M8" s="19">
        <f>Revenue!M12</f>
        <v>10872.000000000029</v>
      </c>
    </row>
    <row r="9" spans="1:14" x14ac:dyDescent="0.25">
      <c r="A9" s="18" t="s">
        <v>200</v>
      </c>
      <c r="B9" s="20">
        <f t="shared" ref="B9:M9" si="0">SUM(B5:B8)</f>
        <v>10833.042000000007</v>
      </c>
      <c r="C9" s="20">
        <f t="shared" si="0"/>
        <v>17725.453200000004</v>
      </c>
      <c r="D9" s="20">
        <f t="shared" si="0"/>
        <v>19212.810000000012</v>
      </c>
      <c r="E9" s="20">
        <f t="shared" si="0"/>
        <v>22846.827600000015</v>
      </c>
      <c r="F9" s="20">
        <f t="shared" si="0"/>
        <v>26460.778800000004</v>
      </c>
      <c r="G9" s="20">
        <f t="shared" si="0"/>
        <v>29773.084800000004</v>
      </c>
      <c r="H9" s="20">
        <f t="shared" si="0"/>
        <v>32934.662400000008</v>
      </c>
      <c r="I9" s="20">
        <f t="shared" si="0"/>
        <v>36015.032400000011</v>
      </c>
      <c r="J9" s="20">
        <f t="shared" si="0"/>
        <v>38944.674000000021</v>
      </c>
      <c r="K9" s="20">
        <f t="shared" si="0"/>
        <v>41511.529200000034</v>
      </c>
      <c r="L9" s="20">
        <f t="shared" si="0"/>
        <v>44230.654800000018</v>
      </c>
      <c r="M9" s="20">
        <f t="shared" si="0"/>
        <v>46659.822000000022</v>
      </c>
    </row>
    <row r="10" spans="1:14" x14ac:dyDescent="0.25">
      <c r="A10" s="18"/>
    </row>
    <row r="11" spans="1:14" ht="18.75" customHeight="1" x14ac:dyDescent="0.3">
      <c r="A11" s="1" t="s">
        <v>201</v>
      </c>
    </row>
    <row r="12" spans="1:14" x14ac:dyDescent="0.25">
      <c r="A12" s="18" t="s">
        <v>202</v>
      </c>
      <c r="B12" s="19">
        <f>'Reward Triggers'!B6*'VIP Levels'!$B$23</f>
        <v>0</v>
      </c>
      <c r="C12" s="19">
        <f>'Reward Triggers'!C6*'VIP Levels'!$B$23</f>
        <v>2625</v>
      </c>
      <c r="D12" s="19">
        <f>'Reward Triggers'!D6*'VIP Levels'!$B$23</f>
        <v>1015</v>
      </c>
      <c r="E12" s="19">
        <f>'Reward Triggers'!E6*'VIP Levels'!$B$23</f>
        <v>910</v>
      </c>
      <c r="F12" s="19">
        <f>'Reward Triggers'!F6*'VIP Levels'!$B$23</f>
        <v>910</v>
      </c>
      <c r="G12" s="19">
        <f>'Reward Triggers'!G6*'VIP Levels'!$B$23</f>
        <v>840</v>
      </c>
      <c r="H12" s="19">
        <f>'Reward Triggers'!H6*'VIP Levels'!$B$23</f>
        <v>805</v>
      </c>
      <c r="I12" s="19">
        <f>'Reward Triggers'!I6*'VIP Levels'!$B$23</f>
        <v>770</v>
      </c>
      <c r="J12" s="19">
        <f>'Reward Triggers'!J6*'VIP Levels'!$B$23</f>
        <v>770</v>
      </c>
      <c r="K12" s="19">
        <f>'Reward Triggers'!K6*'VIP Levels'!$B$23</f>
        <v>630</v>
      </c>
      <c r="L12" s="19">
        <f>'Reward Triggers'!L6*'VIP Levels'!$B$23</f>
        <v>665</v>
      </c>
      <c r="M12" s="19">
        <f>'Reward Triggers'!M6*'VIP Levels'!$B$23</f>
        <v>630</v>
      </c>
    </row>
    <row r="13" spans="1:14" x14ac:dyDescent="0.25">
      <c r="A13" s="18" t="s">
        <v>203</v>
      </c>
      <c r="B13" s="19">
        <f>'Reward Triggers'!B18*Missions!$C$38*Missions!$D$38</f>
        <v>3380</v>
      </c>
      <c r="C13" s="19">
        <f>'Reward Triggers'!C18*Missions!$C$38*Missions!$D$38</f>
        <v>4875</v>
      </c>
      <c r="D13" s="19">
        <f>'Reward Triggers'!D18*Missions!$C$38*Missions!$D$38</f>
        <v>6760</v>
      </c>
      <c r="E13" s="19">
        <f>'Reward Triggers'!E18*Missions!$C$38*Missions!$D$38</f>
        <v>8450</v>
      </c>
      <c r="F13" s="19">
        <f>'Reward Triggers'!F18*Missions!$C$38*Missions!$D$38</f>
        <v>10075</v>
      </c>
      <c r="G13" s="19">
        <f>'Reward Triggers'!G18*Missions!$C$38*Missions!$D$38</f>
        <v>11700</v>
      </c>
      <c r="H13" s="19">
        <f>'Reward Triggers'!H18*Missions!$C$38*Missions!$D$38</f>
        <v>13195</v>
      </c>
      <c r="I13" s="19">
        <f>'Reward Triggers'!I18*Missions!$C$38*Missions!$D$38</f>
        <v>14625</v>
      </c>
      <c r="J13" s="19">
        <f>'Reward Triggers'!J18*Missions!$C$38*Missions!$D$38</f>
        <v>15925</v>
      </c>
      <c r="K13" s="19">
        <f>'Reward Triggers'!K18*Missions!$C$38*Missions!$D$38</f>
        <v>17225</v>
      </c>
      <c r="L13" s="19">
        <f>'Reward Triggers'!L18*Missions!$C$38*Missions!$D$38</f>
        <v>18395</v>
      </c>
      <c r="M13" s="19">
        <f>'Reward Triggers'!M18*Missions!$C$38*Missions!$D$38</f>
        <v>19565</v>
      </c>
    </row>
    <row r="14" spans="1:14" x14ac:dyDescent="0.25">
      <c r="A14" s="18" t="s">
        <v>204</v>
      </c>
      <c r="B14" s="19">
        <f t="shared" ref="B14:M14" si="1">B12+B13</f>
        <v>3380</v>
      </c>
      <c r="C14" s="19">
        <f t="shared" si="1"/>
        <v>7500</v>
      </c>
      <c r="D14" s="19">
        <f t="shared" si="1"/>
        <v>7775</v>
      </c>
      <c r="E14" s="19">
        <f t="shared" si="1"/>
        <v>9360</v>
      </c>
      <c r="F14" s="19">
        <f t="shared" si="1"/>
        <v>10985</v>
      </c>
      <c r="G14" s="19">
        <f t="shared" si="1"/>
        <v>12540</v>
      </c>
      <c r="H14" s="19">
        <f t="shared" si="1"/>
        <v>14000</v>
      </c>
      <c r="I14" s="19">
        <f t="shared" si="1"/>
        <v>15395</v>
      </c>
      <c r="J14" s="19">
        <f t="shared" si="1"/>
        <v>16695</v>
      </c>
      <c r="K14" s="19">
        <f t="shared" si="1"/>
        <v>17855</v>
      </c>
      <c r="L14" s="19">
        <f t="shared" si="1"/>
        <v>19060</v>
      </c>
      <c r="M14" s="19">
        <f t="shared" si="1"/>
        <v>20195</v>
      </c>
    </row>
    <row r="15" spans="1:14" x14ac:dyDescent="0.25">
      <c r="A15" s="18" t="s">
        <v>205</v>
      </c>
      <c r="B15" s="20">
        <f t="shared" ref="B15:M15" si="2">B14</f>
        <v>3380</v>
      </c>
      <c r="C15" s="20">
        <f t="shared" si="2"/>
        <v>7500</v>
      </c>
      <c r="D15" s="20">
        <f t="shared" si="2"/>
        <v>7775</v>
      </c>
      <c r="E15" s="20">
        <f t="shared" si="2"/>
        <v>9360</v>
      </c>
      <c r="F15" s="20">
        <f t="shared" si="2"/>
        <v>10985</v>
      </c>
      <c r="G15" s="20">
        <f t="shared" si="2"/>
        <v>12540</v>
      </c>
      <c r="H15" s="20">
        <f t="shared" si="2"/>
        <v>14000</v>
      </c>
      <c r="I15" s="20">
        <f t="shared" si="2"/>
        <v>15395</v>
      </c>
      <c r="J15" s="20">
        <f t="shared" si="2"/>
        <v>16695</v>
      </c>
      <c r="K15" s="20">
        <f t="shared" si="2"/>
        <v>17855</v>
      </c>
      <c r="L15" s="20">
        <f t="shared" si="2"/>
        <v>19060</v>
      </c>
      <c r="M15" s="20">
        <f t="shared" si="2"/>
        <v>20195</v>
      </c>
    </row>
    <row r="16" spans="1:14" x14ac:dyDescent="0.25">
      <c r="A16" s="18"/>
    </row>
    <row r="17" spans="1:13" ht="18.75" customHeight="1" x14ac:dyDescent="0.3">
      <c r="A17" s="1" t="s">
        <v>206</v>
      </c>
    </row>
    <row r="18" spans="1:13" x14ac:dyDescent="0.25">
      <c r="A18" s="18" t="s">
        <v>207</v>
      </c>
      <c r="B18" s="19">
        <f>'Reward Triggers'!B8*'VIP Levels'!$B$24</f>
        <v>0</v>
      </c>
      <c r="C18" s="19">
        <f>'Reward Triggers'!C8*'VIP Levels'!$B$24</f>
        <v>1312.5</v>
      </c>
      <c r="D18" s="19">
        <f>'Reward Triggers'!D8*'VIP Levels'!$B$24</f>
        <v>507.5</v>
      </c>
      <c r="E18" s="19">
        <f>'Reward Triggers'!E8*'VIP Levels'!$B$24</f>
        <v>455</v>
      </c>
      <c r="F18" s="19">
        <f>'Reward Triggers'!F8*'VIP Levels'!$B$24</f>
        <v>455</v>
      </c>
      <c r="G18" s="19">
        <f>'Reward Triggers'!G8*'VIP Levels'!$B$24</f>
        <v>420</v>
      </c>
      <c r="H18" s="19">
        <f>'Reward Triggers'!H8*'VIP Levels'!$B$24</f>
        <v>402.5</v>
      </c>
      <c r="I18" s="19">
        <f>'Reward Triggers'!I8*'VIP Levels'!$B$24</f>
        <v>385</v>
      </c>
      <c r="J18" s="19">
        <f>'Reward Triggers'!J8*'VIP Levels'!$B$24</f>
        <v>385</v>
      </c>
      <c r="K18" s="19">
        <f>'Reward Triggers'!K8*'VIP Levels'!$B$24</f>
        <v>315</v>
      </c>
      <c r="L18" s="19">
        <f>'Reward Triggers'!L8*'VIP Levels'!$B$24</f>
        <v>332.5</v>
      </c>
      <c r="M18" s="19">
        <f>'Reward Triggers'!M8*'VIP Levels'!$B$24</f>
        <v>315</v>
      </c>
    </row>
    <row r="19" spans="1:13" x14ac:dyDescent="0.25">
      <c r="A19" s="18" t="s">
        <v>208</v>
      </c>
      <c r="B19" s="19">
        <f>'Reward Triggers'!B18*Missions!$C$40*Missions!$D$40</f>
        <v>780</v>
      </c>
      <c r="C19" s="19">
        <f>'Reward Triggers'!C18*Missions!$C$40*Missions!$D$40</f>
        <v>1125</v>
      </c>
      <c r="D19" s="19">
        <f>'Reward Triggers'!D18*Missions!$C$40*Missions!$D$40</f>
        <v>1560</v>
      </c>
      <c r="E19" s="19">
        <f>'Reward Triggers'!E18*Missions!$C$40*Missions!$D$40</f>
        <v>1950</v>
      </c>
      <c r="F19" s="19">
        <f>'Reward Triggers'!F18*Missions!$C$40*Missions!$D$40</f>
        <v>2325</v>
      </c>
      <c r="G19" s="19">
        <f>'Reward Triggers'!G18*Missions!$C$40*Missions!$D$40</f>
        <v>2700</v>
      </c>
      <c r="H19" s="19">
        <f>'Reward Triggers'!H18*Missions!$C$40*Missions!$D$40</f>
        <v>3045</v>
      </c>
      <c r="I19" s="19">
        <f>'Reward Triggers'!I18*Missions!$C$40*Missions!$D$40</f>
        <v>3375</v>
      </c>
      <c r="J19" s="19">
        <f>'Reward Triggers'!J18*Missions!$C$40*Missions!$D$40</f>
        <v>3675</v>
      </c>
      <c r="K19" s="19">
        <f>'Reward Triggers'!K18*Missions!$C$40*Missions!$D$40</f>
        <v>3975</v>
      </c>
      <c r="L19" s="19">
        <f>'Reward Triggers'!L18*Missions!$C$40*Missions!$D$40</f>
        <v>4245</v>
      </c>
      <c r="M19" s="19">
        <f>'Reward Triggers'!M18*Missions!$C$40*Missions!$D$40</f>
        <v>4515</v>
      </c>
    </row>
    <row r="20" spans="1:13" x14ac:dyDescent="0.25">
      <c r="A20" s="18" t="s">
        <v>209</v>
      </c>
      <c r="B20" s="19">
        <f>'Reward Triggers'!B9*'VIP Levels'!$B$25</f>
        <v>0</v>
      </c>
      <c r="C20" s="19">
        <f>'Reward Triggers'!C9*'VIP Levels'!$B$25</f>
        <v>245</v>
      </c>
      <c r="D20" s="19">
        <f>'Reward Triggers'!D9*'VIP Levels'!$B$25</f>
        <v>96.25</v>
      </c>
      <c r="E20" s="19">
        <f>'Reward Triggers'!E9*'VIP Levels'!$B$25</f>
        <v>87.5</v>
      </c>
      <c r="F20" s="19">
        <f>'Reward Triggers'!F9*'VIP Levels'!$B$25</f>
        <v>87.5</v>
      </c>
      <c r="G20" s="19">
        <f>'Reward Triggers'!G9*'VIP Levels'!$B$25</f>
        <v>78.75</v>
      </c>
      <c r="H20" s="19">
        <f>'Reward Triggers'!H9*'VIP Levels'!$B$25</f>
        <v>78.75</v>
      </c>
      <c r="I20" s="19">
        <f>'Reward Triggers'!I9*'VIP Levels'!$B$25</f>
        <v>70</v>
      </c>
      <c r="J20" s="19">
        <f>'Reward Triggers'!J9*'VIP Levels'!$B$25</f>
        <v>70</v>
      </c>
      <c r="K20" s="19">
        <f>'Reward Triggers'!K9*'VIP Levels'!$B$25</f>
        <v>61.25</v>
      </c>
      <c r="L20" s="19">
        <f>'Reward Triggers'!L9*'VIP Levels'!$B$25</f>
        <v>61.25</v>
      </c>
      <c r="M20" s="19">
        <f>'Reward Triggers'!M9*'VIP Levels'!$B$25</f>
        <v>61.25</v>
      </c>
    </row>
    <row r="21" spans="1:13" x14ac:dyDescent="0.25">
      <c r="A21" s="18" t="s">
        <v>210</v>
      </c>
      <c r="B21" s="19">
        <f>'Reward Triggers'!B10*'VIP Levels'!$B$26</f>
        <v>0</v>
      </c>
      <c r="C21" s="19">
        <f>'Reward Triggers'!C10*'VIP Levels'!$B$26</f>
        <v>45</v>
      </c>
      <c r="D21" s="19">
        <f>'Reward Triggers'!D10*'VIP Levels'!$B$26</f>
        <v>20</v>
      </c>
      <c r="E21" s="19">
        <f>'Reward Triggers'!E10*'VIP Levels'!$B$26</f>
        <v>15</v>
      </c>
      <c r="F21" s="19">
        <f>'Reward Triggers'!F10*'VIP Levels'!$B$26</f>
        <v>15</v>
      </c>
      <c r="G21" s="19">
        <f>'Reward Triggers'!G10*'VIP Levels'!$B$26</f>
        <v>15</v>
      </c>
      <c r="H21" s="19">
        <f>'Reward Triggers'!H10*'VIP Levels'!$B$26</f>
        <v>15</v>
      </c>
      <c r="I21" s="19">
        <f>'Reward Triggers'!I10*'VIP Levels'!$B$26</f>
        <v>15</v>
      </c>
      <c r="J21" s="19">
        <f>'Reward Triggers'!J10*'VIP Levels'!$B$26</f>
        <v>15</v>
      </c>
      <c r="K21" s="19">
        <f>'Reward Triggers'!K10*'VIP Levels'!$B$26</f>
        <v>10</v>
      </c>
      <c r="L21" s="19">
        <f>'Reward Triggers'!L10*'VIP Levels'!$B$26</f>
        <v>10</v>
      </c>
      <c r="M21" s="19">
        <f>'Reward Triggers'!M10*'VIP Levels'!$B$26</f>
        <v>10</v>
      </c>
    </row>
    <row r="22" spans="1:13" x14ac:dyDescent="0.25">
      <c r="A22" s="18" t="s">
        <v>211</v>
      </c>
      <c r="B22" s="19">
        <f>'Affiliate Projection'!B4*Inputs!$B$28</f>
        <v>2250</v>
      </c>
      <c r="C22" s="19">
        <f>'Affiliate Projection'!C4*Inputs!$B$28</f>
        <v>1500</v>
      </c>
      <c r="D22" s="19">
        <f>'Affiliate Projection'!D4*Inputs!$B$28</f>
        <v>1500</v>
      </c>
      <c r="E22" s="19">
        <f>'Affiliate Projection'!E4*Inputs!$B$28</f>
        <v>1500</v>
      </c>
      <c r="F22" s="19">
        <f>'Affiliate Projection'!F4*Inputs!$B$28</f>
        <v>1500</v>
      </c>
      <c r="G22" s="19">
        <f>'Affiliate Projection'!G4*Inputs!$B$28</f>
        <v>1500</v>
      </c>
      <c r="H22" s="19">
        <f>'Affiliate Projection'!H4*Inputs!$B$28</f>
        <v>1500</v>
      </c>
      <c r="I22" s="19">
        <f>'Affiliate Projection'!I4*Inputs!$B$28</f>
        <v>1500</v>
      </c>
      <c r="J22" s="19">
        <f>'Affiliate Projection'!J4*Inputs!$B$28</f>
        <v>1500</v>
      </c>
      <c r="K22" s="19">
        <f>'Affiliate Projection'!K4*Inputs!$B$28</f>
        <v>1500</v>
      </c>
      <c r="L22" s="19">
        <f>'Affiliate Projection'!L4*Inputs!$B$28</f>
        <v>1500</v>
      </c>
      <c r="M22" s="19">
        <f>'Affiliate Projection'!M4*Inputs!$B$28</f>
        <v>1500</v>
      </c>
    </row>
    <row r="23" spans="1:13" x14ac:dyDescent="0.25">
      <c r="A23" s="18" t="s">
        <v>212</v>
      </c>
      <c r="B23" s="20">
        <f t="shared" ref="B23:M23" si="3">SUM(B18:B22)</f>
        <v>3030</v>
      </c>
      <c r="C23" s="20">
        <f t="shared" si="3"/>
        <v>4227.5</v>
      </c>
      <c r="D23" s="20">
        <f t="shared" si="3"/>
        <v>3683.75</v>
      </c>
      <c r="E23" s="20">
        <f t="shared" si="3"/>
        <v>4007.5</v>
      </c>
      <c r="F23" s="20">
        <f t="shared" si="3"/>
        <v>4382.5</v>
      </c>
      <c r="G23" s="20">
        <f t="shared" si="3"/>
        <v>4713.75</v>
      </c>
      <c r="H23" s="20">
        <f t="shared" si="3"/>
        <v>5041.25</v>
      </c>
      <c r="I23" s="20">
        <f t="shared" si="3"/>
        <v>5345</v>
      </c>
      <c r="J23" s="20">
        <f t="shared" si="3"/>
        <v>5645</v>
      </c>
      <c r="K23" s="20">
        <f t="shared" si="3"/>
        <v>5861.25</v>
      </c>
      <c r="L23" s="20">
        <f t="shared" si="3"/>
        <v>6148.75</v>
      </c>
      <c r="M23" s="20">
        <f t="shared" si="3"/>
        <v>6401.25</v>
      </c>
    </row>
    <row r="24" spans="1:13" x14ac:dyDescent="0.25">
      <c r="A24" s="18"/>
    </row>
    <row r="25" spans="1:13" ht="18.75" customHeight="1" x14ac:dyDescent="0.3">
      <c r="A25" s="1" t="s">
        <v>213</v>
      </c>
    </row>
    <row r="26" spans="1:13" x14ac:dyDescent="0.25">
      <c r="A26" s="18" t="s">
        <v>214</v>
      </c>
      <c r="B26" s="20">
        <f t="shared" ref="B26:M26" si="4">B9+B15+B23</f>
        <v>17243.042000000009</v>
      </c>
      <c r="C26" s="20">
        <f t="shared" si="4"/>
        <v>29452.953200000004</v>
      </c>
      <c r="D26" s="20">
        <f t="shared" si="4"/>
        <v>30671.560000000012</v>
      </c>
      <c r="E26" s="20">
        <f t="shared" si="4"/>
        <v>36214.327600000019</v>
      </c>
      <c r="F26" s="20">
        <f t="shared" si="4"/>
        <v>41828.2788</v>
      </c>
      <c r="G26" s="20">
        <f t="shared" si="4"/>
        <v>47026.834800000004</v>
      </c>
      <c r="H26" s="20">
        <f t="shared" si="4"/>
        <v>51975.912400000008</v>
      </c>
      <c r="I26" s="20">
        <f t="shared" si="4"/>
        <v>56755.032400000011</v>
      </c>
      <c r="J26" s="20">
        <f t="shared" si="4"/>
        <v>61284.674000000021</v>
      </c>
      <c r="K26" s="20">
        <f t="shared" si="4"/>
        <v>65227.779200000034</v>
      </c>
      <c r="L26" s="20">
        <f t="shared" si="4"/>
        <v>69439.404800000018</v>
      </c>
      <c r="M26" s="20">
        <f t="shared" si="4"/>
        <v>73256.072000000015</v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5"/>
  <sheetViews>
    <sheetView workbookViewId="0">
      <selection activeCell="E9" sqref="E9"/>
    </sheetView>
  </sheetViews>
  <sheetFormatPr defaultRowHeight="15" x14ac:dyDescent="0.25"/>
  <cols>
    <col min="1" max="1" width="32" customWidth="1"/>
    <col min="2" max="2" width="15" customWidth="1"/>
    <col min="3" max="14" width="10" customWidth="1"/>
  </cols>
  <sheetData>
    <row r="1" spans="1:5" ht="21" customHeight="1" x14ac:dyDescent="0.35">
      <c r="A1" s="28" t="s">
        <v>215</v>
      </c>
      <c r="B1" s="29"/>
      <c r="C1" s="29"/>
      <c r="D1" s="29"/>
      <c r="E1" s="29"/>
    </row>
    <row r="3" spans="1:5" ht="18.75" customHeight="1" x14ac:dyDescent="0.3">
      <c r="A3" s="1" t="s">
        <v>216</v>
      </c>
    </row>
    <row r="4" spans="1:5" ht="15.75" customHeight="1" x14ac:dyDescent="0.25">
      <c r="A4" s="2" t="s">
        <v>139</v>
      </c>
      <c r="B4" s="2" t="s">
        <v>3</v>
      </c>
    </row>
    <row r="5" spans="1:5" x14ac:dyDescent="0.25">
      <c r="A5" s="3" t="s">
        <v>217</v>
      </c>
      <c r="B5" s="15">
        <f>SUM('Affiliate Projection'!B4:M4)</f>
        <v>1250</v>
      </c>
    </row>
    <row r="6" spans="1:5" x14ac:dyDescent="0.25">
      <c r="A6" s="3" t="s">
        <v>155</v>
      </c>
      <c r="B6" s="15">
        <f>SUM('Affiliate Projection'!B7:M7)</f>
        <v>995</v>
      </c>
    </row>
    <row r="7" spans="1:5" x14ac:dyDescent="0.25">
      <c r="A7" s="3" t="s">
        <v>218</v>
      </c>
      <c r="B7" s="15">
        <f>'Affiliate Projection'!M9</f>
        <v>755</v>
      </c>
    </row>
    <row r="8" spans="1:5" x14ac:dyDescent="0.25">
      <c r="A8" s="3" t="s">
        <v>159</v>
      </c>
      <c r="B8" s="15">
        <f>SUM('Affiliate Projection'!B10:M10)</f>
        <v>16647</v>
      </c>
    </row>
    <row r="9" spans="1:5" x14ac:dyDescent="0.25">
      <c r="A9" s="3"/>
    </row>
    <row r="10" spans="1:5" x14ac:dyDescent="0.25">
      <c r="A10" s="3" t="s">
        <v>188</v>
      </c>
      <c r="B10" s="19">
        <f>SUM(Revenue!B6:M6)</f>
        <v>1664700</v>
      </c>
    </row>
    <row r="11" spans="1:5" x14ac:dyDescent="0.25">
      <c r="A11" s="3" t="s">
        <v>192</v>
      </c>
      <c r="B11" s="19">
        <f>SUM(Revenue!B11:M11)</f>
        <v>1584794.4</v>
      </c>
    </row>
    <row r="12" spans="1:5" x14ac:dyDescent="0.25">
      <c r="A12" s="3"/>
    </row>
    <row r="13" spans="1:5" x14ac:dyDescent="0.25">
      <c r="A13" s="3" t="s">
        <v>200</v>
      </c>
      <c r="B13" s="19">
        <f>SUM(Costs!B9:M9)</f>
        <v>367148.37120000017</v>
      </c>
    </row>
    <row r="14" spans="1:5" x14ac:dyDescent="0.25">
      <c r="A14" s="3" t="s">
        <v>205</v>
      </c>
      <c r="B14" s="19">
        <f>SUM(Costs!B15:M15)</f>
        <v>154740</v>
      </c>
    </row>
    <row r="15" spans="1:5" x14ac:dyDescent="0.25">
      <c r="A15" s="3" t="s">
        <v>212</v>
      </c>
      <c r="B15" s="19">
        <f>SUM(Costs!B23:M23)</f>
        <v>58487.5</v>
      </c>
    </row>
    <row r="16" spans="1:5" x14ac:dyDescent="0.25">
      <c r="A16" s="3" t="s">
        <v>214</v>
      </c>
      <c r="B16" s="19">
        <f>SUM(Costs!B26:M26)</f>
        <v>580375.87120000017</v>
      </c>
    </row>
    <row r="19" spans="1:14" ht="18.75" customHeight="1" x14ac:dyDescent="0.3">
      <c r="A19" s="1" t="s">
        <v>219</v>
      </c>
    </row>
    <row r="20" spans="1:14" ht="15.75" customHeight="1" x14ac:dyDescent="0.25">
      <c r="A20" s="2" t="s">
        <v>139</v>
      </c>
      <c r="B20" s="2" t="s">
        <v>3</v>
      </c>
    </row>
    <row r="21" spans="1:14" x14ac:dyDescent="0.25">
      <c r="A21" s="3" t="s">
        <v>220</v>
      </c>
      <c r="B21" s="13">
        <f>IF(B11&gt;0,B13/B11,0)</f>
        <v>0.23166940216346057</v>
      </c>
    </row>
    <row r="22" spans="1:14" x14ac:dyDescent="0.25">
      <c r="A22" s="3" t="s">
        <v>221</v>
      </c>
      <c r="B22" s="13">
        <f>IF(B11&gt;0,B16/B11,0)</f>
        <v>0.36621524609122813</v>
      </c>
    </row>
    <row r="23" spans="1:14" x14ac:dyDescent="0.25">
      <c r="A23" s="3" t="s">
        <v>222</v>
      </c>
      <c r="B23" s="14">
        <f>IF(B6&gt;0,B16/B6,0)</f>
        <v>583.29233286432179</v>
      </c>
    </row>
    <row r="24" spans="1:14" x14ac:dyDescent="0.25">
      <c r="A24" s="3" t="s">
        <v>223</v>
      </c>
      <c r="B24" s="14">
        <f>IF(B6&gt;0,B11/B6,0)</f>
        <v>1592.7581909547737</v>
      </c>
    </row>
    <row r="25" spans="1:14" x14ac:dyDescent="0.25">
      <c r="A25" s="3" t="s">
        <v>224</v>
      </c>
      <c r="B25" s="13">
        <f>IF(B5&gt;0,B6/B5,0)</f>
        <v>0.79600000000000004</v>
      </c>
    </row>
    <row r="26" spans="1:14" x14ac:dyDescent="0.25">
      <c r="A26" s="3" t="s">
        <v>225</v>
      </c>
      <c r="B26" s="13">
        <f>SUMPRODUCT('VIP Levels'!$D$5:$D$9,Inputs!$B$34:$B$38)</f>
        <v>0.11799999999999999</v>
      </c>
    </row>
    <row r="29" spans="1:14" ht="18.75" customHeight="1" x14ac:dyDescent="0.3">
      <c r="A29" s="1" t="s">
        <v>226</v>
      </c>
    </row>
    <row r="30" spans="1:14" ht="15.75" customHeight="1" x14ac:dyDescent="0.25">
      <c r="A30" s="2" t="s">
        <v>139</v>
      </c>
      <c r="B30" s="2" t="s">
        <v>227</v>
      </c>
      <c r="C30" s="2" t="s">
        <v>228</v>
      </c>
      <c r="D30" s="2" t="s">
        <v>229</v>
      </c>
      <c r="E30" s="2" t="s">
        <v>230</v>
      </c>
      <c r="F30" s="2" t="s">
        <v>231</v>
      </c>
      <c r="G30" s="2" t="s">
        <v>232</v>
      </c>
      <c r="H30" s="2" t="s">
        <v>233</v>
      </c>
      <c r="I30" s="2" t="s">
        <v>234</v>
      </c>
      <c r="J30" s="2" t="s">
        <v>235</v>
      </c>
      <c r="K30" s="2" t="s">
        <v>236</v>
      </c>
      <c r="L30" s="2" t="s">
        <v>237</v>
      </c>
      <c r="M30" s="2" t="s">
        <v>238</v>
      </c>
      <c r="N30" s="2" t="s">
        <v>239</v>
      </c>
    </row>
    <row r="31" spans="1:14" x14ac:dyDescent="0.25">
      <c r="A31" s="3" t="s">
        <v>240</v>
      </c>
      <c r="B31" s="15">
        <f>'Affiliate Projection'!B9</f>
        <v>115</v>
      </c>
      <c r="C31" s="15">
        <f>'Affiliate Projection'!C9</f>
        <v>189</v>
      </c>
      <c r="D31" s="15">
        <f>'Affiliate Projection'!D9</f>
        <v>260</v>
      </c>
      <c r="E31" s="15">
        <f>'Affiliate Projection'!E9</f>
        <v>327</v>
      </c>
      <c r="F31" s="15">
        <f>'Affiliate Projection'!F9</f>
        <v>391</v>
      </c>
      <c r="G31" s="15">
        <f>'Affiliate Projection'!G9</f>
        <v>451</v>
      </c>
      <c r="H31" s="15">
        <f>'Affiliate Projection'!H9</f>
        <v>508</v>
      </c>
      <c r="I31" s="15">
        <f>'Affiliate Projection'!I9</f>
        <v>563</v>
      </c>
      <c r="J31" s="15">
        <f>'Affiliate Projection'!J9</f>
        <v>615</v>
      </c>
      <c r="K31" s="15">
        <f>'Affiliate Projection'!K9</f>
        <v>664</v>
      </c>
      <c r="L31" s="15">
        <f>'Affiliate Projection'!L9</f>
        <v>711</v>
      </c>
      <c r="M31" s="15">
        <f>'Affiliate Projection'!M9</f>
        <v>755</v>
      </c>
      <c r="N31" s="15">
        <f>M31</f>
        <v>755</v>
      </c>
    </row>
    <row r="32" spans="1:14" x14ac:dyDescent="0.25">
      <c r="A32" s="3" t="s">
        <v>159</v>
      </c>
      <c r="B32" s="15">
        <f>'Affiliate Projection'!B10</f>
        <v>345</v>
      </c>
      <c r="C32" s="15">
        <f>'Affiliate Projection'!C10</f>
        <v>567</v>
      </c>
      <c r="D32" s="15">
        <f>'Affiliate Projection'!D10</f>
        <v>780</v>
      </c>
      <c r="E32" s="15">
        <f>'Affiliate Projection'!E10</f>
        <v>981</v>
      </c>
      <c r="F32" s="15">
        <f>'Affiliate Projection'!F10</f>
        <v>1173</v>
      </c>
      <c r="G32" s="15">
        <f>'Affiliate Projection'!G10</f>
        <v>1353</v>
      </c>
      <c r="H32" s="15">
        <f>'Affiliate Projection'!H10</f>
        <v>1524</v>
      </c>
      <c r="I32" s="15">
        <f>'Affiliate Projection'!I10</f>
        <v>1689</v>
      </c>
      <c r="J32" s="15">
        <f>'Affiliate Projection'!J10</f>
        <v>1845</v>
      </c>
      <c r="K32" s="15">
        <f>'Affiliate Projection'!K10</f>
        <v>1992</v>
      </c>
      <c r="L32" s="15">
        <f>'Affiliate Projection'!L10</f>
        <v>2133</v>
      </c>
      <c r="M32" s="15">
        <f>'Affiliate Projection'!M10</f>
        <v>2265</v>
      </c>
      <c r="N32" s="15">
        <f>SUM(B32:M32)</f>
        <v>16647</v>
      </c>
    </row>
    <row r="33" spans="1:14" x14ac:dyDescent="0.25">
      <c r="A33" s="3" t="s">
        <v>192</v>
      </c>
      <c r="B33" s="19">
        <f>Revenue!B11</f>
        <v>32843.999999999993</v>
      </c>
      <c r="C33" s="19">
        <f>Revenue!C11</f>
        <v>53978.399999999994</v>
      </c>
      <c r="D33" s="19">
        <f>Revenue!D11</f>
        <v>74255.999999999985</v>
      </c>
      <c r="E33" s="19">
        <f>Revenue!E11</f>
        <v>93391.199999999983</v>
      </c>
      <c r="F33" s="19">
        <f>Revenue!F11</f>
        <v>111669.59999999999</v>
      </c>
      <c r="G33" s="19">
        <f>Revenue!G11</f>
        <v>128805.59999999999</v>
      </c>
      <c r="H33" s="19">
        <f>Revenue!H11</f>
        <v>145084.79999999999</v>
      </c>
      <c r="I33" s="19">
        <f>Revenue!I11</f>
        <v>160792.79999999999</v>
      </c>
      <c r="J33" s="19">
        <f>Revenue!J11</f>
        <v>175643.99999999997</v>
      </c>
      <c r="K33" s="19">
        <f>Revenue!K11</f>
        <v>189638.39999999997</v>
      </c>
      <c r="L33" s="19">
        <f>Revenue!L11</f>
        <v>203061.59999999998</v>
      </c>
      <c r="M33" s="19">
        <f>Revenue!M11</f>
        <v>215627.99999999997</v>
      </c>
      <c r="N33" s="19">
        <f>SUM(B33:M33)</f>
        <v>1584794.4</v>
      </c>
    </row>
    <row r="34" spans="1:14" x14ac:dyDescent="0.25">
      <c r="A34" s="3" t="s">
        <v>214</v>
      </c>
      <c r="B34" s="19">
        <f>Costs!B26</f>
        <v>17243.042000000009</v>
      </c>
      <c r="C34" s="19">
        <f>Costs!C26</f>
        <v>29452.953200000004</v>
      </c>
      <c r="D34" s="19">
        <f>Costs!D26</f>
        <v>30671.560000000012</v>
      </c>
      <c r="E34" s="19">
        <f>Costs!E26</f>
        <v>36214.327600000019</v>
      </c>
      <c r="F34" s="19">
        <f>Costs!F26</f>
        <v>41828.2788</v>
      </c>
      <c r="G34" s="19">
        <f>Costs!G26</f>
        <v>47026.834800000004</v>
      </c>
      <c r="H34" s="19">
        <f>Costs!H26</f>
        <v>51975.912400000008</v>
      </c>
      <c r="I34" s="19">
        <f>Costs!I26</f>
        <v>56755.032400000011</v>
      </c>
      <c r="J34" s="19">
        <f>Costs!J26</f>
        <v>61284.674000000021</v>
      </c>
      <c r="K34" s="19">
        <f>Costs!K26</f>
        <v>65227.779200000034</v>
      </c>
      <c r="L34" s="19">
        <f>Costs!L26</f>
        <v>69439.404800000018</v>
      </c>
      <c r="M34" s="19">
        <f>Costs!M26</f>
        <v>73256.072000000015</v>
      </c>
      <c r="N34" s="19">
        <f>SUM(B34:M34)</f>
        <v>580375.87120000017</v>
      </c>
    </row>
    <row r="35" spans="1:14" x14ac:dyDescent="0.25">
      <c r="A35" s="3" t="s">
        <v>241</v>
      </c>
      <c r="B35" s="13">
        <f t="shared" ref="B35:N35" si="0">IF(B33&gt;0,B34/B33,0)</f>
        <v>0.52499823407623958</v>
      </c>
      <c r="C35" s="13">
        <f t="shared" si="0"/>
        <v>0.54564331658589371</v>
      </c>
      <c r="D35" s="13">
        <f t="shared" si="0"/>
        <v>0.41305160525748785</v>
      </c>
      <c r="E35" s="13">
        <f t="shared" si="0"/>
        <v>0.38777023531125016</v>
      </c>
      <c r="F35" s="13">
        <f t="shared" si="0"/>
        <v>0.37457176169700618</v>
      </c>
      <c r="G35" s="13">
        <f t="shared" si="0"/>
        <v>0.36509930313588856</v>
      </c>
      <c r="H35" s="13">
        <f t="shared" si="0"/>
        <v>0.35824505668409107</v>
      </c>
      <c r="I35" s="13">
        <f t="shared" si="0"/>
        <v>0.35296998621828846</v>
      </c>
      <c r="J35" s="13">
        <f t="shared" si="0"/>
        <v>0.34891413313292813</v>
      </c>
      <c r="K35" s="13">
        <f t="shared" si="0"/>
        <v>0.34395870878471896</v>
      </c>
      <c r="L35" s="13">
        <f t="shared" si="0"/>
        <v>0.34196226563761944</v>
      </c>
      <c r="M35" s="13">
        <f t="shared" si="0"/>
        <v>0.33973357819949185</v>
      </c>
      <c r="N35" s="13">
        <f t="shared" si="0"/>
        <v>0.36621524609122813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Inputs</vt:lpstr>
      <vt:lpstr>VIP Levels</vt:lpstr>
      <vt:lpstr>Missions</vt:lpstr>
      <vt:lpstr>Affiliate Projection</vt:lpstr>
      <vt:lpstr>Reward Triggers</vt:lpstr>
      <vt:lpstr>Revenue</vt:lpstr>
      <vt:lpstr>Costs</vt:lpstr>
      <vt:lpstr>Summary</vt:lpstr>
      <vt:lpstr>AffAttrition</vt:lpstr>
      <vt:lpstr>AvgAffSales</vt:lpstr>
      <vt:lpstr>SampleAffConv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Naupari</cp:lastModifiedBy>
  <dcterms:created xsi:type="dcterms:W3CDTF">2025-12-13T15:56:41Z</dcterms:created>
  <dcterms:modified xsi:type="dcterms:W3CDTF">2025-12-14T14:00:56Z</dcterms:modified>
</cp:coreProperties>
</file>