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67705AE4-96C0-4E11-BCF3-F2E47583A75E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Inputs" sheetId="1" r:id="rId1"/>
    <sheet name="VIP Levels" sheetId="2" r:id="rId2"/>
    <sheet name="Missions" sheetId="3" r:id="rId3"/>
    <sheet name="Affiliate Projection" sheetId="4" r:id="rId4"/>
    <sheet name="Revenue" sheetId="5" r:id="rId5"/>
    <sheet name="Costs" sheetId="6" r:id="rId6"/>
    <sheet name="Summary" sheetId="7" r:id="rId7"/>
    <sheet name="Scenarios (Sc)" sheetId="8" r:id="rId8"/>
    <sheet name="TestSc" sheetId="9" r:id="rId9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11" i="8"/>
  <c r="B17" i="5"/>
  <c r="B18" i="5" s="1"/>
  <c r="B19" i="5" s="1"/>
  <c r="D45" i="9"/>
  <c r="C45" i="9"/>
  <c r="B45" i="9"/>
  <c r="AI34" i="9"/>
  <c r="AH34" i="9"/>
  <c r="AF34" i="9"/>
  <c r="Y34" i="9"/>
  <c r="X34" i="9"/>
  <c r="K34" i="9"/>
  <c r="J34" i="9"/>
  <c r="I34" i="9"/>
  <c r="H34" i="9"/>
  <c r="G34" i="9"/>
  <c r="AO33" i="9"/>
  <c r="AN33" i="9"/>
  <c r="AM33" i="9"/>
  <c r="AL33" i="9"/>
  <c r="AK33" i="9"/>
  <c r="AJ33" i="9"/>
  <c r="AI33" i="9"/>
  <c r="AH33" i="9"/>
  <c r="AG33" i="9"/>
  <c r="AF33" i="9"/>
  <c r="AE33" i="9"/>
  <c r="AD33" i="9"/>
  <c r="AA33" i="9"/>
  <c r="Z33" i="9"/>
  <c r="Y33" i="9"/>
  <c r="X33" i="9"/>
  <c r="W33" i="9"/>
  <c r="W34" i="9" s="1"/>
  <c r="V33" i="9"/>
  <c r="V34" i="9" s="1"/>
  <c r="U33" i="9"/>
  <c r="T33" i="9"/>
  <c r="S33" i="9"/>
  <c r="R33" i="9"/>
  <c r="Q33" i="9"/>
  <c r="P33" i="9"/>
  <c r="M33" i="9"/>
  <c r="L33" i="9"/>
  <c r="K33" i="9"/>
  <c r="J33" i="9"/>
  <c r="I33" i="9"/>
  <c r="H33" i="9"/>
  <c r="G33" i="9"/>
  <c r="F33" i="9"/>
  <c r="E33" i="9"/>
  <c r="D33" i="9"/>
  <c r="C33" i="9"/>
  <c r="B33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A32" i="9"/>
  <c r="Z32" i="9"/>
  <c r="Y32" i="9"/>
  <c r="X32" i="9"/>
  <c r="W32" i="9"/>
  <c r="V32" i="9"/>
  <c r="U32" i="9"/>
  <c r="T32" i="9"/>
  <c r="S32" i="9"/>
  <c r="R32" i="9"/>
  <c r="Q32" i="9"/>
  <c r="P32" i="9"/>
  <c r="M32" i="9"/>
  <c r="L32" i="9"/>
  <c r="K32" i="9"/>
  <c r="J32" i="9"/>
  <c r="I32" i="9"/>
  <c r="H32" i="9"/>
  <c r="G32" i="9"/>
  <c r="F32" i="9"/>
  <c r="E32" i="9"/>
  <c r="D32" i="9"/>
  <c r="C32" i="9"/>
  <c r="B32" i="9"/>
  <c r="AO31" i="9"/>
  <c r="AO34" i="9" s="1"/>
  <c r="AN31" i="9"/>
  <c r="AN34" i="9" s="1"/>
  <c r="AM31" i="9"/>
  <c r="AM34" i="9" s="1"/>
  <c r="AL31" i="9"/>
  <c r="AK31" i="9"/>
  <c r="AJ31" i="9"/>
  <c r="AI31" i="9"/>
  <c r="AH31" i="9"/>
  <c r="AG31" i="9"/>
  <c r="AF31" i="9"/>
  <c r="AE31" i="9"/>
  <c r="AD31" i="9"/>
  <c r="AA31" i="9"/>
  <c r="Z31" i="9"/>
  <c r="Y31" i="9"/>
  <c r="X31" i="9"/>
  <c r="W31" i="9"/>
  <c r="V31" i="9"/>
  <c r="U31" i="9"/>
  <c r="T31" i="9"/>
  <c r="S31" i="9"/>
  <c r="S34" i="9" s="1"/>
  <c r="R31" i="9"/>
  <c r="R34" i="9" s="1"/>
  <c r="Q31" i="9"/>
  <c r="Q34" i="9" s="1"/>
  <c r="P31" i="9"/>
  <c r="P34" i="9" s="1"/>
  <c r="M31" i="9"/>
  <c r="L31" i="9"/>
  <c r="K31" i="9"/>
  <c r="J31" i="9"/>
  <c r="I31" i="9"/>
  <c r="H31" i="9"/>
  <c r="G31" i="9"/>
  <c r="F31" i="9"/>
  <c r="E31" i="9"/>
  <c r="D31" i="9"/>
  <c r="C31" i="9"/>
  <c r="B31" i="9"/>
  <c r="AO30" i="9"/>
  <c r="AN30" i="9"/>
  <c r="AM30" i="9"/>
  <c r="AL30" i="9"/>
  <c r="AK30" i="9"/>
  <c r="AJ30" i="9"/>
  <c r="AJ34" i="9" s="1"/>
  <c r="AI30" i="9"/>
  <c r="AH30" i="9"/>
  <c r="AG30" i="9"/>
  <c r="AF30" i="9"/>
  <c r="AE30" i="9"/>
  <c r="AD30" i="9"/>
  <c r="AA30" i="9"/>
  <c r="Z30" i="9"/>
  <c r="Y30" i="9"/>
  <c r="X30" i="9"/>
  <c r="W30" i="9"/>
  <c r="V30" i="9"/>
  <c r="U30" i="9"/>
  <c r="U34" i="9" s="1"/>
  <c r="T30" i="9"/>
  <c r="T34" i="9" s="1"/>
  <c r="S30" i="9"/>
  <c r="R30" i="9"/>
  <c r="Q30" i="9"/>
  <c r="P30" i="9"/>
  <c r="M30" i="9"/>
  <c r="L30" i="9"/>
  <c r="K30" i="9"/>
  <c r="J30" i="9"/>
  <c r="I30" i="9"/>
  <c r="H30" i="9"/>
  <c r="G30" i="9"/>
  <c r="F30" i="9"/>
  <c r="F34" i="9" s="1"/>
  <c r="E30" i="9"/>
  <c r="D30" i="9"/>
  <c r="C30" i="9"/>
  <c r="B30" i="9"/>
  <c r="D25" i="9"/>
  <c r="C25" i="9"/>
  <c r="B25" i="9"/>
  <c r="D17" i="9"/>
  <c r="C17" i="9"/>
  <c r="B17" i="9"/>
  <c r="D8" i="9"/>
  <c r="C8" i="9"/>
  <c r="D7" i="9"/>
  <c r="D46" i="9" s="1"/>
  <c r="C7" i="9"/>
  <c r="C46" i="9" s="1"/>
  <c r="B7" i="9"/>
  <c r="B46" i="9" s="1"/>
  <c r="N42" i="8"/>
  <c r="N41" i="8"/>
  <c r="N40" i="8"/>
  <c r="N39" i="8"/>
  <c r="N33" i="8"/>
  <c r="N32" i="8"/>
  <c r="N31" i="8"/>
  <c r="N30" i="8"/>
  <c r="N24" i="8"/>
  <c r="N23" i="8"/>
  <c r="M8" i="8"/>
  <c r="M9" i="8" s="1"/>
  <c r="L8" i="8"/>
  <c r="L9" i="8" s="1"/>
  <c r="K8" i="8"/>
  <c r="K9" i="8" s="1"/>
  <c r="J8" i="8"/>
  <c r="J9" i="8" s="1"/>
  <c r="I8" i="8"/>
  <c r="I9" i="8" s="1"/>
  <c r="H8" i="8"/>
  <c r="H9" i="8" s="1"/>
  <c r="G8" i="8"/>
  <c r="G9" i="8" s="1"/>
  <c r="F8" i="8"/>
  <c r="F9" i="8" s="1"/>
  <c r="E8" i="8"/>
  <c r="E9" i="8" s="1"/>
  <c r="D8" i="8"/>
  <c r="D9" i="8" s="1"/>
  <c r="C8" i="8"/>
  <c r="C9" i="8" s="1"/>
  <c r="B8" i="8"/>
  <c r="B9" i="8" s="1"/>
  <c r="M6" i="8"/>
  <c r="M7" i="8" s="1"/>
  <c r="L6" i="8"/>
  <c r="L7" i="8" s="1"/>
  <c r="K6" i="8"/>
  <c r="K7" i="8" s="1"/>
  <c r="J6" i="8"/>
  <c r="J7" i="8" s="1"/>
  <c r="I6" i="8"/>
  <c r="I7" i="8" s="1"/>
  <c r="H6" i="8"/>
  <c r="H7" i="8" s="1"/>
  <c r="G6" i="8"/>
  <c r="G7" i="8" s="1"/>
  <c r="F6" i="8"/>
  <c r="F7" i="8" s="1"/>
  <c r="E6" i="8"/>
  <c r="E7" i="8" s="1"/>
  <c r="D6" i="8"/>
  <c r="D7" i="8" s="1"/>
  <c r="C6" i="8"/>
  <c r="C7" i="8" s="1"/>
  <c r="B6" i="8"/>
  <c r="D28" i="6"/>
  <c r="C28" i="6"/>
  <c r="B28" i="6"/>
  <c r="M5" i="5"/>
  <c r="L5" i="5"/>
  <c r="K5" i="5"/>
  <c r="J5" i="5"/>
  <c r="I5" i="5"/>
  <c r="H5" i="5"/>
  <c r="G5" i="5"/>
  <c r="F5" i="5"/>
  <c r="E5" i="5"/>
  <c r="D5" i="5"/>
  <c r="C5" i="5"/>
  <c r="B5" i="5"/>
  <c r="M19" i="4"/>
  <c r="K19" i="4"/>
  <c r="D19" i="4"/>
  <c r="C19" i="4"/>
  <c r="B19" i="4"/>
  <c r="M7" i="4"/>
  <c r="K7" i="4"/>
  <c r="D7" i="4"/>
  <c r="C7" i="4"/>
  <c r="M6" i="4"/>
  <c r="L6" i="4"/>
  <c r="K6" i="4"/>
  <c r="J6" i="4"/>
  <c r="I6" i="4"/>
  <c r="H6" i="4"/>
  <c r="G6" i="4"/>
  <c r="F6" i="4"/>
  <c r="E6" i="4"/>
  <c r="D6" i="4"/>
  <c r="C6" i="4"/>
  <c r="B6" i="4"/>
  <c r="M5" i="4"/>
  <c r="L5" i="4"/>
  <c r="L7" i="4" s="1"/>
  <c r="L19" i="4" s="1"/>
  <c r="D5" i="4"/>
  <c r="C5" i="4"/>
  <c r="B5" i="4" a="1"/>
  <c r="B5" i="4" s="1"/>
  <c r="B7" i="4" s="1"/>
  <c r="B8" i="4" s="1"/>
  <c r="M4" i="4"/>
  <c r="M28" i="6" s="1"/>
  <c r="L4" i="4"/>
  <c r="L28" i="6" s="1"/>
  <c r="K4" i="4"/>
  <c r="K5" i="4" s="1"/>
  <c r="J4" i="4"/>
  <c r="I4" i="4"/>
  <c r="I5" i="4" s="1"/>
  <c r="I7" i="4" s="1"/>
  <c r="I19" i="4" s="1"/>
  <c r="H4" i="4"/>
  <c r="G4" i="4"/>
  <c r="F4" i="4"/>
  <c r="E4" i="4"/>
  <c r="D4" i="4"/>
  <c r="C4" i="4"/>
  <c r="B4" i="4"/>
  <c r="J26" i="3"/>
  <c r="J25" i="3"/>
  <c r="J24" i="3"/>
  <c r="J23" i="3"/>
  <c r="J22" i="3"/>
  <c r="J21" i="3"/>
  <c r="J20" i="3"/>
  <c r="J19" i="3"/>
  <c r="J18" i="3"/>
  <c r="J17" i="3"/>
  <c r="J16" i="3"/>
  <c r="J14" i="3"/>
  <c r="J13" i="3"/>
  <c r="J11" i="3"/>
  <c r="J10" i="3"/>
  <c r="J8" i="3"/>
  <c r="J7" i="3"/>
  <c r="J6" i="3"/>
  <c r="J5" i="3"/>
  <c r="R19" i="1"/>
  <c r="Q19" i="1"/>
  <c r="P19" i="1"/>
  <c r="O19" i="1"/>
  <c r="N19" i="1"/>
  <c r="M19" i="1"/>
  <c r="L19" i="1"/>
  <c r="K19" i="1"/>
  <c r="J19" i="1"/>
  <c r="I19" i="1"/>
  <c r="H19" i="1"/>
  <c r="G19" i="1"/>
  <c r="R18" i="1"/>
  <c r="Q18" i="1"/>
  <c r="P18" i="1"/>
  <c r="O18" i="1"/>
  <c r="N18" i="1"/>
  <c r="M18" i="1"/>
  <c r="L18" i="1"/>
  <c r="K18" i="1"/>
  <c r="J18" i="1"/>
  <c r="I18" i="1"/>
  <c r="H18" i="1"/>
  <c r="G18" i="1"/>
  <c r="R17" i="1"/>
  <c r="Q17" i="1"/>
  <c r="P17" i="1"/>
  <c r="O17" i="1"/>
  <c r="N17" i="1"/>
  <c r="M17" i="1"/>
  <c r="L17" i="1"/>
  <c r="K17" i="1"/>
  <c r="J17" i="1"/>
  <c r="I17" i="1"/>
  <c r="H17" i="1"/>
  <c r="G17" i="1"/>
  <c r="R16" i="1"/>
  <c r="Q16" i="1"/>
  <c r="P16" i="1"/>
  <c r="O16" i="1"/>
  <c r="N16" i="1"/>
  <c r="M16" i="1"/>
  <c r="L16" i="1"/>
  <c r="K16" i="1"/>
  <c r="J16" i="1"/>
  <c r="I16" i="1"/>
  <c r="H16" i="1"/>
  <c r="G16" i="1"/>
  <c r="R11" i="1"/>
  <c r="Q11" i="1"/>
  <c r="P11" i="1"/>
  <c r="O11" i="1"/>
  <c r="N11" i="1"/>
  <c r="M11" i="1"/>
  <c r="L11" i="1"/>
  <c r="K11" i="1"/>
  <c r="J11" i="1"/>
  <c r="I11" i="1"/>
  <c r="H11" i="1"/>
  <c r="G11" i="1"/>
  <c r="B13" i="8" l="1"/>
  <c r="D9" i="9"/>
  <c r="D48" i="9" s="1"/>
  <c r="D47" i="9"/>
  <c r="G28" i="6"/>
  <c r="G5" i="4"/>
  <c r="G7" i="4" s="1"/>
  <c r="G19" i="4" s="1"/>
  <c r="B14" i="4"/>
  <c r="B20" i="4" s="1"/>
  <c r="B17" i="4"/>
  <c r="B23" i="4" s="1"/>
  <c r="C8" i="4"/>
  <c r="B16" i="4"/>
  <c r="B22" i="4" s="1"/>
  <c r="B13" i="4"/>
  <c r="B4" i="7"/>
  <c r="F28" i="6"/>
  <c r="F5" i="4"/>
  <c r="F7" i="4" s="1"/>
  <c r="F19" i="4" s="1"/>
  <c r="H28" i="6"/>
  <c r="H5" i="4"/>
  <c r="H7" i="4" s="1"/>
  <c r="H19" i="4" s="1"/>
  <c r="M7" i="5"/>
  <c r="L7" i="5"/>
  <c r="K7" i="5"/>
  <c r="J7" i="5"/>
  <c r="I7" i="5"/>
  <c r="G7" i="5"/>
  <c r="F7" i="5"/>
  <c r="H7" i="5"/>
  <c r="E7" i="5"/>
  <c r="B7" i="5"/>
  <c r="D7" i="5"/>
  <c r="C7" i="5"/>
  <c r="C9" i="9"/>
  <c r="C48" i="9" s="1"/>
  <c r="C47" i="9"/>
  <c r="B15" i="4"/>
  <c r="B21" i="4" s="1"/>
  <c r="I28" i="6"/>
  <c r="E5" i="4"/>
  <c r="E7" i="4" s="1"/>
  <c r="E19" i="4" s="1"/>
  <c r="E28" i="6"/>
  <c r="AL34" i="9"/>
  <c r="D34" i="9"/>
  <c r="B15" i="8"/>
  <c r="AG34" i="9"/>
  <c r="B27" i="6"/>
  <c r="AD34" i="9"/>
  <c r="E34" i="9"/>
  <c r="L34" i="9"/>
  <c r="J5" i="4"/>
  <c r="J7" i="4" s="1"/>
  <c r="J19" i="4" s="1"/>
  <c r="J28" i="6"/>
  <c r="AK34" i="9"/>
  <c r="B7" i="8"/>
  <c r="B14" i="8" s="1"/>
  <c r="M34" i="9"/>
  <c r="AE34" i="9"/>
  <c r="B16" i="8"/>
  <c r="B8" i="9"/>
  <c r="B34" i="9"/>
  <c r="Z34" i="9"/>
  <c r="K28" i="6"/>
  <c r="C34" i="9"/>
  <c r="AA34" i="9"/>
  <c r="B11" i="4" l="1"/>
  <c r="B26" i="6"/>
  <c r="B8" i="6"/>
  <c r="B18" i="7" s="1"/>
  <c r="B24" i="6"/>
  <c r="B13" i="6"/>
  <c r="B12" i="7" s="1"/>
  <c r="B6" i="6"/>
  <c r="B10" i="7" s="1"/>
  <c r="J15" i="3"/>
  <c r="J12" i="3"/>
  <c r="J9" i="3"/>
  <c r="C14" i="4"/>
  <c r="C20" i="4" s="1"/>
  <c r="D8" i="4"/>
  <c r="C4" i="7"/>
  <c r="C13" i="4"/>
  <c r="C17" i="4"/>
  <c r="C23" i="4" s="1"/>
  <c r="C16" i="4"/>
  <c r="C22" i="4" s="1"/>
  <c r="C15" i="4"/>
  <c r="C21" i="4" s="1"/>
  <c r="B9" i="9"/>
  <c r="B48" i="9" s="1"/>
  <c r="B47" i="9"/>
  <c r="B10" i="4"/>
  <c r="B9" i="4" l="1"/>
  <c r="B4" i="5" s="1"/>
  <c r="B5" i="7"/>
  <c r="D14" i="4"/>
  <c r="D20" i="4" s="1"/>
  <c r="D17" i="4"/>
  <c r="D23" i="4" s="1"/>
  <c r="D16" i="4"/>
  <c r="D22" i="4" s="1"/>
  <c r="E8" i="4"/>
  <c r="D4" i="7"/>
  <c r="D13" i="4"/>
  <c r="D15" i="4"/>
  <c r="D21" i="4" s="1"/>
  <c r="C8" i="6"/>
  <c r="C18" i="7" s="1"/>
  <c r="C6" i="6"/>
  <c r="C10" i="7" s="1"/>
  <c r="C13" i="6"/>
  <c r="C26" i="6"/>
  <c r="C24" i="6"/>
  <c r="C11" i="4"/>
  <c r="C27" i="6"/>
  <c r="C10" i="4"/>
  <c r="C14" i="6"/>
  <c r="C13" i="7" s="1"/>
  <c r="C9" i="6"/>
  <c r="C19" i="7" s="1"/>
  <c r="C25" i="6"/>
  <c r="C7" i="6"/>
  <c r="C11" i="7" s="1"/>
  <c r="B9" i="6" a="1"/>
  <c r="B9" i="6" s="1"/>
  <c r="B19" i="7" s="1"/>
  <c r="B14" i="6" a="1"/>
  <c r="B14" i="6" s="1"/>
  <c r="B7" i="6" a="1"/>
  <c r="B7" i="6" s="1"/>
  <c r="B11" i="7" s="1"/>
  <c r="B25" i="6"/>
  <c r="B29" i="6" s="1"/>
  <c r="C29" i="6" l="1"/>
  <c r="C9" i="4"/>
  <c r="C12" i="7"/>
  <c r="C15" i="6"/>
  <c r="C16" i="6" s="1"/>
  <c r="D10" i="4"/>
  <c r="D14" i="6"/>
  <c r="D13" i="7" s="1"/>
  <c r="D25" i="6"/>
  <c r="D7" i="6"/>
  <c r="D11" i="7" s="1"/>
  <c r="D9" i="6"/>
  <c r="D19" i="7" s="1"/>
  <c r="D26" i="6"/>
  <c r="D11" i="4"/>
  <c r="D27" i="6"/>
  <c r="D24" i="6"/>
  <c r="D13" i="6"/>
  <c r="D8" i="6"/>
  <c r="D18" i="7" s="1"/>
  <c r="D6" i="6"/>
  <c r="D10" i="7" s="1"/>
  <c r="E14" i="4"/>
  <c r="E20" i="4" s="1"/>
  <c r="E17" i="4"/>
  <c r="E23" i="4" s="1"/>
  <c r="F8" i="4"/>
  <c r="E13" i="4"/>
  <c r="E4" i="7"/>
  <c r="E16" i="4"/>
  <c r="E22" i="4" s="1"/>
  <c r="E15" i="4"/>
  <c r="E21" i="4" s="1"/>
  <c r="B6" i="5"/>
  <c r="B8" i="5"/>
  <c r="B6" i="7" s="1"/>
  <c r="B13" i="7"/>
  <c r="B15" i="6"/>
  <c r="B20" i="7"/>
  <c r="B21" i="7" s="1"/>
  <c r="B16" i="6" l="1"/>
  <c r="E10" i="4"/>
  <c r="E9" i="6"/>
  <c r="E19" i="7" s="1"/>
  <c r="E7" i="6"/>
  <c r="E11" i="7" s="1"/>
  <c r="E25" i="6"/>
  <c r="E14" i="6"/>
  <c r="E13" i="7" s="1"/>
  <c r="F14" i="4"/>
  <c r="F20" i="4" s="1"/>
  <c r="F16" i="4"/>
  <c r="F22" i="4" s="1"/>
  <c r="G8" i="4"/>
  <c r="F4" i="7"/>
  <c r="F15" i="4"/>
  <c r="F21" i="4" s="1"/>
  <c r="F13" i="4"/>
  <c r="F17" i="4"/>
  <c r="F23" i="4" s="1"/>
  <c r="E26" i="6"/>
  <c r="E6" i="6"/>
  <c r="E10" i="7" s="1"/>
  <c r="E13" i="6"/>
  <c r="E27" i="6"/>
  <c r="E8" i="6"/>
  <c r="E18" i="7" s="1"/>
  <c r="E24" i="6"/>
  <c r="E11" i="4"/>
  <c r="D12" i="7"/>
  <c r="D15" i="6"/>
  <c r="D16" i="6" s="1"/>
  <c r="D29" i="6"/>
  <c r="D9" i="4"/>
  <c r="B5" i="6"/>
  <c r="C4" i="5"/>
  <c r="C5" i="7"/>
  <c r="E12" i="7" l="1"/>
  <c r="E15" i="6"/>
  <c r="E16" i="6" s="1"/>
  <c r="F10" i="4"/>
  <c r="F25" i="6"/>
  <c r="F7" i="6"/>
  <c r="F11" i="7" s="1"/>
  <c r="F14" i="6"/>
  <c r="F13" i="7" s="1"/>
  <c r="F9" i="6"/>
  <c r="F19" i="7" s="1"/>
  <c r="G16" i="4"/>
  <c r="G22" i="4" s="1"/>
  <c r="G14" i="4"/>
  <c r="G20" i="4" s="1"/>
  <c r="G15" i="4"/>
  <c r="G21" i="4" s="1"/>
  <c r="G13" i="4"/>
  <c r="G4" i="7"/>
  <c r="H8" i="4"/>
  <c r="G17" i="4"/>
  <c r="G23" i="4" s="1"/>
  <c r="C6" i="5"/>
  <c r="C8" i="5"/>
  <c r="E29" i="6"/>
  <c r="C20" i="7"/>
  <c r="C21" i="7" s="1"/>
  <c r="F24" i="6"/>
  <c r="F26" i="6"/>
  <c r="F6" i="6"/>
  <c r="F10" i="7" s="1"/>
  <c r="F8" i="6"/>
  <c r="F18" i="7" s="1"/>
  <c r="F13" i="6"/>
  <c r="F27" i="6"/>
  <c r="F11" i="4"/>
  <c r="B10" i="6"/>
  <c r="B9" i="7"/>
  <c r="B14" i="7" s="1"/>
  <c r="B15" i="7" s="1"/>
  <c r="D4" i="5"/>
  <c r="D5" i="7"/>
  <c r="E9" i="4"/>
  <c r="B21" i="6" l="1"/>
  <c r="D20" i="7"/>
  <c r="D21" i="7" s="1"/>
  <c r="D8" i="5"/>
  <c r="D6" i="5"/>
  <c r="F29" i="6"/>
  <c r="C5" i="6"/>
  <c r="C6" i="7"/>
  <c r="H14" i="4"/>
  <c r="H20" i="4" s="1"/>
  <c r="H16" i="4"/>
  <c r="H22" i="4" s="1"/>
  <c r="H15" i="4"/>
  <c r="H21" i="4" s="1"/>
  <c r="H4" i="7"/>
  <c r="H13" i="4"/>
  <c r="H17" i="4"/>
  <c r="H23" i="4" s="1"/>
  <c r="I8" i="4"/>
  <c r="G10" i="4"/>
  <c r="G25" i="6"/>
  <c r="G14" i="6"/>
  <c r="G13" i="7" s="1"/>
  <c r="G7" i="6"/>
  <c r="G11" i="7" s="1"/>
  <c r="G9" i="6"/>
  <c r="G19" i="7" s="1"/>
  <c r="E4" i="5"/>
  <c r="E5" i="7"/>
  <c r="G24" i="6"/>
  <c r="G13" i="6"/>
  <c r="G27" i="6"/>
  <c r="G11" i="4"/>
  <c r="G26" i="6"/>
  <c r="G8" i="6"/>
  <c r="G18" i="7" s="1"/>
  <c r="G6" i="6"/>
  <c r="G10" i="7" s="1"/>
  <c r="F9" i="4"/>
  <c r="F15" i="6"/>
  <c r="F16" i="6" s="1"/>
  <c r="F12" i="7"/>
  <c r="E20" i="7" l="1"/>
  <c r="E21" i="7" s="1"/>
  <c r="G29" i="6"/>
  <c r="E8" i="5"/>
  <c r="E6" i="5"/>
  <c r="D5" i="6"/>
  <c r="D6" i="7"/>
  <c r="G9" i="4"/>
  <c r="I17" i="4"/>
  <c r="I23" i="4" s="1"/>
  <c r="I16" i="4"/>
  <c r="I22" i="4" s="1"/>
  <c r="I14" i="4"/>
  <c r="I20" i="4" s="1"/>
  <c r="I4" i="7"/>
  <c r="I13" i="4"/>
  <c r="I15" i="4"/>
  <c r="I21" i="4" s="1"/>
  <c r="J8" i="4"/>
  <c r="H10" i="4"/>
  <c r="H14" i="6"/>
  <c r="H13" i="7" s="1"/>
  <c r="H25" i="6"/>
  <c r="H7" i="6"/>
  <c r="H11" i="7" s="1"/>
  <c r="H9" i="6"/>
  <c r="H19" i="7" s="1"/>
  <c r="H6" i="6"/>
  <c r="H10" i="7" s="1"/>
  <c r="H11" i="4"/>
  <c r="H13" i="6"/>
  <c r="H27" i="6"/>
  <c r="H24" i="6"/>
  <c r="H26" i="6"/>
  <c r="H8" i="6"/>
  <c r="H18" i="7" s="1"/>
  <c r="F5" i="7"/>
  <c r="F4" i="5"/>
  <c r="C9" i="7"/>
  <c r="C14" i="7" s="1"/>
  <c r="C15" i="7" s="1"/>
  <c r="C10" i="6"/>
  <c r="G15" i="6"/>
  <c r="G16" i="6" s="1"/>
  <c r="G12" i="7"/>
  <c r="C21" i="6" l="1"/>
  <c r="H9" i="4"/>
  <c r="J17" i="4"/>
  <c r="J23" i="4" s="1"/>
  <c r="J15" i="4"/>
  <c r="J21" i="4" s="1"/>
  <c r="J4" i="7"/>
  <c r="J14" i="4"/>
  <c r="J20" i="4" s="1"/>
  <c r="J16" i="4"/>
  <c r="J22" i="4" s="1"/>
  <c r="J13" i="4"/>
  <c r="K8" i="4"/>
  <c r="I10" i="4"/>
  <c r="I9" i="6"/>
  <c r="I19" i="7" s="1"/>
  <c r="I25" i="6"/>
  <c r="I14" i="6"/>
  <c r="I13" i="7" s="1"/>
  <c r="I7" i="6"/>
  <c r="I11" i="7" s="1"/>
  <c r="I13" i="6"/>
  <c r="I27" i="6"/>
  <c r="I24" i="6"/>
  <c r="I11" i="4"/>
  <c r="I26" i="6"/>
  <c r="I8" i="6"/>
  <c r="I18" i="7" s="1"/>
  <c r="I6" i="6"/>
  <c r="I10" i="7" s="1"/>
  <c r="G5" i="7"/>
  <c r="G4" i="5"/>
  <c r="F20" i="7"/>
  <c r="F21" i="7" s="1"/>
  <c r="D9" i="7"/>
  <c r="D14" i="7" s="1"/>
  <c r="D15" i="7" s="1"/>
  <c r="D10" i="6"/>
  <c r="D21" i="6" s="1"/>
  <c r="E5" i="6"/>
  <c r="E6" i="7"/>
  <c r="F8" i="5"/>
  <c r="F6" i="5"/>
  <c r="H29" i="6"/>
  <c r="H12" i="7"/>
  <c r="H15" i="6"/>
  <c r="H16" i="6" s="1"/>
  <c r="G8" i="5" l="1"/>
  <c r="G6" i="5"/>
  <c r="G20" i="7"/>
  <c r="G21" i="7" s="1"/>
  <c r="I12" i="7"/>
  <c r="I15" i="6"/>
  <c r="I16" i="6" s="1"/>
  <c r="I29" i="6"/>
  <c r="E9" i="7"/>
  <c r="E14" i="7" s="1"/>
  <c r="E15" i="7" s="1"/>
  <c r="E10" i="6"/>
  <c r="E21" i="6" s="1"/>
  <c r="I9" i="4"/>
  <c r="F5" i="6"/>
  <c r="F6" i="7"/>
  <c r="J24" i="6"/>
  <c r="J26" i="6"/>
  <c r="J13" i="6"/>
  <c r="J11" i="4"/>
  <c r="J27" i="6"/>
  <c r="J6" i="6"/>
  <c r="J10" i="7" s="1"/>
  <c r="J8" i="6"/>
  <c r="J18" i="7" s="1"/>
  <c r="K17" i="4"/>
  <c r="K23" i="4" s="1"/>
  <c r="K15" i="4"/>
  <c r="K21" i="4" s="1"/>
  <c r="L8" i="4"/>
  <c r="K16" i="4"/>
  <c r="K22" i="4" s="1"/>
  <c r="K13" i="4"/>
  <c r="K14" i="4"/>
  <c r="K20" i="4" s="1"/>
  <c r="K4" i="7"/>
  <c r="J10" i="4"/>
  <c r="J14" i="6"/>
  <c r="J13" i="7" s="1"/>
  <c r="J9" i="6"/>
  <c r="J19" i="7" s="1"/>
  <c r="J7" i="6"/>
  <c r="J11" i="7" s="1"/>
  <c r="J25" i="6"/>
  <c r="H5" i="7"/>
  <c r="H4" i="5"/>
  <c r="L15" i="4" l="1"/>
  <c r="L21" i="4" s="1"/>
  <c r="M8" i="4"/>
  <c r="L4" i="7"/>
  <c r="L14" i="4"/>
  <c r="L20" i="4" s="1"/>
  <c r="L16" i="4"/>
  <c r="L22" i="4" s="1"/>
  <c r="L13" i="4"/>
  <c r="L17" i="4"/>
  <c r="L23" i="4" s="1"/>
  <c r="J12" i="7"/>
  <c r="J15" i="6"/>
  <c r="J16" i="6" s="1"/>
  <c r="J29" i="6"/>
  <c r="H6" i="5"/>
  <c r="H8" i="5"/>
  <c r="F9" i="7"/>
  <c r="F14" i="7" s="1"/>
  <c r="F15" i="7" s="1"/>
  <c r="F10" i="6"/>
  <c r="F21" i="6" s="1"/>
  <c r="H20" i="7"/>
  <c r="H21" i="7" s="1"/>
  <c r="I5" i="7"/>
  <c r="I4" i="5"/>
  <c r="K11" i="4"/>
  <c r="K27" i="6"/>
  <c r="K13" i="6"/>
  <c r="K26" i="6"/>
  <c r="K8" i="6"/>
  <c r="K18" i="7" s="1"/>
  <c r="K24" i="6"/>
  <c r="K6" i="6"/>
  <c r="K10" i="7" s="1"/>
  <c r="J9" i="4"/>
  <c r="K10" i="4"/>
  <c r="K14" i="6"/>
  <c r="K13" i="7" s="1"/>
  <c r="K25" i="6"/>
  <c r="K7" i="6"/>
  <c r="K11" i="7" s="1"/>
  <c r="K9" i="6"/>
  <c r="K19" i="7" s="1"/>
  <c r="G5" i="6"/>
  <c r="G6" i="7"/>
  <c r="I20" i="7" l="1"/>
  <c r="I21" i="7" s="1"/>
  <c r="K12" i="7"/>
  <c r="K15" i="6"/>
  <c r="K16" i="6" s="1"/>
  <c r="I6" i="5"/>
  <c r="I8" i="5"/>
  <c r="H5" i="6"/>
  <c r="H6" i="7"/>
  <c r="G9" i="7"/>
  <c r="G14" i="7" s="1"/>
  <c r="G15" i="7" s="1"/>
  <c r="G10" i="6"/>
  <c r="G21" i="6" s="1"/>
  <c r="L27" i="6"/>
  <c r="L13" i="6"/>
  <c r="L26" i="6"/>
  <c r="L24" i="6"/>
  <c r="L11" i="4"/>
  <c r="L8" i="6"/>
  <c r="L18" i="7" s="1"/>
  <c r="L6" i="6"/>
  <c r="L10" i="7" s="1"/>
  <c r="L10" i="4"/>
  <c r="L25" i="6"/>
  <c r="L9" i="6"/>
  <c r="L19" i="7" s="1"/>
  <c r="L7" i="6"/>
  <c r="L11" i="7" s="1"/>
  <c r="L14" i="6"/>
  <c r="L13" i="7" s="1"/>
  <c r="K9" i="4"/>
  <c r="J5" i="7"/>
  <c r="J4" i="5"/>
  <c r="K29" i="6"/>
  <c r="M15" i="4"/>
  <c r="M21" i="4" s="1"/>
  <c r="M13" i="4"/>
  <c r="M4" i="7"/>
  <c r="M16" i="4"/>
  <c r="M22" i="4" s="1"/>
  <c r="M14" i="4"/>
  <c r="M20" i="4" s="1"/>
  <c r="M17" i="4"/>
  <c r="M23" i="4" s="1"/>
  <c r="L9" i="4" l="1"/>
  <c r="I6" i="7"/>
  <c r="I5" i="6"/>
  <c r="L29" i="6"/>
  <c r="L12" i="7"/>
  <c r="L15" i="6"/>
  <c r="L16" i="6" s="1"/>
  <c r="M26" i="6"/>
  <c r="M11" i="4"/>
  <c r="M24" i="6"/>
  <c r="M8" i="6"/>
  <c r="M18" i="7" s="1"/>
  <c r="M27" i="6"/>
  <c r="M13" i="6"/>
  <c r="M6" i="6"/>
  <c r="M10" i="7" s="1"/>
  <c r="H9" i="7"/>
  <c r="H14" i="7" s="1"/>
  <c r="H15" i="7" s="1"/>
  <c r="H10" i="6"/>
  <c r="H21" i="6" s="1"/>
  <c r="J20" i="7"/>
  <c r="J21" i="7" s="1"/>
  <c r="M10" i="4"/>
  <c r="M14" i="6"/>
  <c r="M13" i="7" s="1"/>
  <c r="M25" i="6"/>
  <c r="M7" i="6"/>
  <c r="M11" i="7" s="1"/>
  <c r="M9" i="6"/>
  <c r="M19" i="7" s="1"/>
  <c r="J6" i="5"/>
  <c r="J8" i="5"/>
  <c r="K5" i="7"/>
  <c r="K4" i="5"/>
  <c r="M9" i="4" l="1"/>
  <c r="M12" i="7"/>
  <c r="M15" i="6"/>
  <c r="M29" i="6"/>
  <c r="I9" i="7"/>
  <c r="I14" i="7" s="1"/>
  <c r="I15" i="7" s="1"/>
  <c r="I10" i="6"/>
  <c r="I21" i="6" s="1"/>
  <c r="K6" i="5"/>
  <c r="K8" i="5"/>
  <c r="K20" i="7"/>
  <c r="K21" i="7" s="1"/>
  <c r="J5" i="6"/>
  <c r="J6" i="7"/>
  <c r="L5" i="7"/>
  <c r="L4" i="5"/>
  <c r="M16" i="6" l="1"/>
  <c r="L6" i="5"/>
  <c r="L8" i="5"/>
  <c r="L20" i="7"/>
  <c r="L21" i="7" s="1"/>
  <c r="J10" i="6"/>
  <c r="J21" i="6" s="1"/>
  <c r="J9" i="7"/>
  <c r="J14" i="7" s="1"/>
  <c r="J15" i="7" s="1"/>
  <c r="K5" i="6"/>
  <c r="K6" i="7"/>
  <c r="M4" i="5"/>
  <c r="M5" i="7"/>
  <c r="M6" i="5" l="1"/>
  <c r="M8" i="5"/>
  <c r="M20" i="7"/>
  <c r="M21" i="7" s="1"/>
  <c r="K10" i="6"/>
  <c r="K21" i="6" s="1"/>
  <c r="K9" i="7"/>
  <c r="K14" i="7" s="1"/>
  <c r="K15" i="7" s="1"/>
  <c r="L5" i="6"/>
  <c r="L6" i="7"/>
  <c r="M5" i="6" l="1"/>
  <c r="M6" i="7"/>
  <c r="N6" i="7" s="1"/>
  <c r="L10" i="6"/>
  <c r="L21" i="6" s="1"/>
  <c r="L9" i="7"/>
  <c r="L14" i="7" s="1"/>
  <c r="L15" i="7" s="1"/>
  <c r="M9" i="7" l="1"/>
  <c r="M14" i="7" s="1"/>
  <c r="M15" i="7" s="1"/>
  <c r="M10" i="6"/>
  <c r="M21" i="6" l="1"/>
  <c r="O21" i="6" s="1"/>
</calcChain>
</file>

<file path=xl/sharedStrings.xml><?xml version="1.0" encoding="utf-8"?>
<sst xmlns="http://schemas.openxmlformats.org/spreadsheetml/2006/main" count="566" uniqueCount="213">
  <si>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</si>
  <si>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</si>
  <si>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</si>
  <si>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</si>
  <si>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</si>
  <si>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</si>
  <si>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</si>
  <si>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</si>
  <si>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</si>
  <si>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</si>
  <si>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</si>
  <si>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</si>
  <si>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</si>
  <si>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</si>
  <si>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</si>
  <si>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</si>
  <si>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</si>
  <si>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</si>
  <si>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</si>
  <si>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</si>
  <si>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</si>
  <si>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</si>
  <si>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</si>
  <si>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</si>
  <si>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</si>
  <si>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</si>
  <si>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</si>
  <si>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</si>
  <si>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</si>
  <si>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</si>
  <si>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</si>
  <si>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</si>
  <si>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</si>
  <si>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</si>
  <si>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</si>
  <si>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</si>
  <si>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</si>
  <si>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</si>
  <si>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</si>
  <si>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</si>
  <si>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</si>
  <si>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</si>
  <si>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</si>
  <si>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</si>
  <si>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</si>
  <si>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</si>
  <si>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</si>
  <si>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</si>
  <si>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</si>
  <si>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</si>
  <si>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</si>
  <si>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</si>
  <si>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</si>
  <si>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</si>
  <si>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</si>
  <si>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</si>
  <si>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</si>
  <si>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</si>
  <si>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Level #</t>
  </si>
  <si>
    <t>Sales Threshold</t>
  </si>
  <si>
    <t>Base Commission %</t>
  </si>
  <si>
    <t>WELCOME REWARDS</t>
  </si>
  <si>
    <t>--- Commission Boost ---</t>
  </si>
  <si>
    <t>--- Gift Card ---</t>
  </si>
  <si>
    <t>Quantity</t>
  </si>
  <si>
    <t>Value %</t>
  </si>
  <si>
    <t>Duration (Days)</t>
  </si>
  <si>
    <t>Value $</t>
  </si>
  <si>
    <t>Spark Ads Qty</t>
  </si>
  <si>
    <t>Spark Ads $</t>
  </si>
  <si>
    <t>--- Follower Discount  ---</t>
  </si>
  <si>
    <t>--- Physical Gift  ---</t>
  </si>
  <si>
    <t>--- Experience ---</t>
  </si>
  <si>
    <t>Experience Qty</t>
  </si>
  <si>
    <t>Experience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</si>
  <si>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</si>
  <si>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</si>
  <si>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</si>
  <si>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</si>
  <si>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</si>
  <si>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</si>
  <si>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</si>
  <si>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Type</t>
  </si>
  <si>
    <t>Reward Value</t>
  </si>
  <si>
    <t>Reward Duration</t>
  </si>
  <si>
    <t>Active?</t>
  </si>
  <si>
    <t>Cost per Completion</t>
  </si>
  <si>
    <t>Sales</t>
  </si>
  <si>
    <t>One-time</t>
  </si>
  <si>
    <t>Gift Card</t>
  </si>
  <si>
    <t>Yes</t>
  </si>
  <si>
    <t>Videos</t>
  </si>
  <si>
    <t>Views</t>
  </si>
  <si>
    <t>Discount</t>
  </si>
  <si>
    <t>Monthly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</si>
  <si>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</si>
  <si>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</si>
  <si>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</si>
  <si>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</si>
  <si>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</si>
  <si>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</si>
  <si>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</si>
  <si>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</si>
  <si>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</si>
  <si>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</si>
  <si>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</si>
  <si>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</si>
  <si>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</si>
  <si>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</si>
  <si>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</si>
  <si>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</si>
  <si>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</si>
  <si>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</si>
  <si>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</si>
  <si>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</si>
  <si>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</si>
  <si>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</si>
  <si>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</si>
  <si>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</si>
  <si>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</si>
  <si>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</si>
  <si>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</si>
  <si>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</si>
  <si>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</si>
  <si>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</si>
  <si>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FLASH SALE SETTINGS</t>
  </si>
  <si>
    <t>Duration (hours)</t>
  </si>
  <si>
    <t>Discount %</t>
  </si>
  <si>
    <t># per Month</t>
  </si>
  <si>
    <t>Flash Time %</t>
  </si>
  <si>
    <t>Effective Discount</t>
  </si>
  <si>
    <t>Net AOV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</si>
  <si>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</si>
  <si>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</si>
  <si>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</si>
  <si>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</si>
  <si>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</si>
  <si>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</si>
  <si>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</si>
  <si>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</si>
  <si>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</si>
  <si>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</si>
  <si>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</si>
  <si>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</si>
  <si>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</si>
  <si>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</si>
  <si>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</si>
  <si>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</si>
  <si>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</si>
  <si>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</si>
  <si>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</si>
  <si>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</si>
  <si>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</si>
  <si>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</si>
  <si>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</si>
  <si>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</si>
  <si>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</si>
  <si>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</si>
  <si>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</si>
  <si>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</si>
  <si>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</si>
  <si>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</si>
  <si>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</si>
  <si>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</si>
  <si>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</si>
  <si>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</si>
  <si>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</si>
  <si>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</si>
  <si>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</si>
  <si>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</si>
  <si>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</si>
  <si>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</si>
  <si>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</si>
  <si>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SCENARIO COMPARISON</t>
  </si>
  <si>
    <t>AVERAGE FROM THREE SCENARIOS</t>
  </si>
  <si>
    <t>Loyalty Cost per Sale</t>
  </si>
  <si>
    <t>Loyalty Cost % Margin</t>
  </si>
  <si>
    <t>Discount Cost per Sale</t>
  </si>
  <si>
    <t>Discount Cost % Margin</t>
  </si>
  <si>
    <t>Loyalty Cost per Unit</t>
  </si>
  <si>
    <t>% of Margin</t>
  </si>
  <si>
    <t>Discount Cost per Unit</t>
  </si>
  <si>
    <t>CONSERVATIVE - MONTHLY UNIT COST TRAJECTORY</t>
  </si>
  <si>
    <t>Average</t>
  </si>
  <si>
    <t>12M Net Revenue</t>
  </si>
  <si>
    <t>BASE - MONTHLY UNIT COST TRAJECTORY</t>
  </si>
  <si>
    <t>OPTIMISTIC - MONTHLY UNIT COST TRAJECTORY</t>
  </si>
  <si>
    <t>SCENARIO CONFIGURATION (v2)</t>
  </si>
  <si>
    <t>Yellow = Input | Green = Derived</t>
  </si>
  <si>
    <t>1. AVG SALES/MO PER TIER</t>
  </si>
  <si>
    <t>Tier</t>
  </si>
  <si>
    <t>Conservative</t>
  </si>
  <si>
    <t>Base</t>
  </si>
  <si>
    <t>Optimistic</t>
  </si>
  <si>
    <t>Multiplier</t>
  </si>
  <si>
    <t>Cons</t>
  </si>
  <si>
    <t>2. M1 VIP DISTRIBUTION (Starting Point)</t>
  </si>
  <si>
    <t>Sum</t>
  </si>
  <si>
    <t>3. M12 VIP DISTRIBUTION (Target)</t>
  </si>
  <si>
    <t>4. DERIVED: MONTHLY VIP DISTRIBUTION</t>
  </si>
  <si>
    <t>Total</t>
  </si>
  <si>
    <t>5. MISSION CONFIG</t>
  </si>
  <si>
    <t>Frequency</t>
  </si>
  <si>
    <t>Reward</t>
  </si>
  <si>
    <t>One-Time Factor</t>
  </si>
  <si>
    <t>6. DERIVED: MISSION COMPLETION RATES</t>
  </si>
  <si>
    <t>CALCULATION:</t>
  </si>
  <si>
    <t>FLASH SALE</t>
  </si>
  <si>
    <t>Avg 12M Net Revenue</t>
  </si>
  <si>
    <t>Flash Sales per month</t>
  </si>
  <si>
    <t>Flash Sale Discount</t>
  </si>
  <si>
    <t>12M Loyalty Cost</t>
  </si>
  <si>
    <t>Avg 12M Program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</si>
</sst>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\$#,##0"/>
    <numFmt numFmtId="166" formatCode="0.0"/>
    <numFmt numFmtId="167" formatCode="0.0%"/>
  </numFmts>
  <fonts count="29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7"/>
    <xf numFmtId="9" fontId="15" fillId="0" borderId="7"/>
  </cellStyleXfs>
  <cellXfs count="156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2" fillId="22" borderId="0" xfId="0" applyFont="1" applyFill="1" applyBorder="1"/>
    <xf numFmtId="0" fontId="5" fillId="22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165" fontId="0" fillId="17" borderId="5" xfId="0" applyNumberFormat="1" applyFill="1" applyBorder="1" applyAlignment="1">
      <alignment horizontal="center"/>
    </xf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8" fillId="0" borderId="7" xfId="0" applyFont="1"/>
    <xf numFmtId="0" fontId="19" fillId="0" borderId="7" xfId="0" applyFont="1"/>
    <xf numFmtId="0" fontId="20" fillId="23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0" fillId="0" borderId="7" xfId="0"/>
    <xf numFmtId="0" fontId="4" fillId="0" borderId="7" xfId="0" applyFont="1"/>
    <xf numFmtId="0" fontId="9" fillId="23" borderId="8" xfId="0" applyFont="1" applyFill="1" applyBorder="1" applyAlignment="1">
      <alignment horizontal="center" vertical="center"/>
    </xf>
    <xf numFmtId="0" fontId="17" fillId="24" borderId="8" xfId="0" applyFont="1" applyFill="1" applyBorder="1" applyAlignment="1">
      <alignment horizontal="left" vertical="center"/>
    </xf>
    <xf numFmtId="9" fontId="15" fillId="0" borderId="7" xfId="1" applyAlignment="1">
      <alignment horizontal="center"/>
    </xf>
    <xf numFmtId="0" fontId="1" fillId="0" borderId="7" xfId="0" applyFont="1"/>
    <xf numFmtId="164" fontId="0" fillId="25" borderId="8" xfId="0" applyNumberFormat="1" applyFill="1" applyBorder="1" applyAlignment="1">
      <alignment horizontal="center"/>
    </xf>
    <xf numFmtId="9" fontId="15" fillId="0" borderId="8" xfId="1" applyBorder="1" applyAlignment="1">
      <alignment horizontal="center"/>
    </xf>
    <xf numFmtId="164" fontId="18" fillId="12" borderId="8" xfId="0" applyNumberFormat="1" applyFont="1" applyFill="1" applyBorder="1" applyAlignment="1">
      <alignment horizontal="center"/>
    </xf>
    <xf numFmtId="9" fontId="15" fillId="0" borderId="7" xfId="1"/>
    <xf numFmtId="9" fontId="15" fillId="12" borderId="8" xfId="1" applyFill="1" applyBorder="1" applyAlignment="1">
      <alignment horizontal="center"/>
    </xf>
    <xf numFmtId="164" fontId="18" fillId="0" borderId="8" xfId="0" applyNumberFormat="1" applyFont="1" applyBorder="1" applyAlignment="1">
      <alignment horizontal="center" vertical="center"/>
    </xf>
    <xf numFmtId="164" fontId="21" fillId="24" borderId="8" xfId="0" applyNumberFormat="1" applyFont="1" applyFill="1" applyBorder="1" applyAlignment="1">
      <alignment horizontal="center" vertical="center"/>
    </xf>
    <xf numFmtId="9" fontId="21" fillId="24" borderId="8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0" fontId="14" fillId="0" borderId="0" xfId="0" applyFont="1" applyBorder="1" applyAlignment="1">
      <alignment horizontal="center"/>
    </xf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2" fillId="0" borderId="0" xfId="0" applyFont="1" applyBorder="1"/>
    <xf numFmtId="0" fontId="23" fillId="26" borderId="9" xfId="0" applyFont="1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0" fillId="28" borderId="9" xfId="0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0" fillId="0" borderId="9" xfId="0" applyBorder="1"/>
    <xf numFmtId="2" fontId="24" fillId="0" borderId="9" xfId="0" applyNumberFormat="1" applyFon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31" borderId="10" xfId="0" applyFont="1" applyFill="1" applyBorder="1" applyAlignment="1">
      <alignment horizontal="center" vertical="center"/>
    </xf>
    <xf numFmtId="0" fontId="0" fillId="32" borderId="10" xfId="0" applyFill="1" applyBorder="1" applyAlignment="1">
      <alignment horizontal="center" vertical="center"/>
    </xf>
    <xf numFmtId="166" fontId="0" fillId="33" borderId="10" xfId="0" applyNumberForma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9" fontId="0" fillId="33" borderId="10" xfId="0" applyNumberFormat="1" applyFill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9" fontId="0" fillId="37" borderId="10" xfId="0" applyNumberFormat="1" applyFill="1" applyBorder="1" applyAlignment="1">
      <alignment horizontal="center" vertical="center"/>
    </xf>
    <xf numFmtId="167" fontId="0" fillId="37" borderId="10" xfId="0" applyNumberFormat="1" applyFill="1" applyBorder="1" applyAlignment="1">
      <alignment horizontal="center" vertical="center"/>
    </xf>
    <xf numFmtId="165" fontId="0" fillId="33" borderId="10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7" xfId="0" applyFont="1"/>
    <xf numFmtId="0" fontId="9" fillId="31" borderId="7" xfId="0" applyFont="1" applyFill="1" applyAlignment="1">
      <alignment horizontal="center" vertical="center"/>
    </xf>
    <xf numFmtId="166" fontId="0" fillId="33" borderId="7" xfId="0" applyNumberFormat="1" applyFill="1" applyAlignment="1">
      <alignment horizontal="center" vertical="center"/>
    </xf>
    <xf numFmtId="0" fontId="1" fillId="0" borderId="7" xfId="0" applyFont="1"/>
    <xf numFmtId="0" fontId="0" fillId="0" borderId="0" xfId="0" applyBorder="1"/>
    <xf numFmtId="0" fontId="1" fillId="0" borderId="7" xfId="0" quotePrefix="1" applyFont="1"/>
    <xf numFmtId="0" fontId="16" fillId="0" borderId="7" xfId="0" applyFont="1"/>
    <xf numFmtId="0" fontId="3" fillId="2" borderId="11" xfId="0" applyFont="1" applyFill="1" applyBorder="1" applyAlignment="1">
      <alignment horizontal="left" vertical="center" wrapText="1"/>
    </xf>
    <xf numFmtId="0" fontId="0" fillId="0" borderId="7" xfId="0" applyBorder="1"/>
    <xf numFmtId="0" fontId="4" fillId="0" borderId="10" xfId="0" applyFont="1" applyBorder="1"/>
    <xf numFmtId="0" fontId="5" fillId="0" borderId="10" xfId="0" applyFont="1" applyBorder="1"/>
    <xf numFmtId="9" fontId="15" fillId="0" borderId="10" xfId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165" fontId="21" fillId="24" borderId="8" xfId="0" applyNumberFormat="1" applyFont="1" applyFill="1" applyBorder="1" applyAlignment="1">
      <alignment horizontal="center" vertical="center"/>
    </xf>
    <xf numFmtId="0" fontId="17" fillId="24" borderId="7" xfId="0" applyFont="1" applyFill="1" applyBorder="1" applyAlignment="1">
      <alignment horizontal="left" vertical="center"/>
    </xf>
    <xf numFmtId="0" fontId="18" fillId="0" borderId="10" xfId="0" applyFont="1" applyBorder="1"/>
    <xf numFmtId="0" fontId="17" fillId="8" borderId="7" xfId="0" applyFont="1" applyFill="1" applyBorder="1" applyAlignment="1">
      <alignment horizontal="left" vertical="center"/>
    </xf>
    <xf numFmtId="165" fontId="21" fillId="8" borderId="7" xfId="0" applyNumberFormat="1" applyFont="1" applyFill="1" applyBorder="1" applyAlignment="1">
      <alignment horizontal="center" vertical="center"/>
    </xf>
    <xf numFmtId="1" fontId="21" fillId="24" borderId="7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6"/>
  <sheetViews>
    <sheetView topLeftCell="B1" zoomScaleNormal="100" workbookViewId="0">
      <selection activeCell="G6" sqref="G6:R9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18" ht="21" customHeight="1" x14ac:dyDescent="0.35">
      <c r="A1" s="139" t="s">
        <v>0</v>
      </c>
      <c r="B1" s="140"/>
      <c r="C1" s="140"/>
      <c r="D1" s="140"/>
      <c r="E1" s="140"/>
    </row>
    <row r="3" spans="1:18" ht="18.75" customHeight="1" x14ac:dyDescent="0.3">
      <c r="A3" s="1" t="s">
        <v>1</v>
      </c>
      <c r="F3" s="14" t="s">
        <v>2</v>
      </c>
    </row>
    <row r="4" spans="1:18" ht="15.75" customHeight="1" x14ac:dyDescent="0.25">
      <c r="A4" s="2" t="s">
        <v>3</v>
      </c>
      <c r="B4" s="2" t="s">
        <v>4</v>
      </c>
      <c r="C4" s="2" t="s">
        <v>5</v>
      </c>
      <c r="D4" s="2" t="s">
        <v>6</v>
      </c>
      <c r="F4" s="15" t="s">
        <v>7</v>
      </c>
      <c r="G4" s="24"/>
    </row>
    <row r="5" spans="1:18" x14ac:dyDescent="0.25">
      <c r="A5" s="3" t="s">
        <v>8</v>
      </c>
      <c r="B5" s="4">
        <v>150</v>
      </c>
      <c r="C5" s="25" t="s">
        <v>9</v>
      </c>
      <c r="D5" s="3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6" t="s">
        <v>18</v>
      </c>
      <c r="N5" s="16" t="s">
        <v>19</v>
      </c>
      <c r="O5" s="16" t="s">
        <v>20</v>
      </c>
      <c r="P5" s="16" t="s">
        <v>21</v>
      </c>
      <c r="Q5" s="16" t="s">
        <v>22</v>
      </c>
      <c r="R5" s="16" t="s">
        <v>23</v>
      </c>
    </row>
    <row r="6" spans="1:18" x14ac:dyDescent="0.25">
      <c r="A6" s="3" t="s">
        <v>24</v>
      </c>
      <c r="B6" s="4">
        <v>100</v>
      </c>
      <c r="C6" s="25" t="s">
        <v>9</v>
      </c>
      <c r="D6" s="3" t="s">
        <v>25</v>
      </c>
      <c r="F6" s="17" t="s">
        <v>26</v>
      </c>
      <c r="G6" s="18">
        <v>0.95</v>
      </c>
      <c r="H6" s="18">
        <v>0.89545454545454539</v>
      </c>
      <c r="I6" s="18">
        <v>0.84090909090909083</v>
      </c>
      <c r="J6" s="18">
        <v>0.78636363636363638</v>
      </c>
      <c r="K6" s="18">
        <v>0.73181818181818181</v>
      </c>
      <c r="L6" s="18">
        <v>0.67727272727272725</v>
      </c>
      <c r="M6" s="18">
        <v>0.6227272727272728</v>
      </c>
      <c r="N6" s="18">
        <v>0.56818181818181812</v>
      </c>
      <c r="O6" s="18">
        <v>0.51363636363636367</v>
      </c>
      <c r="P6" s="18">
        <v>0.45909090909090911</v>
      </c>
      <c r="Q6" s="18">
        <v>0.40454545454545454</v>
      </c>
      <c r="R6" s="18">
        <v>0.35</v>
      </c>
    </row>
    <row r="7" spans="1:18" x14ac:dyDescent="0.25">
      <c r="A7" s="3" t="s">
        <v>27</v>
      </c>
      <c r="B7" s="5">
        <v>0.7</v>
      </c>
      <c r="C7" s="25" t="s">
        <v>28</v>
      </c>
      <c r="D7" s="3" t="s">
        <v>29</v>
      </c>
      <c r="F7" s="17" t="s">
        <v>30</v>
      </c>
      <c r="G7" s="18">
        <v>0.05</v>
      </c>
      <c r="H7" s="18">
        <v>8.9090909090909096E-2</v>
      </c>
      <c r="I7" s="18">
        <v>0.12818181818181817</v>
      </c>
      <c r="J7" s="18">
        <v>0.1672727272727273</v>
      </c>
      <c r="K7" s="18">
        <v>0.20636363636363636</v>
      </c>
      <c r="L7" s="18">
        <v>0.24545454545454543</v>
      </c>
      <c r="M7" s="18">
        <v>0.28454545454545455</v>
      </c>
      <c r="N7" s="18">
        <v>0.32363636363636361</v>
      </c>
      <c r="O7" s="18">
        <v>0.36272727272727273</v>
      </c>
      <c r="P7" s="18">
        <v>0.4018181818181818</v>
      </c>
      <c r="Q7" s="18">
        <v>0.44090909090909086</v>
      </c>
      <c r="R7" s="18">
        <v>0.48</v>
      </c>
    </row>
    <row r="8" spans="1:18" x14ac:dyDescent="0.25">
      <c r="F8" s="17" t="s">
        <v>31</v>
      </c>
      <c r="G8" s="18">
        <v>0</v>
      </c>
      <c r="H8" s="18">
        <v>9.0909090909090922E-3</v>
      </c>
      <c r="I8" s="18">
        <v>1.8181818181818184E-2</v>
      </c>
      <c r="J8" s="18">
        <v>2.7272727272727278E-2</v>
      </c>
      <c r="K8" s="18">
        <v>3.6363636363636369E-2</v>
      </c>
      <c r="L8" s="18">
        <v>4.5454545454545456E-2</v>
      </c>
      <c r="M8" s="18">
        <v>5.4545454545454557E-2</v>
      </c>
      <c r="N8" s="18">
        <v>6.3636363636363644E-2</v>
      </c>
      <c r="O8" s="18">
        <v>7.2727272727272738E-2</v>
      </c>
      <c r="P8" s="18">
        <v>8.1818181818181818E-2</v>
      </c>
      <c r="Q8" s="18">
        <v>9.0909090909090912E-2</v>
      </c>
      <c r="R8" s="18">
        <v>0.1</v>
      </c>
    </row>
    <row r="9" spans="1:18" ht="18.75" customHeight="1" x14ac:dyDescent="0.3">
      <c r="A9" s="1" t="s">
        <v>32</v>
      </c>
      <c r="F9" s="17" t="s">
        <v>33</v>
      </c>
      <c r="G9" s="18">
        <v>0</v>
      </c>
      <c r="H9" s="18">
        <v>6.3636363636363638E-3</v>
      </c>
      <c r="I9" s="18">
        <v>1.2727272727272728E-2</v>
      </c>
      <c r="J9" s="18">
        <v>1.9090909090909092E-2</v>
      </c>
      <c r="K9" s="18">
        <v>2.5454545454545455E-2</v>
      </c>
      <c r="L9" s="18">
        <v>3.1818181818181822E-2</v>
      </c>
      <c r="M9" s="18">
        <v>3.8181818181818185E-2</v>
      </c>
      <c r="N9" s="18">
        <v>4.4545454545454548E-2</v>
      </c>
      <c r="O9" s="18">
        <v>5.0909090909090911E-2</v>
      </c>
      <c r="P9" s="18">
        <v>5.7272727272727281E-2</v>
      </c>
      <c r="Q9" s="18">
        <v>6.3636363636363644E-2</v>
      </c>
      <c r="R9" s="18">
        <v>7.0000000000000007E-2</v>
      </c>
    </row>
    <row r="10" spans="1:18" ht="18.75" hidden="1" customHeight="1" x14ac:dyDescent="0.3">
      <c r="A10" s="1"/>
      <c r="F10" s="17" t="s">
        <v>34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</row>
    <row r="11" spans="1:18" ht="15.75" customHeight="1" x14ac:dyDescent="0.25">
      <c r="A11" s="2" t="s">
        <v>3</v>
      </c>
      <c r="B11" s="2" t="s">
        <v>4</v>
      </c>
      <c r="C11" s="2" t="s">
        <v>5</v>
      </c>
      <c r="D11" s="2" t="s">
        <v>6</v>
      </c>
      <c r="F11" s="19" t="s">
        <v>35</v>
      </c>
      <c r="G11" s="20">
        <f t="shared" ref="G11:R11" si="0">SUM(G6:G10)</f>
        <v>1</v>
      </c>
      <c r="H11" s="20">
        <f t="shared" si="0"/>
        <v>0.99999999999999989</v>
      </c>
      <c r="I11" s="20">
        <f t="shared" si="0"/>
        <v>0.99999999999999989</v>
      </c>
      <c r="J11" s="20">
        <f t="shared" si="0"/>
        <v>0.99999999999999989</v>
      </c>
      <c r="K11" s="20">
        <f t="shared" si="0"/>
        <v>1</v>
      </c>
      <c r="L11" s="20">
        <f t="shared" si="0"/>
        <v>0.99999999999999989</v>
      </c>
      <c r="M11" s="20">
        <f t="shared" si="0"/>
        <v>1</v>
      </c>
      <c r="N11" s="20">
        <f t="shared" si="0"/>
        <v>0.99999999999999989</v>
      </c>
      <c r="O11" s="20">
        <f t="shared" si="0"/>
        <v>1.0000000000000002</v>
      </c>
      <c r="P11" s="20">
        <f t="shared" si="0"/>
        <v>0.99999999999999989</v>
      </c>
      <c r="Q11" s="20">
        <f t="shared" si="0"/>
        <v>1</v>
      </c>
      <c r="R11" s="20">
        <f t="shared" si="0"/>
        <v>1</v>
      </c>
    </row>
    <row r="12" spans="1:18" ht="18.75" customHeight="1" x14ac:dyDescent="0.25">
      <c r="A12" s="3" t="s">
        <v>36</v>
      </c>
      <c r="B12" s="6">
        <v>40</v>
      </c>
      <c r="C12" s="25" t="s">
        <v>37</v>
      </c>
      <c r="D12" s="3" t="s">
        <v>38</v>
      </c>
    </row>
    <row r="13" spans="1:18" ht="15.75" customHeight="1" x14ac:dyDescent="0.25">
      <c r="A13" s="3" t="s">
        <v>39</v>
      </c>
      <c r="B13" s="4">
        <v>120</v>
      </c>
      <c r="C13" s="25" t="s">
        <v>40</v>
      </c>
      <c r="D13" s="3" t="s">
        <v>41</v>
      </c>
      <c r="F13" s="14" t="s">
        <v>2</v>
      </c>
    </row>
    <row r="14" spans="1:18" ht="15.75" customHeight="1" x14ac:dyDescent="0.25">
      <c r="A14" s="64" t="s">
        <v>42</v>
      </c>
      <c r="B14" s="4">
        <v>1.3</v>
      </c>
      <c r="C14" s="60" t="s">
        <v>43</v>
      </c>
      <c r="D14" s="64" t="s">
        <v>44</v>
      </c>
      <c r="F14" s="62" t="s">
        <v>45</v>
      </c>
    </row>
    <row r="15" spans="1:18" ht="18.75" customHeight="1" x14ac:dyDescent="0.25">
      <c r="F15" s="16" t="s">
        <v>46</v>
      </c>
      <c r="G15" s="16">
        <v>105</v>
      </c>
      <c r="H15" s="16">
        <v>175</v>
      </c>
      <c r="I15" s="16">
        <v>250</v>
      </c>
      <c r="J15" s="16">
        <v>330</v>
      </c>
      <c r="K15" s="16">
        <v>410</v>
      </c>
      <c r="L15" s="16">
        <v>490</v>
      </c>
      <c r="M15" s="16">
        <v>570</v>
      </c>
      <c r="N15" s="16">
        <v>650</v>
      </c>
      <c r="O15" s="16">
        <v>730</v>
      </c>
      <c r="P15" s="16">
        <v>810</v>
      </c>
      <c r="Q15" s="16">
        <v>890</v>
      </c>
      <c r="R15" s="16">
        <v>970</v>
      </c>
    </row>
    <row r="16" spans="1:18" ht="15.75" customHeight="1" x14ac:dyDescent="0.25">
      <c r="F16" s="17" t="s">
        <v>26</v>
      </c>
      <c r="G16" s="61">
        <f>$G$15*G6</f>
        <v>99.75</v>
      </c>
      <c r="H16" s="61">
        <f>$H$15*H6</f>
        <v>156.70454545454544</v>
      </c>
      <c r="I16" s="61">
        <f>$I$15*I6</f>
        <v>210.22727272727272</v>
      </c>
      <c r="J16" s="61">
        <f>$J$15*J6</f>
        <v>259.5</v>
      </c>
      <c r="K16" s="61">
        <f>$K$15*K6</f>
        <v>300.04545454545456</v>
      </c>
      <c r="L16" s="61">
        <f>$L$15*L6</f>
        <v>331.86363636363637</v>
      </c>
      <c r="M16" s="61">
        <f>$M$15*M6</f>
        <v>354.9545454545455</v>
      </c>
      <c r="N16" s="61">
        <f>$N$15*N6</f>
        <v>369.31818181818176</v>
      </c>
      <c r="O16" s="61">
        <f>$O$15*O6</f>
        <v>374.9545454545455</v>
      </c>
      <c r="P16" s="61">
        <f>$P$15*P6</f>
        <v>371.86363636363637</v>
      </c>
      <c r="Q16" s="61">
        <f>$Q$15*Q6</f>
        <v>360.04545454545456</v>
      </c>
      <c r="R16" s="61">
        <f>$R$15*R6</f>
        <v>339.5</v>
      </c>
    </row>
    <row r="17" spans="1:18" ht="18.75" customHeight="1" x14ac:dyDescent="0.25">
      <c r="F17" s="17" t="s">
        <v>30</v>
      </c>
      <c r="G17" s="61">
        <f>$G$15*G7</f>
        <v>5.25</v>
      </c>
      <c r="H17" s="61">
        <f>$H$15*H7</f>
        <v>15.590909090909092</v>
      </c>
      <c r="I17" s="61">
        <f>$I$15*I7</f>
        <v>32.045454545454547</v>
      </c>
      <c r="J17" s="61">
        <f>$J$15*J7</f>
        <v>55.20000000000001</v>
      </c>
      <c r="K17" s="61">
        <f>$K$15*K7</f>
        <v>84.609090909090909</v>
      </c>
      <c r="L17" s="61">
        <f>$L$15*L7</f>
        <v>120.27272727272725</v>
      </c>
      <c r="M17" s="61">
        <f>$M$15*M7</f>
        <v>162.19090909090909</v>
      </c>
      <c r="N17" s="61">
        <f>$N$15*N7</f>
        <v>210.36363636363635</v>
      </c>
      <c r="O17" s="61">
        <f>$O$15*O7</f>
        <v>264.79090909090911</v>
      </c>
      <c r="P17" s="61">
        <f>$P$15*P7</f>
        <v>325.47272727272724</v>
      </c>
      <c r="Q17" s="61">
        <f>$Q$15*Q7</f>
        <v>392.40909090909088</v>
      </c>
      <c r="R17" s="61">
        <f>$R$15*R7</f>
        <v>465.59999999999997</v>
      </c>
    </row>
    <row r="18" spans="1:18" x14ac:dyDescent="0.25">
      <c r="F18" s="17" t="s">
        <v>31</v>
      </c>
      <c r="G18" s="61">
        <f>$G$15*G8</f>
        <v>0</v>
      </c>
      <c r="H18" s="61">
        <f>$H$15*H8</f>
        <v>1.5909090909090911</v>
      </c>
      <c r="I18" s="61">
        <f>$I$15*I8</f>
        <v>4.5454545454545459</v>
      </c>
      <c r="J18" s="61">
        <f>$J$15*J8</f>
        <v>9.0000000000000018</v>
      </c>
      <c r="K18" s="61">
        <f>$K$15*K8</f>
        <v>14.909090909090912</v>
      </c>
      <c r="L18" s="61">
        <f>$L$15*L8</f>
        <v>22.272727272727273</v>
      </c>
      <c r="M18" s="61">
        <f>$M$15*M8</f>
        <v>31.090909090909097</v>
      </c>
      <c r="N18" s="61">
        <f>$N$15*N8</f>
        <v>41.363636363636367</v>
      </c>
      <c r="O18" s="61">
        <f>$O$15*O8</f>
        <v>53.090909090909101</v>
      </c>
      <c r="P18" s="61">
        <f>$P$15*P8</f>
        <v>66.272727272727266</v>
      </c>
      <c r="Q18" s="61">
        <f>$Q$15*Q8</f>
        <v>80.909090909090907</v>
      </c>
      <c r="R18" s="61">
        <f>$R$15*R8</f>
        <v>97</v>
      </c>
    </row>
    <row r="19" spans="1:18" ht="18.75" customHeight="1" x14ac:dyDescent="0.25">
      <c r="F19" s="17" t="s">
        <v>33</v>
      </c>
      <c r="G19" s="61">
        <f>$G$15*G9</f>
        <v>0</v>
      </c>
      <c r="H19" s="61">
        <f>$H$15*H9</f>
        <v>1.1136363636363638</v>
      </c>
      <c r="I19" s="61">
        <f>$I$15*I9</f>
        <v>3.1818181818181821</v>
      </c>
      <c r="J19" s="61">
        <f>$J$15*J9</f>
        <v>6.3000000000000007</v>
      </c>
      <c r="K19" s="61">
        <f>$K$15*K9</f>
        <v>10.436363636363637</v>
      </c>
      <c r="L19" s="61">
        <f>$L$15*L9</f>
        <v>15.590909090909093</v>
      </c>
      <c r="M19" s="61">
        <f>$M$15*M9</f>
        <v>21.763636363636365</v>
      </c>
      <c r="N19" s="61">
        <f>$N$15*N9</f>
        <v>28.954545454545457</v>
      </c>
      <c r="O19" s="61">
        <f>$O$15*O9</f>
        <v>37.163636363636364</v>
      </c>
      <c r="P19" s="61">
        <f>$P$15*P9</f>
        <v>46.390909090909098</v>
      </c>
      <c r="Q19" s="61">
        <f>$Q$15*Q9</f>
        <v>56.63636363636364</v>
      </c>
      <c r="R19" s="61">
        <f>$R$15*R9</f>
        <v>67.900000000000006</v>
      </c>
    </row>
    <row r="20" spans="1:18" ht="15.75" customHeight="1" x14ac:dyDescent="0.25"/>
    <row r="21" spans="1:18" ht="47.25" hidden="1" customHeight="1" x14ac:dyDescent="0.25">
      <c r="F21" s="2" t="s">
        <v>47</v>
      </c>
      <c r="G21" s="2" t="s">
        <v>48</v>
      </c>
    </row>
    <row r="22" spans="1:18" ht="15.75" hidden="1" customHeight="1" x14ac:dyDescent="0.25">
      <c r="F22" s="37" t="s">
        <v>26</v>
      </c>
      <c r="G22" s="48">
        <v>2</v>
      </c>
    </row>
    <row r="23" spans="1:18" ht="18.75" hidden="1" customHeight="1" x14ac:dyDescent="0.25">
      <c r="F23" s="29" t="s">
        <v>30</v>
      </c>
      <c r="G23" s="35">
        <v>12</v>
      </c>
    </row>
    <row r="24" spans="1:18" ht="15.75" hidden="1" customHeight="1" x14ac:dyDescent="0.25">
      <c r="F24" s="40" t="s">
        <v>31</v>
      </c>
      <c r="G24" s="54">
        <v>20</v>
      </c>
    </row>
    <row r="25" spans="1:18" ht="31.5" hidden="1" customHeight="1" x14ac:dyDescent="0.25">
      <c r="F25" s="50" t="s">
        <v>33</v>
      </c>
      <c r="G25" s="52">
        <v>25</v>
      </c>
    </row>
    <row r="26" spans="1:18" hidden="1" x14ac:dyDescent="0.25"/>
    <row r="27" spans="1:18" hidden="1" x14ac:dyDescent="0.25"/>
    <row r="28" spans="1:18" ht="18.75" hidden="1" customHeight="1" x14ac:dyDescent="0.3">
      <c r="A28" s="1" t="s">
        <v>49</v>
      </c>
    </row>
    <row r="29" spans="1:18" ht="15.75" hidden="1" customHeight="1" x14ac:dyDescent="0.25">
      <c r="A29" s="2" t="s">
        <v>3</v>
      </c>
      <c r="B29" s="2" t="s">
        <v>4</v>
      </c>
      <c r="C29" s="2" t="s">
        <v>5</v>
      </c>
      <c r="D29" s="2" t="s">
        <v>6</v>
      </c>
    </row>
    <row r="30" spans="1:18" hidden="1" x14ac:dyDescent="0.25">
      <c r="A30" s="3" t="s">
        <v>50</v>
      </c>
      <c r="B30" s="6">
        <v>15</v>
      </c>
      <c r="C30" s="25" t="s">
        <v>37</v>
      </c>
      <c r="D30" s="3" t="s">
        <v>51</v>
      </c>
    </row>
    <row r="32" spans="1:18" ht="15.75" customHeight="1" x14ac:dyDescent="0.25">
      <c r="F32" s="14" t="s">
        <v>52</v>
      </c>
    </row>
    <row r="33" spans="5:18" x14ac:dyDescent="0.25">
      <c r="F33" s="15" t="s">
        <v>53</v>
      </c>
    </row>
    <row r="34" spans="5:18" ht="18.75" customHeight="1" x14ac:dyDescent="0.25">
      <c r="F34" s="16" t="s">
        <v>54</v>
      </c>
      <c r="G34" s="16" t="s">
        <v>12</v>
      </c>
      <c r="H34" s="16" t="s">
        <v>13</v>
      </c>
      <c r="I34" s="16" t="s">
        <v>14</v>
      </c>
      <c r="J34" s="16" t="s">
        <v>15</v>
      </c>
      <c r="K34" s="16" t="s">
        <v>16</v>
      </c>
      <c r="L34" s="16" t="s">
        <v>17</v>
      </c>
      <c r="M34" s="16" t="s">
        <v>18</v>
      </c>
      <c r="N34" s="16" t="s">
        <v>19</v>
      </c>
      <c r="O34" s="16" t="s">
        <v>20</v>
      </c>
      <c r="P34" s="16" t="s">
        <v>21</v>
      </c>
      <c r="Q34" s="16" t="s">
        <v>22</v>
      </c>
      <c r="R34" s="16" t="s">
        <v>23</v>
      </c>
    </row>
    <row r="35" spans="5:18" x14ac:dyDescent="0.25">
      <c r="F35" s="17" t="s">
        <v>55</v>
      </c>
      <c r="G35" s="21">
        <v>0</v>
      </c>
      <c r="H35" s="21">
        <v>0</v>
      </c>
      <c r="I35" s="21">
        <v>5</v>
      </c>
      <c r="J35" s="21">
        <v>10</v>
      </c>
      <c r="K35" s="21">
        <v>10</v>
      </c>
      <c r="L35" s="21">
        <v>10</v>
      </c>
      <c r="M35" s="21">
        <v>10</v>
      </c>
      <c r="N35" s="21">
        <v>10</v>
      </c>
      <c r="O35" s="21">
        <v>10</v>
      </c>
      <c r="P35" s="21">
        <v>10</v>
      </c>
      <c r="Q35" s="21">
        <v>10</v>
      </c>
      <c r="R35" s="21">
        <v>10</v>
      </c>
    </row>
    <row r="38" spans="5:18" x14ac:dyDescent="0.25">
      <c r="F38" s="105"/>
    </row>
    <row r="39" spans="5:18" x14ac:dyDescent="0.25">
      <c r="E39" s="63"/>
      <c r="F39" s="104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</row>
    <row r="40" spans="5:18" x14ac:dyDescent="0.25">
      <c r="E40" s="63"/>
      <c r="F40" s="104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</row>
    <row r="41" spans="5:18" x14ac:dyDescent="0.25">
      <c r="E41" s="63"/>
      <c r="F41" s="104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</row>
    <row r="42" spans="5:18" x14ac:dyDescent="0.25">
      <c r="E42" s="63"/>
      <c r="F42" s="104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</row>
    <row r="43" spans="5:18" x14ac:dyDescent="0.25">
      <c r="F43" s="105"/>
    </row>
    <row r="44" spans="5:18" x14ac:dyDescent="0.25">
      <c r="F44" s="105"/>
    </row>
    <row r="45" spans="5:18" x14ac:dyDescent="0.25">
      <c r="F45" s="103"/>
    </row>
    <row r="46" spans="5:18" x14ac:dyDescent="0.25">
      <c r="E46" s="63"/>
      <c r="F46" s="105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</row>
    <row r="47" spans="5:18" x14ac:dyDescent="0.25">
      <c r="E47" s="63"/>
      <c r="F47" s="103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</row>
    <row r="48" spans="5:18" x14ac:dyDescent="0.25">
      <c r="E48" s="63"/>
      <c r="F48" s="103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</row>
    <row r="49" spans="5:18" x14ac:dyDescent="0.25">
      <c r="E49" s="63"/>
      <c r="F49" s="103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</row>
    <row r="51" spans="5:18" ht="18.75" customHeight="1" x14ac:dyDescent="0.25">
      <c r="F51" s="63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</row>
    <row r="53" spans="5:18" x14ac:dyDescent="0.25">
      <c r="F53" s="63"/>
    </row>
    <row r="54" spans="5:18" x14ac:dyDescent="0.25"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</row>
    <row r="58" spans="5:18" x14ac:dyDescent="0.25">
      <c r="E58" s="107"/>
    </row>
    <row r="59" spans="5:18" x14ac:dyDescent="0.25"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</row>
    <row r="60" spans="5:18" x14ac:dyDescent="0.25">
      <c r="E60" s="109"/>
      <c r="F60" s="110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</row>
    <row r="61" spans="5:18" x14ac:dyDescent="0.25">
      <c r="E61" s="112"/>
      <c r="F61" s="110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</row>
    <row r="62" spans="5:18" x14ac:dyDescent="0.25">
      <c r="E62" s="113"/>
      <c r="F62" s="110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</row>
    <row r="63" spans="5:18" x14ac:dyDescent="0.25">
      <c r="E63" s="114"/>
      <c r="F63" s="110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</row>
    <row r="64" spans="5:18" x14ac:dyDescent="0.25">
      <c r="E64" s="115"/>
      <c r="F64" s="116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</row>
    <row r="65" spans="5:18" x14ac:dyDescent="0.25">
      <c r="E65" s="110"/>
      <c r="F65" s="116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</row>
    <row r="66" spans="5:18" x14ac:dyDescent="0.25">
      <c r="E66" s="110"/>
      <c r="F66" s="116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"/>
  <sheetViews>
    <sheetView workbookViewId="0">
      <selection activeCell="D5" sqref="D5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9" width="13" customWidth="1"/>
    <col min="10" max="10" width="13" hidden="1" customWidth="1"/>
    <col min="11" max="11" width="16.85546875" hidden="1" customWidth="1"/>
    <col min="12" max="12" width="13" hidden="1" customWidth="1"/>
    <col min="13" max="14" width="13" customWidth="1"/>
    <col min="15" max="15" width="14.42578125" customWidth="1"/>
  </cols>
  <sheetData>
    <row r="1" spans="1:15" ht="21" customHeight="1" x14ac:dyDescent="0.35">
      <c r="A1" s="139" t="s">
        <v>56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3" spans="1:15" ht="18.75" customHeight="1" x14ac:dyDescent="0.3">
      <c r="A3" s="1" t="s">
        <v>57</v>
      </c>
    </row>
    <row r="4" spans="1:15" ht="47.25" customHeight="1" x14ac:dyDescent="0.25">
      <c r="A4" s="2" t="s">
        <v>58</v>
      </c>
      <c r="B4" s="2" t="s">
        <v>47</v>
      </c>
      <c r="C4" s="2" t="s">
        <v>59</v>
      </c>
      <c r="D4" s="2" t="s">
        <v>60</v>
      </c>
      <c r="E4" s="2" t="s">
        <v>48</v>
      </c>
    </row>
    <row r="5" spans="1:15" x14ac:dyDescent="0.25">
      <c r="A5" s="47">
        <v>1</v>
      </c>
      <c r="B5" s="37" t="s">
        <v>26</v>
      </c>
      <c r="C5" s="37">
        <v>0</v>
      </c>
      <c r="D5" s="38">
        <v>0.2</v>
      </c>
      <c r="E5" s="48">
        <v>2</v>
      </c>
    </row>
    <row r="6" spans="1:15" x14ac:dyDescent="0.25">
      <c r="A6" s="36">
        <v>2</v>
      </c>
      <c r="B6" s="29" t="s">
        <v>30</v>
      </c>
      <c r="C6" s="29">
        <v>15</v>
      </c>
      <c r="D6" s="30">
        <v>0.2</v>
      </c>
      <c r="E6" s="35">
        <v>6</v>
      </c>
    </row>
    <row r="7" spans="1:15" x14ac:dyDescent="0.25">
      <c r="A7" s="53">
        <v>3</v>
      </c>
      <c r="B7" s="40" t="s">
        <v>31</v>
      </c>
      <c r="C7" s="40">
        <v>75</v>
      </c>
      <c r="D7" s="41">
        <v>0.2</v>
      </c>
      <c r="E7" s="54">
        <v>18</v>
      </c>
    </row>
    <row r="8" spans="1:15" x14ac:dyDescent="0.25">
      <c r="A8" s="49">
        <v>4</v>
      </c>
      <c r="B8" s="50" t="s">
        <v>33</v>
      </c>
      <c r="C8" s="50">
        <v>150</v>
      </c>
      <c r="D8" s="51">
        <v>0.2</v>
      </c>
      <c r="E8" s="52">
        <v>54</v>
      </c>
    </row>
    <row r="9" spans="1:15" hidden="1" x14ac:dyDescent="0.25">
      <c r="A9" s="34">
        <v>5</v>
      </c>
      <c r="B9" s="4" t="s">
        <v>34</v>
      </c>
      <c r="C9" s="4">
        <v>0</v>
      </c>
      <c r="D9" s="5">
        <v>0</v>
      </c>
      <c r="E9" s="13">
        <v>0</v>
      </c>
    </row>
    <row r="12" spans="1:15" ht="18.75" customHeight="1" x14ac:dyDescent="0.3">
      <c r="A12" s="1" t="s">
        <v>61</v>
      </c>
    </row>
    <row r="13" spans="1:15" ht="18.75" customHeight="1" x14ac:dyDescent="0.3">
      <c r="A13" s="71" t="s">
        <v>62</v>
      </c>
      <c r="F13" s="71" t="s">
        <v>63</v>
      </c>
    </row>
    <row r="14" spans="1:15" ht="18.75" customHeight="1" x14ac:dyDescent="0.25">
      <c r="A14" s="76" t="s">
        <v>11</v>
      </c>
      <c r="B14" s="76" t="s">
        <v>64</v>
      </c>
      <c r="C14" s="76" t="s">
        <v>65</v>
      </c>
      <c r="D14" s="76" t="s">
        <v>66</v>
      </c>
      <c r="F14" s="76" t="s">
        <v>11</v>
      </c>
      <c r="G14" s="76" t="s">
        <v>64</v>
      </c>
      <c r="H14" s="76" t="s">
        <v>67</v>
      </c>
      <c r="J14" s="55" t="s">
        <v>11</v>
      </c>
      <c r="K14" s="76" t="s">
        <v>68</v>
      </c>
      <c r="L14" s="76" t="s">
        <v>69</v>
      </c>
    </row>
    <row r="15" spans="1:15" x14ac:dyDescent="0.25">
      <c r="A15" s="79" t="s">
        <v>26</v>
      </c>
      <c r="B15" s="77">
        <v>0</v>
      </c>
      <c r="C15" s="81">
        <v>0.15</v>
      </c>
      <c r="D15" s="77">
        <v>0</v>
      </c>
      <c r="F15" s="79" t="s">
        <v>26</v>
      </c>
      <c r="G15" s="77">
        <v>0</v>
      </c>
      <c r="H15" s="78">
        <v>0</v>
      </c>
      <c r="J15" s="59" t="s">
        <v>26</v>
      </c>
      <c r="K15" s="77">
        <v>0</v>
      </c>
      <c r="L15" s="78">
        <v>0</v>
      </c>
    </row>
    <row r="16" spans="1:15" x14ac:dyDescent="0.25">
      <c r="A16" s="79" t="s">
        <v>30</v>
      </c>
      <c r="B16" s="77">
        <v>1</v>
      </c>
      <c r="C16" s="81">
        <v>0.15</v>
      </c>
      <c r="D16" s="77">
        <v>4</v>
      </c>
      <c r="F16" s="79" t="s">
        <v>30</v>
      </c>
      <c r="G16" s="77">
        <v>1</v>
      </c>
      <c r="H16" s="78">
        <v>50</v>
      </c>
      <c r="J16" s="59" t="s">
        <v>30</v>
      </c>
      <c r="K16" s="77">
        <v>0</v>
      </c>
      <c r="L16" s="78">
        <v>0</v>
      </c>
    </row>
    <row r="17" spans="1:12" x14ac:dyDescent="0.25">
      <c r="A17" s="79" t="s">
        <v>31</v>
      </c>
      <c r="B17" s="77">
        <v>1</v>
      </c>
      <c r="C17" s="81">
        <v>0.2</v>
      </c>
      <c r="D17" s="77">
        <v>7</v>
      </c>
      <c r="F17" s="79" t="s">
        <v>31</v>
      </c>
      <c r="G17" s="77">
        <v>1</v>
      </c>
      <c r="H17" s="78">
        <v>100</v>
      </c>
      <c r="J17" s="59" t="s">
        <v>31</v>
      </c>
      <c r="K17" s="77">
        <v>0</v>
      </c>
      <c r="L17" s="78">
        <v>0</v>
      </c>
    </row>
    <row r="18" spans="1:12" ht="15.75" customHeight="1" x14ac:dyDescent="0.25">
      <c r="A18" s="79" t="s">
        <v>33</v>
      </c>
      <c r="B18" s="77">
        <v>2</v>
      </c>
      <c r="C18" s="81">
        <v>0.25</v>
      </c>
      <c r="D18" s="77">
        <v>7</v>
      </c>
      <c r="F18" s="79" t="s">
        <v>33</v>
      </c>
      <c r="G18" s="77">
        <v>1</v>
      </c>
      <c r="H18" s="78">
        <v>300</v>
      </c>
      <c r="J18" s="59" t="s">
        <v>33</v>
      </c>
      <c r="K18" s="77">
        <v>0</v>
      </c>
      <c r="L18" s="78">
        <v>0</v>
      </c>
    </row>
    <row r="19" spans="1:12" hidden="1" x14ac:dyDescent="0.25">
      <c r="A19" s="80" t="s">
        <v>34</v>
      </c>
      <c r="B19" s="56">
        <v>0</v>
      </c>
      <c r="C19" s="57">
        <v>0</v>
      </c>
      <c r="D19" s="56">
        <v>0</v>
      </c>
      <c r="F19" s="80" t="s">
        <v>34</v>
      </c>
      <c r="G19" s="56">
        <v>0</v>
      </c>
      <c r="H19" s="58">
        <v>0</v>
      </c>
      <c r="J19" s="3" t="s">
        <v>34</v>
      </c>
      <c r="K19" s="56">
        <v>0</v>
      </c>
      <c r="L19" s="58">
        <v>0</v>
      </c>
    </row>
    <row r="21" spans="1:12" ht="18.75" customHeight="1" x14ac:dyDescent="0.3">
      <c r="A21" s="71" t="s">
        <v>70</v>
      </c>
      <c r="F21" s="71" t="s">
        <v>71</v>
      </c>
    </row>
    <row r="22" spans="1:12" ht="18.75" customHeight="1" x14ac:dyDescent="0.25">
      <c r="A22" s="76" t="s">
        <v>11</v>
      </c>
      <c r="B22" s="76" t="s">
        <v>64</v>
      </c>
      <c r="C22" s="76" t="s">
        <v>65</v>
      </c>
      <c r="D22" s="76" t="s">
        <v>66</v>
      </c>
      <c r="F22" s="55" t="s">
        <v>11</v>
      </c>
      <c r="G22" s="76" t="s">
        <v>64</v>
      </c>
      <c r="H22" s="76" t="s">
        <v>67</v>
      </c>
    </row>
    <row r="23" spans="1:12" x14ac:dyDescent="0.25">
      <c r="A23" s="79" t="s">
        <v>26</v>
      </c>
      <c r="B23" s="77">
        <v>1</v>
      </c>
      <c r="C23" s="81">
        <v>0.15</v>
      </c>
      <c r="D23" s="77">
        <v>7</v>
      </c>
      <c r="F23" s="59" t="s">
        <v>26</v>
      </c>
      <c r="G23" s="77">
        <v>0</v>
      </c>
      <c r="H23" s="78">
        <v>0</v>
      </c>
    </row>
    <row r="24" spans="1:12" x14ac:dyDescent="0.25">
      <c r="A24" s="79" t="s">
        <v>30</v>
      </c>
      <c r="B24" s="77">
        <v>1</v>
      </c>
      <c r="C24" s="81">
        <v>0.15</v>
      </c>
      <c r="D24" s="77">
        <v>7</v>
      </c>
      <c r="F24" s="59" t="s">
        <v>30</v>
      </c>
      <c r="G24" s="77">
        <v>0</v>
      </c>
      <c r="H24" s="78">
        <v>0</v>
      </c>
    </row>
    <row r="25" spans="1:12" x14ac:dyDescent="0.25">
      <c r="A25" s="79" t="s">
        <v>31</v>
      </c>
      <c r="B25" s="77">
        <v>1</v>
      </c>
      <c r="C25" s="81">
        <v>0.2</v>
      </c>
      <c r="D25" s="77">
        <v>7</v>
      </c>
      <c r="F25" s="59" t="s">
        <v>31</v>
      </c>
      <c r="G25" s="77">
        <v>0</v>
      </c>
      <c r="H25" s="78">
        <v>0</v>
      </c>
    </row>
    <row r="26" spans="1:12" x14ac:dyDescent="0.25">
      <c r="A26" s="79" t="s">
        <v>33</v>
      </c>
      <c r="B26" s="77">
        <v>1</v>
      </c>
      <c r="C26" s="81">
        <v>0.2</v>
      </c>
      <c r="D26" s="77">
        <v>7</v>
      </c>
      <c r="F26" s="59" t="s">
        <v>33</v>
      </c>
      <c r="G26" s="77">
        <v>0</v>
      </c>
      <c r="H26" s="78">
        <v>0</v>
      </c>
    </row>
    <row r="27" spans="1:12" hidden="1" x14ac:dyDescent="0.25">
      <c r="A27" s="3" t="s">
        <v>34</v>
      </c>
      <c r="B27" s="56">
        <v>0</v>
      </c>
      <c r="C27" s="57">
        <v>0</v>
      </c>
      <c r="D27" s="56">
        <v>0</v>
      </c>
      <c r="F27" s="3" t="s">
        <v>34</v>
      </c>
      <c r="G27" s="56">
        <v>0</v>
      </c>
      <c r="H27" s="58">
        <v>0</v>
      </c>
    </row>
    <row r="29" spans="1:12" ht="18.75" customHeight="1" x14ac:dyDescent="0.3">
      <c r="A29" s="71" t="s">
        <v>72</v>
      </c>
    </row>
    <row r="30" spans="1:12" ht="31.5" customHeight="1" x14ac:dyDescent="0.25">
      <c r="A30" s="55" t="s">
        <v>11</v>
      </c>
      <c r="B30" s="76" t="s">
        <v>73</v>
      </c>
      <c r="C30" s="76" t="s">
        <v>74</v>
      </c>
    </row>
    <row r="31" spans="1:12" x14ac:dyDescent="0.25">
      <c r="A31" s="59" t="s">
        <v>26</v>
      </c>
      <c r="B31" s="77">
        <v>0</v>
      </c>
      <c r="C31" s="78">
        <v>0</v>
      </c>
    </row>
    <row r="32" spans="1:12" x14ac:dyDescent="0.25">
      <c r="A32" s="59" t="s">
        <v>30</v>
      </c>
      <c r="B32" s="77">
        <v>0</v>
      </c>
      <c r="C32" s="78">
        <v>0</v>
      </c>
    </row>
    <row r="33" spans="1:3" x14ac:dyDescent="0.25">
      <c r="A33" s="59" t="s">
        <v>31</v>
      </c>
      <c r="B33" s="77">
        <v>0</v>
      </c>
      <c r="C33" s="78">
        <v>0</v>
      </c>
    </row>
    <row r="34" spans="1:3" x14ac:dyDescent="0.25">
      <c r="A34" s="59" t="s">
        <v>33</v>
      </c>
      <c r="B34" s="77">
        <v>0</v>
      </c>
      <c r="C34" s="78">
        <v>0</v>
      </c>
    </row>
    <row r="35" spans="1:3" hidden="1" x14ac:dyDescent="0.25">
      <c r="A35" s="3" t="s">
        <v>34</v>
      </c>
      <c r="B35" s="56">
        <v>0</v>
      </c>
      <c r="C35" s="58">
        <v>0</v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topLeftCell="A2" zoomScale="130" zoomScaleNormal="130" workbookViewId="0">
      <selection activeCell="B32" sqref="B31:B32"/>
    </sheetView>
  </sheetViews>
  <sheetFormatPr defaultRowHeight="15" x14ac:dyDescent="0.25"/>
  <cols>
    <col min="1" max="8" width="18" customWidth="1"/>
    <col min="9" max="10" width="18" hidden="1" customWidth="1"/>
  </cols>
  <sheetData>
    <row r="1" spans="1:12" ht="21" customHeight="1" x14ac:dyDescent="0.35">
      <c r="A1" s="139" t="s">
        <v>75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</row>
    <row r="3" spans="1:12" ht="18.75" customHeight="1" x14ac:dyDescent="0.3">
      <c r="A3" s="1" t="s">
        <v>76</v>
      </c>
    </row>
    <row r="4" spans="1:12" ht="31.5" customHeight="1" x14ac:dyDescent="0.25">
      <c r="A4" s="2" t="s">
        <v>77</v>
      </c>
      <c r="B4" s="2" t="s">
        <v>78</v>
      </c>
      <c r="C4" s="2" t="s">
        <v>79</v>
      </c>
      <c r="D4" s="2" t="s">
        <v>80</v>
      </c>
      <c r="E4" s="2" t="s">
        <v>81</v>
      </c>
      <c r="F4" s="2" t="s">
        <v>82</v>
      </c>
      <c r="G4" s="2" t="s">
        <v>83</v>
      </c>
      <c r="H4" s="2" t="s">
        <v>84</v>
      </c>
      <c r="I4" s="2" t="s">
        <v>85</v>
      </c>
      <c r="J4" s="2" t="s">
        <v>86</v>
      </c>
    </row>
    <row r="5" spans="1:12" x14ac:dyDescent="0.25">
      <c r="A5" s="37" t="s">
        <v>26</v>
      </c>
      <c r="B5" s="37" t="s">
        <v>87</v>
      </c>
      <c r="C5" s="37">
        <v>10</v>
      </c>
      <c r="D5" s="37" t="s">
        <v>88</v>
      </c>
      <c r="E5" s="38">
        <v>0.3</v>
      </c>
      <c r="F5" s="37" t="s">
        <v>89</v>
      </c>
      <c r="G5" s="39">
        <v>20</v>
      </c>
      <c r="H5" s="37">
        <v>0</v>
      </c>
      <c r="I5" s="37" t="s">
        <v>90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x14ac:dyDescent="0.25">
      <c r="A6" s="37" t="s">
        <v>26</v>
      </c>
      <c r="B6" s="37" t="s">
        <v>91</v>
      </c>
      <c r="C6" s="37">
        <v>5</v>
      </c>
      <c r="D6" s="37" t="s">
        <v>88</v>
      </c>
      <c r="E6" s="38">
        <v>0.6</v>
      </c>
      <c r="F6" s="37" t="s">
        <v>89</v>
      </c>
      <c r="G6" s="39">
        <v>20</v>
      </c>
      <c r="H6" s="37">
        <v>0</v>
      </c>
      <c r="I6" s="37" t="s">
        <v>90</v>
      </c>
      <c r="J6" s="43">
        <f>IF(D6="Weekly",4,1)*IF(F6="Gift Card",G6,IF(F6="Spark Ads",G6,IF(F6="Commission Boost",G6*(INDEX('VIP Levels'!$E$5:$E$9,MATCH(A6,'VIP Levels'!$B$5:$B$9,0))*Inputs!$B$14/30*H6)*Revenue!$B$7,IF(F6="Discount",G6*(INDEX('VIP Levels'!$E$5:$E$9,MATCH(A6,'VIP Levels'!$B$5:$B$9,0))*Inputs!$B$14/30*H6)*Inputs!$B$12,0))))</f>
        <v>20</v>
      </c>
    </row>
    <row r="7" spans="1:12" x14ac:dyDescent="0.25">
      <c r="A7" s="37" t="s">
        <v>26</v>
      </c>
      <c r="B7" s="37" t="s">
        <v>92</v>
      </c>
      <c r="C7" s="37">
        <v>1500</v>
      </c>
      <c r="D7" s="37" t="s">
        <v>88</v>
      </c>
      <c r="E7" s="38">
        <v>0.9</v>
      </c>
      <c r="F7" s="37" t="s">
        <v>93</v>
      </c>
      <c r="G7" s="38">
        <v>0.15</v>
      </c>
      <c r="H7" s="37">
        <v>7</v>
      </c>
      <c r="I7" s="37" t="s">
        <v>90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3.6399999999999997</v>
      </c>
    </row>
    <row r="8" spans="1:12" x14ac:dyDescent="0.25">
      <c r="A8" s="29" t="s">
        <v>30</v>
      </c>
      <c r="B8" s="29" t="s">
        <v>87</v>
      </c>
      <c r="C8" s="29">
        <v>20</v>
      </c>
      <c r="D8" s="29" t="s">
        <v>94</v>
      </c>
      <c r="E8" s="30">
        <v>0.15</v>
      </c>
      <c r="F8" s="29" t="s">
        <v>89</v>
      </c>
      <c r="G8" s="31">
        <v>30</v>
      </c>
      <c r="H8" s="29">
        <v>0</v>
      </c>
      <c r="I8" s="29" t="s">
        <v>90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30</v>
      </c>
      <c r="B9" s="29" t="s">
        <v>91</v>
      </c>
      <c r="C9" s="29">
        <v>15</v>
      </c>
      <c r="D9" s="29" t="s">
        <v>94</v>
      </c>
      <c r="E9" s="30">
        <v>0.6</v>
      </c>
      <c r="F9" s="29" t="s">
        <v>95</v>
      </c>
      <c r="G9" s="30">
        <v>0.1</v>
      </c>
      <c r="H9" s="29">
        <v>7</v>
      </c>
      <c r="I9" s="29" t="s">
        <v>90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6.5722222222222237</v>
      </c>
    </row>
    <row r="10" spans="1:12" x14ac:dyDescent="0.25">
      <c r="A10" s="29" t="s">
        <v>30</v>
      </c>
      <c r="B10" s="29" t="s">
        <v>92</v>
      </c>
      <c r="C10" s="29">
        <v>10000</v>
      </c>
      <c r="D10" s="29" t="s">
        <v>94</v>
      </c>
      <c r="E10" s="30">
        <v>0.8</v>
      </c>
      <c r="F10" s="29" t="s">
        <v>93</v>
      </c>
      <c r="G10" s="30">
        <v>0.15</v>
      </c>
      <c r="H10" s="29">
        <v>2</v>
      </c>
      <c r="I10" s="29" t="s">
        <v>90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3.12</v>
      </c>
    </row>
    <row r="11" spans="1:12" x14ac:dyDescent="0.25">
      <c r="A11" s="40" t="s">
        <v>31</v>
      </c>
      <c r="B11" s="40" t="s">
        <v>87</v>
      </c>
      <c r="C11" s="40">
        <v>50</v>
      </c>
      <c r="D11" s="40" t="s">
        <v>94</v>
      </c>
      <c r="E11" s="41">
        <v>0.18</v>
      </c>
      <c r="F11" s="40" t="s">
        <v>89</v>
      </c>
      <c r="G11" s="42">
        <v>75</v>
      </c>
      <c r="H11" s="40">
        <v>0</v>
      </c>
      <c r="I11" s="40" t="s">
        <v>90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31</v>
      </c>
      <c r="B12" s="40" t="s">
        <v>91</v>
      </c>
      <c r="C12" s="40">
        <v>20</v>
      </c>
      <c r="D12" s="40" t="s">
        <v>94</v>
      </c>
      <c r="E12" s="41">
        <v>0.7</v>
      </c>
      <c r="F12" s="40" t="s">
        <v>95</v>
      </c>
      <c r="G12" s="41">
        <v>0.1</v>
      </c>
      <c r="H12" s="40">
        <v>7</v>
      </c>
      <c r="I12" s="40" t="s">
        <v>90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19.716666666666669</v>
      </c>
    </row>
    <row r="13" spans="1:12" x14ac:dyDescent="0.25">
      <c r="A13" s="40" t="s">
        <v>31</v>
      </c>
      <c r="B13" s="40" t="s">
        <v>92</v>
      </c>
      <c r="C13" s="40">
        <v>20000</v>
      </c>
      <c r="D13" s="40" t="s">
        <v>96</v>
      </c>
      <c r="E13" s="41">
        <v>0.7</v>
      </c>
      <c r="F13" s="40" t="s">
        <v>93</v>
      </c>
      <c r="G13" s="41">
        <v>0.1</v>
      </c>
      <c r="H13" s="40">
        <v>2</v>
      </c>
      <c r="I13" s="40" t="s">
        <v>90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24.960000000000004</v>
      </c>
    </row>
    <row r="14" spans="1:12" x14ac:dyDescent="0.25">
      <c r="A14" s="26" t="s">
        <v>33</v>
      </c>
      <c r="B14" s="26" t="s">
        <v>87</v>
      </c>
      <c r="C14" s="26">
        <v>100</v>
      </c>
      <c r="D14" s="26" t="s">
        <v>94</v>
      </c>
      <c r="E14" s="27">
        <v>0.27</v>
      </c>
      <c r="F14" s="26" t="s">
        <v>89</v>
      </c>
      <c r="G14" s="28">
        <v>125</v>
      </c>
      <c r="H14" s="26">
        <v>0</v>
      </c>
      <c r="I14" s="26" t="s">
        <v>90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33</v>
      </c>
      <c r="B15" s="26" t="s">
        <v>91</v>
      </c>
      <c r="C15" s="26">
        <v>5</v>
      </c>
      <c r="D15" s="26" t="s">
        <v>96</v>
      </c>
      <c r="E15" s="27">
        <v>0.7</v>
      </c>
      <c r="F15" s="26" t="s">
        <v>95</v>
      </c>
      <c r="G15" s="27">
        <v>0.15</v>
      </c>
      <c r="H15" s="26">
        <v>3</v>
      </c>
      <c r="I15" s="26" t="s">
        <v>90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152.10000000000002</v>
      </c>
    </row>
    <row r="16" spans="1:12" x14ac:dyDescent="0.25">
      <c r="A16" s="26" t="s">
        <v>33</v>
      </c>
      <c r="B16" s="26" t="s">
        <v>92</v>
      </c>
      <c r="C16" s="26">
        <v>20000</v>
      </c>
      <c r="D16" s="26" t="s">
        <v>96</v>
      </c>
      <c r="E16" s="27">
        <v>0.5</v>
      </c>
      <c r="F16" s="26" t="s">
        <v>93</v>
      </c>
      <c r="G16" s="27">
        <v>0.15</v>
      </c>
      <c r="H16" s="26">
        <v>2</v>
      </c>
      <c r="I16" s="26" t="s">
        <v>90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112.32000000000001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>
      <selection activeCell="D30" sqref="D30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139" t="s">
        <v>97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7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7" x14ac:dyDescent="0.25">
      <c r="A4" s="9" t="s">
        <v>99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100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101</v>
      </c>
      <c r="B6" s="8">
        <f>Inputs!G$35</f>
        <v>0</v>
      </c>
      <c r="C6" s="8">
        <f>Inputs!H$35</f>
        <v>0</v>
      </c>
      <c r="D6" s="8">
        <f>Inputs!I$35</f>
        <v>5</v>
      </c>
      <c r="E6" s="8">
        <f>Inputs!J$35</f>
        <v>10</v>
      </c>
      <c r="F6" s="8">
        <f>Inputs!K$35</f>
        <v>10</v>
      </c>
      <c r="G6" s="8">
        <f>Inputs!L$35</f>
        <v>10</v>
      </c>
      <c r="H6" s="8">
        <f>Inputs!M$35</f>
        <v>10</v>
      </c>
      <c r="I6" s="8">
        <f>Inputs!N$35</f>
        <v>10</v>
      </c>
      <c r="J6" s="8">
        <f>Inputs!O$35</f>
        <v>10</v>
      </c>
      <c r="K6" s="8">
        <f>Inputs!P$35</f>
        <v>10</v>
      </c>
      <c r="L6" s="8">
        <f>Inputs!Q$35</f>
        <v>10</v>
      </c>
      <c r="M6" s="8">
        <f>Inputs!R$35</f>
        <v>10</v>
      </c>
    </row>
    <row r="7" spans="1:17" x14ac:dyDescent="0.25">
      <c r="A7" s="9" t="s">
        <v>102</v>
      </c>
      <c r="B7" s="8">
        <f t="shared" ref="B7:M7" si="1">B5+B6</f>
        <v>105</v>
      </c>
      <c r="C7" s="8">
        <f t="shared" si="1"/>
        <v>70</v>
      </c>
      <c r="D7" s="8">
        <f t="shared" si="1"/>
        <v>75</v>
      </c>
      <c r="E7" s="8">
        <f t="shared" si="1"/>
        <v>80</v>
      </c>
      <c r="F7" s="8">
        <f t="shared" si="1"/>
        <v>80</v>
      </c>
      <c r="G7" s="8">
        <f t="shared" si="1"/>
        <v>80</v>
      </c>
      <c r="H7" s="8">
        <f t="shared" si="1"/>
        <v>80</v>
      </c>
      <c r="I7" s="8">
        <f t="shared" si="1"/>
        <v>80</v>
      </c>
      <c r="J7" s="8">
        <f t="shared" si="1"/>
        <v>80</v>
      </c>
      <c r="K7" s="8">
        <f t="shared" si="1"/>
        <v>80</v>
      </c>
      <c r="L7" s="8">
        <f t="shared" si="1"/>
        <v>80</v>
      </c>
      <c r="M7" s="8">
        <f t="shared" si="1"/>
        <v>80</v>
      </c>
      <c r="Q7" t="s">
        <v>103</v>
      </c>
    </row>
    <row r="8" spans="1:17" x14ac:dyDescent="0.25">
      <c r="A8" s="9" t="s">
        <v>104</v>
      </c>
      <c r="B8" s="8">
        <f>B7</f>
        <v>105</v>
      </c>
      <c r="C8" s="8">
        <f t="shared" ref="C8:M8" si="2">B8+C7</f>
        <v>175</v>
      </c>
      <c r="D8" s="8">
        <f t="shared" si="2"/>
        <v>250</v>
      </c>
      <c r="E8" s="8">
        <f t="shared" si="2"/>
        <v>330</v>
      </c>
      <c r="F8" s="8">
        <f t="shared" si="2"/>
        <v>410</v>
      </c>
      <c r="G8" s="8">
        <f t="shared" si="2"/>
        <v>490</v>
      </c>
      <c r="H8" s="8">
        <f t="shared" si="2"/>
        <v>570</v>
      </c>
      <c r="I8" s="8">
        <f t="shared" si="2"/>
        <v>650</v>
      </c>
      <c r="J8" s="8">
        <f t="shared" si="2"/>
        <v>730</v>
      </c>
      <c r="K8" s="8">
        <f t="shared" si="2"/>
        <v>810</v>
      </c>
      <c r="L8" s="8">
        <f t="shared" si="2"/>
        <v>890</v>
      </c>
      <c r="M8" s="8">
        <f t="shared" si="2"/>
        <v>970</v>
      </c>
    </row>
    <row r="9" spans="1:17" x14ac:dyDescent="0.25">
      <c r="A9" s="9" t="s">
        <v>105</v>
      </c>
      <c r="B9" s="8">
        <f t="shared" ref="B9:M9" si="3">B10+B11</f>
        <v>263</v>
      </c>
      <c r="C9" s="8">
        <f t="shared" si="3"/>
        <v>552</v>
      </c>
      <c r="D9" s="8">
        <f t="shared" si="3"/>
        <v>947</v>
      </c>
      <c r="E9" s="8">
        <f t="shared" si="3"/>
        <v>1456</v>
      </c>
      <c r="F9" s="8">
        <f t="shared" si="3"/>
        <v>2085</v>
      </c>
      <c r="G9" s="8">
        <f t="shared" si="3"/>
        <v>2868</v>
      </c>
      <c r="H9" s="8">
        <f t="shared" si="3"/>
        <v>3696</v>
      </c>
      <c r="I9" s="8">
        <f t="shared" si="3"/>
        <v>4628</v>
      </c>
      <c r="J9" s="8">
        <f t="shared" si="3"/>
        <v>5685</v>
      </c>
      <c r="K9" s="8">
        <f t="shared" si="3"/>
        <v>6827</v>
      </c>
      <c r="L9" s="8">
        <f t="shared" si="3"/>
        <v>8160</v>
      </c>
      <c r="M9" s="8">
        <f t="shared" si="3"/>
        <v>9515</v>
      </c>
    </row>
    <row r="10" spans="1:17" x14ac:dyDescent="0.25">
      <c r="A10" s="9" t="s">
        <v>106</v>
      </c>
      <c r="B10" s="8">
        <f>ROUND(B13*'VIP Levels'!$E$5+B14*'VIP Levels'!$E$6+B15*'VIP Levels'!$E$7+B16*'VIP Levels'!$E$8+B17*'VIP Levels'!$E$9,0)</f>
        <v>230</v>
      </c>
      <c r="C10" s="8">
        <f>ROUND(C13*'VIP Levels'!$E$5+C14*'VIP Levels'!$E$6+C15*'VIP Levels'!$E$7+C16*'VIP Levels'!$E$8+C17*'VIP Levels'!$E$9,0)</f>
        <v>500</v>
      </c>
      <c r="D10" s="8">
        <f>ROUND(D13*'VIP Levels'!$E$5+D14*'VIP Levels'!$E$6+D15*'VIP Levels'!$E$7+D16*'VIP Levels'!$E$8+D17*'VIP Levels'!$E$9,0)</f>
        <v>864</v>
      </c>
      <c r="E10" s="8">
        <f>ROUND(E13*'VIP Levels'!$E$5+E14*'VIP Levels'!$E$6+E15*'VIP Levels'!$E$7+E16*'VIP Levels'!$E$8+E17*'VIP Levels'!$E$9,0)</f>
        <v>1336</v>
      </c>
      <c r="F10" s="8">
        <f>ROUND(F13*'VIP Levels'!$E$5+F14*'VIP Levels'!$E$6+F15*'VIP Levels'!$E$7+F16*'VIP Levels'!$E$8+F17*'VIP Levels'!$E$9,0)</f>
        <v>1920</v>
      </c>
      <c r="G10" s="8">
        <f>ROUND(G13*'VIP Levels'!$E$5+G14*'VIP Levels'!$E$6+G15*'VIP Levels'!$E$7+G16*'VIP Levels'!$E$8+G17*'VIP Levels'!$E$9,0)</f>
        <v>2644</v>
      </c>
      <c r="H10" s="8">
        <f>ROUND(H13*'VIP Levels'!$E$5+H14*'VIP Levels'!$E$6+H15*'VIP Levels'!$E$7+H16*'VIP Levels'!$E$8+H17*'VIP Levels'!$E$9,0)</f>
        <v>3428</v>
      </c>
      <c r="I10" s="8">
        <f>ROUND(I13*'VIP Levels'!$E$5+I14*'VIP Levels'!$E$6+I15*'VIP Levels'!$E$7+I16*'VIP Levels'!$E$8+I17*'VIP Levels'!$E$9,0)</f>
        <v>4302</v>
      </c>
      <c r="J10" s="8">
        <f>ROUND(J13*'VIP Levels'!$E$5+J14*'VIP Levels'!$E$6+J15*'VIP Levels'!$E$7+J16*'VIP Levels'!$E$8+J17*'VIP Levels'!$E$9,0)</f>
        <v>5292</v>
      </c>
      <c r="K10" s="8">
        <f>ROUND(K13*'VIP Levels'!$E$5+K14*'VIP Levels'!$E$6+K15*'VIP Levels'!$E$7+K16*'VIP Levels'!$E$8+K17*'VIP Levels'!$E$9,0)</f>
        <v>6366</v>
      </c>
      <c r="L10" s="8">
        <f>ROUND(L13*'VIP Levels'!$E$5+L14*'VIP Levels'!$E$6+L15*'VIP Levels'!$E$7+L16*'VIP Levels'!$E$8+L17*'VIP Levels'!$E$9,0)</f>
        <v>7608</v>
      </c>
      <c r="M10" s="8">
        <f>ROUND(M13*'VIP Levels'!$E$5+M14*'VIP Levels'!$E$6+M15*'VIP Levels'!$E$7+M16*'VIP Levels'!$E$8+M17*'VIP Levels'!$E$9,0)</f>
        <v>8894</v>
      </c>
    </row>
    <row r="11" spans="1:17" x14ac:dyDescent="0.25">
      <c r="A11" s="9" t="s">
        <v>107</v>
      </c>
      <c r="B11" s="8">
        <f>ROUND(B19*'VIP Levels'!$B$15*'VIP Levels'!$E$5*(Inputs!$B$14-1)*('VIP Levels'!$D$15/30)+B20*'VIP Levels'!$B$16*'VIP Levels'!$E$6*(Inputs!$B$14-1)*('VIP Levels'!$D$16/30)+B21*'VIP Levels'!$B$17*'VIP Levels'!$E$7*(Inputs!$B$14-1)*('VIP Levels'!$D$17/30)+B22*'VIP Levels'!$B$18*'VIP Levels'!$E$8*(Inputs!$B$14-1)*('VIP Levels'!$D$18/30)+B23*'VIP Levels'!$B$19*'VIP Levels'!$E$9*(Inputs!$B$14-1)*('VIP Levels'!$D$19/30)+B19*'VIP Levels'!$B$23*'VIP Levels'!$E$5*(Inputs!$B$14-1)*('VIP Levels'!$D$23/30)+B20*'VIP Levels'!$B$24*'VIP Levels'!$E$6*(Inputs!$B$14-1)*('VIP Levels'!$D$24/30)+B21*'VIP Levels'!$B$25*'VIP Levels'!$E$7*(Inputs!$B$14-1)*('VIP Levels'!$D$25/30)+B22*'VIP Levels'!$B$26*'VIP Levels'!$E$8*(Inputs!$B$14-1)*('VIP Levels'!$D$26/30)+B23*'VIP Levels'!$B$27*'VIP Levels'!$E$9*(Inputs!$B$14-1)*('VIP Levels'!$D$27/30)+SUMPRODUCT((Missions!$F$5:$F$26="Commission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33</v>
      </c>
      <c r="C11" s="8">
        <f>ROUND(C19*'VIP Levels'!$B$15*'VIP Levels'!$E$5*(Inputs!$B$14-1)*('VIP Levels'!$D$15/30)+C20*'VIP Levels'!$B$16*'VIP Levels'!$E$6*(Inputs!$B$14-1)*('VIP Levels'!$D$16/30)+C21*'VIP Levels'!$B$17*'VIP Levels'!$E$7*(Inputs!$B$14-1)*('VIP Levels'!$D$17/30)+C22*'VIP Levels'!$B$18*'VIP Levels'!$E$8*(Inputs!$B$14-1)*('VIP Levels'!$D$18/30)+C23*'VIP Levels'!$B$19*'VIP Levels'!$E$9*(Inputs!$B$14-1)*('VIP Levels'!$D$19/30)+C19*'VIP Levels'!$B$23*'VIP Levels'!$E$5*(Inputs!$B$14-1)*('VIP Levels'!$D$23/30)+C20*'VIP Levels'!$B$24*'VIP Levels'!$E$6*(Inputs!$B$14-1)*('VIP Levels'!$D$24/30)+C21*'VIP Levels'!$B$25*'VIP Levels'!$E$7*(Inputs!$B$14-1)*('VIP Levels'!$D$25/30)+C22*'VIP Levels'!$B$26*'VIP Levels'!$E$8*(Inputs!$B$14-1)*('VIP Levels'!$D$26/30)+C23*'VIP Levels'!$B$27*'VIP Levels'!$E$9*(Inputs!$B$14-1)*('VIP Levels'!$D$27/30)+SUMPRODUCT((Missions!$F$5:$F$26="Commission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52</v>
      </c>
      <c r="D11" s="8">
        <f>ROUND(D19*'VIP Levels'!$B$15*'VIP Levels'!$E$5*(Inputs!$B$14-1)*('VIP Levels'!$D$15/30)+D20*'VIP Levels'!$B$16*'VIP Levels'!$E$6*(Inputs!$B$14-1)*('VIP Levels'!$D$16/30)+D21*'VIP Levels'!$B$17*'VIP Levels'!$E$7*(Inputs!$B$14-1)*('VIP Levels'!$D$17/30)+D22*'VIP Levels'!$B$18*'VIP Levels'!$E$8*(Inputs!$B$14-1)*('VIP Levels'!$D$18/30)+D23*'VIP Levels'!$B$19*'VIP Levels'!$E$9*(Inputs!$B$14-1)*('VIP Levels'!$D$19/30)+D19*'VIP Levels'!$B$23*'VIP Levels'!$E$5*(Inputs!$B$14-1)*('VIP Levels'!$D$23/30)+D20*'VIP Levels'!$B$24*'VIP Levels'!$E$6*(Inputs!$B$14-1)*('VIP Levels'!$D$24/30)+D21*'VIP Levels'!$B$25*'VIP Levels'!$E$7*(Inputs!$B$14-1)*('VIP Levels'!$D$25/30)+D22*'VIP Levels'!$B$26*'VIP Levels'!$E$8*(Inputs!$B$14-1)*('VIP Levels'!$D$26/30)+D23*'VIP Levels'!$B$27*'VIP Levels'!$E$9*(Inputs!$B$14-1)*('VIP Levels'!$D$27/30)+SUMPRODUCT((Missions!$F$5:$F$26="Commission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83</v>
      </c>
      <c r="E11" s="8">
        <f>ROUND(E19*'VIP Levels'!$B$15*'VIP Levels'!$E$5*(Inputs!$B$14-1)*('VIP Levels'!$D$15/30)+E20*'VIP Levels'!$B$16*'VIP Levels'!$E$6*(Inputs!$B$14-1)*('VIP Levels'!$D$16/30)+E21*'VIP Levels'!$B$17*'VIP Levels'!$E$7*(Inputs!$B$14-1)*('VIP Levels'!$D$17/30)+E22*'VIP Levels'!$B$18*'VIP Levels'!$E$8*(Inputs!$B$14-1)*('VIP Levels'!$D$18/30)+E23*'VIP Levels'!$B$19*'VIP Levels'!$E$9*(Inputs!$B$14-1)*('VIP Levels'!$D$19/30)+E19*'VIP Levels'!$B$23*'VIP Levels'!$E$5*(Inputs!$B$14-1)*('VIP Levels'!$D$23/30)+E20*'VIP Levels'!$B$24*'VIP Levels'!$E$6*(Inputs!$B$14-1)*('VIP Levels'!$D$24/30)+E21*'VIP Levels'!$B$25*'VIP Levels'!$E$7*(Inputs!$B$14-1)*('VIP Levels'!$D$25/30)+E22*'VIP Levels'!$B$26*'VIP Levels'!$E$8*(Inputs!$B$14-1)*('VIP Levels'!$D$26/30)+E23*'VIP Levels'!$B$27*'VIP Levels'!$E$9*(Inputs!$B$14-1)*('VIP Levels'!$D$27/30)+SUMPRODUCT((Missions!$F$5:$F$26="Commission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120</v>
      </c>
      <c r="F11" s="8">
        <f>ROUND(F19*'VIP Levels'!$B$15*'VIP Levels'!$E$5*(Inputs!$B$14-1)*('VIP Levels'!$D$15/30)+F20*'VIP Levels'!$B$16*'VIP Levels'!$E$6*(Inputs!$B$14-1)*('VIP Levels'!$D$16/30)+F21*'VIP Levels'!$B$17*'VIP Levels'!$E$7*(Inputs!$B$14-1)*('VIP Levels'!$D$17/30)+F22*'VIP Levels'!$B$18*'VIP Levels'!$E$8*(Inputs!$B$14-1)*('VIP Levels'!$D$18/30)+F23*'VIP Levels'!$B$19*'VIP Levels'!$E$9*(Inputs!$B$14-1)*('VIP Levels'!$D$19/30)+F19*'VIP Levels'!$B$23*'VIP Levels'!$E$5*(Inputs!$B$14-1)*('VIP Levels'!$D$23/30)+F20*'VIP Levels'!$B$24*'VIP Levels'!$E$6*(Inputs!$B$14-1)*('VIP Levels'!$D$24/30)+F21*'VIP Levels'!$B$25*'VIP Levels'!$E$7*(Inputs!$B$14-1)*('VIP Levels'!$D$25/30)+F22*'VIP Levels'!$B$26*'VIP Levels'!$E$8*(Inputs!$B$14-1)*('VIP Levels'!$D$26/30)+F23*'VIP Levels'!$B$27*'VIP Levels'!$E$9*(Inputs!$B$14-1)*('VIP Levels'!$D$27/30)+SUMPRODUCT((Missions!$F$5:$F$26="Commission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165</v>
      </c>
      <c r="G11" s="8">
        <f>ROUND(G19*'VIP Levels'!$B$15*'VIP Levels'!$E$5*(Inputs!$B$14-1)*('VIP Levels'!$D$15/30)+G20*'VIP Levels'!$B$16*'VIP Levels'!$E$6*(Inputs!$B$14-1)*('VIP Levels'!$D$16/30)+G21*'VIP Levels'!$B$17*'VIP Levels'!$E$7*(Inputs!$B$14-1)*('VIP Levels'!$D$17/30)+G22*'VIP Levels'!$B$18*'VIP Levels'!$E$8*(Inputs!$B$14-1)*('VIP Levels'!$D$18/30)+G23*'VIP Levels'!$B$19*'VIP Levels'!$E$9*(Inputs!$B$14-1)*('VIP Levels'!$D$19/30)+G19*'VIP Levels'!$B$23*'VIP Levels'!$E$5*(Inputs!$B$14-1)*('VIP Levels'!$D$23/30)+G20*'VIP Levels'!$B$24*'VIP Levels'!$E$6*(Inputs!$B$14-1)*('VIP Levels'!$D$24/30)+G21*'VIP Levels'!$B$25*'VIP Levels'!$E$7*(Inputs!$B$14-1)*('VIP Levels'!$D$25/30)+G22*'VIP Levels'!$B$26*'VIP Levels'!$E$8*(Inputs!$B$14-1)*('VIP Levels'!$D$26/30)+G23*'VIP Levels'!$B$27*'VIP Levels'!$E$9*(Inputs!$B$14-1)*('VIP Levels'!$D$27/30)+SUMPRODUCT((Missions!$F$5:$F$26="Commission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224</v>
      </c>
      <c r="H11" s="8">
        <f>ROUND(H19*'VIP Levels'!$B$15*'VIP Levels'!$E$5*(Inputs!$B$14-1)*('VIP Levels'!$D$15/30)+H20*'VIP Levels'!$B$16*'VIP Levels'!$E$6*(Inputs!$B$14-1)*('VIP Levels'!$D$16/30)+H21*'VIP Levels'!$B$17*'VIP Levels'!$E$7*(Inputs!$B$14-1)*('VIP Levels'!$D$17/30)+H22*'VIP Levels'!$B$18*'VIP Levels'!$E$8*(Inputs!$B$14-1)*('VIP Levels'!$D$18/30)+H23*'VIP Levels'!$B$19*'VIP Levels'!$E$9*(Inputs!$B$14-1)*('VIP Levels'!$D$19/30)+H19*'VIP Levels'!$B$23*'VIP Levels'!$E$5*(Inputs!$B$14-1)*('VIP Levels'!$D$23/30)+H20*'VIP Levels'!$B$24*'VIP Levels'!$E$6*(Inputs!$B$14-1)*('VIP Levels'!$D$24/30)+H21*'VIP Levels'!$B$25*'VIP Levels'!$E$7*(Inputs!$B$14-1)*('VIP Levels'!$D$25/30)+H22*'VIP Levels'!$B$26*'VIP Levels'!$E$8*(Inputs!$B$14-1)*('VIP Levels'!$D$26/30)+H23*'VIP Levels'!$B$27*'VIP Levels'!$E$9*(Inputs!$B$14-1)*('VIP Levels'!$D$27/30)+SUMPRODUCT((Missions!$F$5:$F$26="Commission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268</v>
      </c>
      <c r="I11" s="8">
        <f>ROUND(I19*'VIP Levels'!$B$15*'VIP Levels'!$E$5*(Inputs!$B$14-1)*('VIP Levels'!$D$15/30)+I20*'VIP Levels'!$B$16*'VIP Levels'!$E$6*(Inputs!$B$14-1)*('VIP Levels'!$D$16/30)+I21*'VIP Levels'!$B$17*'VIP Levels'!$E$7*(Inputs!$B$14-1)*('VIP Levels'!$D$17/30)+I22*'VIP Levels'!$B$18*'VIP Levels'!$E$8*(Inputs!$B$14-1)*('VIP Levels'!$D$18/30)+I23*'VIP Levels'!$B$19*'VIP Levels'!$E$9*(Inputs!$B$14-1)*('VIP Levels'!$D$19/30)+I19*'VIP Levels'!$B$23*'VIP Levels'!$E$5*(Inputs!$B$14-1)*('VIP Levels'!$D$23/30)+I20*'VIP Levels'!$B$24*'VIP Levels'!$E$6*(Inputs!$B$14-1)*('VIP Levels'!$D$24/30)+I21*'VIP Levels'!$B$25*'VIP Levels'!$E$7*(Inputs!$B$14-1)*('VIP Levels'!$D$25/30)+I22*'VIP Levels'!$B$26*'VIP Levels'!$E$8*(Inputs!$B$14-1)*('VIP Levels'!$D$26/30)+I23*'VIP Levels'!$B$27*'VIP Levels'!$E$9*(Inputs!$B$14-1)*('VIP Levels'!$D$27/30)+SUMPRODUCT((Missions!$F$5:$F$26="Commission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326</v>
      </c>
      <c r="J11" s="8">
        <f>ROUND(J19*'VIP Levels'!$B$15*'VIP Levels'!$E$5*(Inputs!$B$14-1)*('VIP Levels'!$D$15/30)+J20*'VIP Levels'!$B$16*'VIP Levels'!$E$6*(Inputs!$B$14-1)*('VIP Levels'!$D$16/30)+J21*'VIP Levels'!$B$17*'VIP Levels'!$E$7*(Inputs!$B$14-1)*('VIP Levels'!$D$17/30)+J22*'VIP Levels'!$B$18*'VIP Levels'!$E$8*(Inputs!$B$14-1)*('VIP Levels'!$D$18/30)+J23*'VIP Levels'!$B$19*'VIP Levels'!$E$9*(Inputs!$B$14-1)*('VIP Levels'!$D$19/30)+J19*'VIP Levels'!$B$23*'VIP Levels'!$E$5*(Inputs!$B$14-1)*('VIP Levels'!$D$23/30)+J20*'VIP Levels'!$B$24*'VIP Levels'!$E$6*(Inputs!$B$14-1)*('VIP Levels'!$D$24/30)+J21*'VIP Levels'!$B$25*'VIP Levels'!$E$7*(Inputs!$B$14-1)*('VIP Levels'!$D$25/30)+J22*'VIP Levels'!$B$26*'VIP Levels'!$E$8*(Inputs!$B$14-1)*('VIP Levels'!$D$26/30)+J23*'VIP Levels'!$B$27*'VIP Levels'!$E$9*(Inputs!$B$14-1)*('VIP Levels'!$D$27/30)+SUMPRODUCT((Missions!$F$5:$F$26="Commission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393</v>
      </c>
      <c r="K11" s="8">
        <f>ROUND(K19*'VIP Levels'!$B$15*'VIP Levels'!$E$5*(Inputs!$B$14-1)*('VIP Levels'!$D$15/30)+K20*'VIP Levels'!$B$16*'VIP Levels'!$E$6*(Inputs!$B$14-1)*('VIP Levels'!$D$16/30)+K21*'VIP Levels'!$B$17*'VIP Levels'!$E$7*(Inputs!$B$14-1)*('VIP Levels'!$D$17/30)+K22*'VIP Levels'!$B$18*'VIP Levels'!$E$8*(Inputs!$B$14-1)*('VIP Levels'!$D$18/30)+K23*'VIP Levels'!$B$19*'VIP Levels'!$E$9*(Inputs!$B$14-1)*('VIP Levels'!$D$19/30)+K19*'VIP Levels'!$B$23*'VIP Levels'!$E$5*(Inputs!$B$14-1)*('VIP Levels'!$D$23/30)+K20*'VIP Levels'!$B$24*'VIP Levels'!$E$6*(Inputs!$B$14-1)*('VIP Levels'!$D$24/30)+K21*'VIP Levels'!$B$25*'VIP Levels'!$E$7*(Inputs!$B$14-1)*('VIP Levels'!$D$25/30)+K22*'VIP Levels'!$B$26*'VIP Levels'!$E$8*(Inputs!$B$14-1)*('VIP Levels'!$D$26/30)+K23*'VIP Levels'!$B$27*'VIP Levels'!$E$9*(Inputs!$B$14-1)*('VIP Levels'!$D$27/30)+SUMPRODUCT((Missions!$F$5:$F$26="Commission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461</v>
      </c>
      <c r="L11" s="8">
        <f>ROUND(L19*'VIP Levels'!$B$15*'VIP Levels'!$E$5*(Inputs!$B$14-1)*('VIP Levels'!$D$15/30)+L20*'VIP Levels'!$B$16*'VIP Levels'!$E$6*(Inputs!$B$14-1)*('VIP Levels'!$D$16/30)+L21*'VIP Levels'!$B$17*'VIP Levels'!$E$7*(Inputs!$B$14-1)*('VIP Levels'!$D$17/30)+L22*'VIP Levels'!$B$18*'VIP Levels'!$E$8*(Inputs!$B$14-1)*('VIP Levels'!$D$18/30)+L23*'VIP Levels'!$B$19*'VIP Levels'!$E$9*(Inputs!$B$14-1)*('VIP Levels'!$D$19/30)+L19*'VIP Levels'!$B$23*'VIP Levels'!$E$5*(Inputs!$B$14-1)*('VIP Levels'!$D$23/30)+L20*'VIP Levels'!$B$24*'VIP Levels'!$E$6*(Inputs!$B$14-1)*('VIP Levels'!$D$24/30)+L21*'VIP Levels'!$B$25*'VIP Levels'!$E$7*(Inputs!$B$14-1)*('VIP Levels'!$D$25/30)+L22*'VIP Levels'!$B$26*'VIP Levels'!$E$8*(Inputs!$B$14-1)*('VIP Levels'!$D$26/30)+L23*'VIP Levels'!$B$27*'VIP Levels'!$E$9*(Inputs!$B$14-1)*('VIP Levels'!$D$27/30)+SUMPRODUCT((Missions!$F$5:$F$26="Commission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552</v>
      </c>
      <c r="M11" s="8">
        <f>ROUND(M19*'VIP Levels'!$B$15*'VIP Levels'!$E$5*(Inputs!$B$14-1)*('VIP Levels'!$D$15/30)+M20*'VIP Levels'!$B$16*'VIP Levels'!$E$6*(Inputs!$B$14-1)*('VIP Levels'!$D$16/30)+M21*'VIP Levels'!$B$17*'VIP Levels'!$E$7*(Inputs!$B$14-1)*('VIP Levels'!$D$17/30)+M22*'VIP Levels'!$B$18*'VIP Levels'!$E$8*(Inputs!$B$14-1)*('VIP Levels'!$D$18/30)+M23*'VIP Levels'!$B$19*'VIP Levels'!$E$9*(Inputs!$B$14-1)*('VIP Levels'!$D$19/30)+M19*'VIP Levels'!$B$23*'VIP Levels'!$E$5*(Inputs!$B$14-1)*('VIP Levels'!$D$23/30)+M20*'VIP Levels'!$B$24*'VIP Levels'!$E$6*(Inputs!$B$14-1)*('VIP Levels'!$D$24/30)+M21*'VIP Levels'!$B$25*'VIP Levels'!$E$7*(Inputs!$B$14-1)*('VIP Levels'!$D$25/30)+M22*'VIP Levels'!$B$26*'VIP Levels'!$E$8*(Inputs!$B$14-1)*('VIP Levels'!$D$26/30)+M23*'VIP Levels'!$B$27*'VIP Levels'!$E$9*(Inputs!$B$14-1)*('VIP Levels'!$D$27/30)+SUMPRODUCT((Missions!$F$5:$F$26="Commission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621</v>
      </c>
    </row>
    <row r="12" spans="1:17" ht="18.75" customHeight="1" x14ac:dyDescent="0.3">
      <c r="A12" s="1" t="s">
        <v>108</v>
      </c>
    </row>
    <row r="13" spans="1:17" ht="18.75" customHeight="1" x14ac:dyDescent="0.25">
      <c r="A13" s="9" t="s">
        <v>109</v>
      </c>
      <c r="B13" s="8">
        <f>ROUND(B8*Inputs!G$6,0)</f>
        <v>100</v>
      </c>
      <c r="C13" s="8">
        <f>ROUND(C8*Inputs!H$6,0)</f>
        <v>157</v>
      </c>
      <c r="D13" s="8">
        <f>ROUND(D8*Inputs!I$6,0)</f>
        <v>210</v>
      </c>
      <c r="E13" s="8">
        <f>ROUND(E8*Inputs!J$6,0)</f>
        <v>260</v>
      </c>
      <c r="F13" s="8">
        <f>ROUND(F8*Inputs!K$6,0)</f>
        <v>300</v>
      </c>
      <c r="G13" s="8">
        <f>ROUND(G8*Inputs!L$6,0)</f>
        <v>332</v>
      </c>
      <c r="H13" s="8">
        <f>ROUND(H8*Inputs!M$6,0)</f>
        <v>355</v>
      </c>
      <c r="I13" s="8">
        <f>ROUND(I8*Inputs!N$6,0)</f>
        <v>369</v>
      </c>
      <c r="J13" s="8">
        <f>ROUND(J8*Inputs!O$6,0)</f>
        <v>375</v>
      </c>
      <c r="K13" s="8">
        <f>ROUND(K8*Inputs!P$6,0)</f>
        <v>372</v>
      </c>
      <c r="L13" s="8">
        <f>ROUND(L8*Inputs!Q$6,0)</f>
        <v>360</v>
      </c>
      <c r="M13" s="8">
        <f>ROUND(M8*Inputs!R$6,0)</f>
        <v>340</v>
      </c>
    </row>
    <row r="14" spans="1:17" x14ac:dyDescent="0.25">
      <c r="A14" s="9" t="s">
        <v>110</v>
      </c>
      <c r="B14" s="8">
        <f>ROUND(B8*Inputs!G$7,0)</f>
        <v>5</v>
      </c>
      <c r="C14" s="8">
        <f>ROUND(C8*Inputs!H$7,0)</f>
        <v>16</v>
      </c>
      <c r="D14" s="8">
        <f>ROUND(D8*Inputs!I$7,0)</f>
        <v>32</v>
      </c>
      <c r="E14" s="8">
        <f>ROUND(E8*Inputs!J$7,0)</f>
        <v>55</v>
      </c>
      <c r="F14" s="8">
        <f>ROUND(F8*Inputs!K$7,0)</f>
        <v>85</v>
      </c>
      <c r="G14" s="8">
        <f>ROUND(G8*Inputs!L$7,0)</f>
        <v>120</v>
      </c>
      <c r="H14" s="8">
        <f>ROUND(H8*Inputs!M$7,0)</f>
        <v>162</v>
      </c>
      <c r="I14" s="8">
        <f>ROUND(I8*Inputs!N$7,0)</f>
        <v>210</v>
      </c>
      <c r="J14" s="8">
        <f>ROUND(J8*Inputs!O$7,0)</f>
        <v>265</v>
      </c>
      <c r="K14" s="8">
        <f>ROUND(K8*Inputs!P$7,0)</f>
        <v>325</v>
      </c>
      <c r="L14" s="8">
        <f>ROUND(L8*Inputs!Q$7,0)</f>
        <v>392</v>
      </c>
      <c r="M14" s="8">
        <f>ROUND(M8*Inputs!R$7,0)</f>
        <v>466</v>
      </c>
    </row>
    <row r="15" spans="1:17" x14ac:dyDescent="0.25">
      <c r="A15" s="9" t="s">
        <v>111</v>
      </c>
      <c r="B15" s="8">
        <f>ROUND(B8*Inputs!G$8,0)</f>
        <v>0</v>
      </c>
      <c r="C15" s="8">
        <f>ROUND(C8*Inputs!H$8,0)</f>
        <v>2</v>
      </c>
      <c r="D15" s="8">
        <f>ROUND(D8*Inputs!I$8,0)</f>
        <v>5</v>
      </c>
      <c r="E15" s="8">
        <f>ROUND(E8*Inputs!J$8,0)</f>
        <v>9</v>
      </c>
      <c r="F15" s="8">
        <f>ROUND(F8*Inputs!K$8,0)</f>
        <v>15</v>
      </c>
      <c r="G15" s="8">
        <f>ROUND(G8*Inputs!L$8,0)</f>
        <v>22</v>
      </c>
      <c r="H15" s="8">
        <f>ROUND(H8*Inputs!M$8,0)</f>
        <v>31</v>
      </c>
      <c r="I15" s="8">
        <f>ROUND(I8*Inputs!N$8,0)</f>
        <v>41</v>
      </c>
      <c r="J15" s="8">
        <f>ROUND(J8*Inputs!O$8,0)</f>
        <v>53</v>
      </c>
      <c r="K15" s="8">
        <f>ROUND(K8*Inputs!P$8,0)</f>
        <v>66</v>
      </c>
      <c r="L15" s="8">
        <f>ROUND(L8*Inputs!Q$8,0)</f>
        <v>81</v>
      </c>
      <c r="M15" s="8">
        <f>ROUND(M8*Inputs!R$8,0)</f>
        <v>97</v>
      </c>
    </row>
    <row r="16" spans="1:17" x14ac:dyDescent="0.25">
      <c r="A16" s="9" t="s">
        <v>112</v>
      </c>
      <c r="B16" s="8">
        <f>ROUND(B8*Inputs!G$9,0)</f>
        <v>0</v>
      </c>
      <c r="C16" s="8">
        <f>ROUND(C8*Inputs!H$9,0)</f>
        <v>1</v>
      </c>
      <c r="D16" s="8">
        <f>ROUND(D8*Inputs!I$9,0)</f>
        <v>3</v>
      </c>
      <c r="E16" s="8">
        <f>ROUND(E8*Inputs!J$9,0)</f>
        <v>6</v>
      </c>
      <c r="F16" s="8">
        <f>ROUND(F8*Inputs!K$9,0)</f>
        <v>10</v>
      </c>
      <c r="G16" s="8">
        <f>ROUND(G8*Inputs!L$9,0)</f>
        <v>16</v>
      </c>
      <c r="H16" s="8">
        <f>ROUND(H8*Inputs!M$9,0)</f>
        <v>22</v>
      </c>
      <c r="I16" s="8">
        <f>ROUND(I8*Inputs!N$9,0)</f>
        <v>29</v>
      </c>
      <c r="J16" s="8">
        <f>ROUND(J8*Inputs!O$9,0)</f>
        <v>37</v>
      </c>
      <c r="K16" s="8">
        <f>ROUND(K8*Inputs!P$9,0)</f>
        <v>46</v>
      </c>
      <c r="L16" s="8">
        <f>ROUND(L8*Inputs!Q$9,0)</f>
        <v>57</v>
      </c>
      <c r="M16" s="8">
        <f>ROUND(M8*Inputs!R$9,0)</f>
        <v>68</v>
      </c>
    </row>
    <row r="17" spans="1:13" x14ac:dyDescent="0.25">
      <c r="A17" s="9" t="s">
        <v>113</v>
      </c>
      <c r="B17" s="8">
        <f>ROUND(B8*Inputs!G$10,0)</f>
        <v>0</v>
      </c>
      <c r="C17" s="8">
        <f>ROUND(C8*Inputs!G$10,0)</f>
        <v>0</v>
      </c>
      <c r="D17" s="8">
        <f>ROUND(D8*Inputs!G$10,0)</f>
        <v>0</v>
      </c>
      <c r="E17" s="8">
        <f>ROUND(E8*Inputs!G$10,0)</f>
        <v>0</v>
      </c>
      <c r="F17" s="8">
        <f>ROUND(F8*Inputs!G$10,0)</f>
        <v>0</v>
      </c>
      <c r="G17" s="8">
        <f>ROUND(G8*Inputs!G$10,0)</f>
        <v>0</v>
      </c>
      <c r="H17" s="8">
        <f>ROUND(H8*Inputs!G$10,0)</f>
        <v>0</v>
      </c>
      <c r="I17" s="8">
        <f>ROUND(I8*Inputs!G$10,0)</f>
        <v>0</v>
      </c>
      <c r="J17" s="8">
        <f>ROUND(J8*Inputs!G$10,0)</f>
        <v>0</v>
      </c>
      <c r="K17" s="8">
        <f>ROUND(K8*Inputs!G$10,0)</f>
        <v>0</v>
      </c>
      <c r="L17" s="8">
        <f>ROUND(L8*Inputs!G$10,0)</f>
        <v>0</v>
      </c>
      <c r="M17" s="8">
        <f>ROUND(M8*Inputs!G$10,0)</f>
        <v>0</v>
      </c>
    </row>
    <row r="18" spans="1:13" ht="18.75" customHeight="1" x14ac:dyDescent="0.3">
      <c r="A18" s="1" t="s">
        <v>114</v>
      </c>
    </row>
    <row r="19" spans="1:13" ht="18.75" customHeight="1" x14ac:dyDescent="0.25">
      <c r="A19" s="12" t="s">
        <v>115</v>
      </c>
      <c r="B19" s="8">
        <f t="shared" ref="B19:M19" si="4">B7</f>
        <v>105</v>
      </c>
      <c r="C19" s="8">
        <f t="shared" si="4"/>
        <v>70</v>
      </c>
      <c r="D19" s="8">
        <f t="shared" si="4"/>
        <v>75</v>
      </c>
      <c r="E19" s="8">
        <f t="shared" si="4"/>
        <v>80</v>
      </c>
      <c r="F19" s="8">
        <f t="shared" si="4"/>
        <v>80</v>
      </c>
      <c r="G19" s="8">
        <f t="shared" si="4"/>
        <v>80</v>
      </c>
      <c r="H19" s="8">
        <f t="shared" si="4"/>
        <v>80</v>
      </c>
      <c r="I19" s="8">
        <f t="shared" si="4"/>
        <v>80</v>
      </c>
      <c r="J19" s="8">
        <f t="shared" si="4"/>
        <v>80</v>
      </c>
      <c r="K19" s="8">
        <f t="shared" si="4"/>
        <v>80</v>
      </c>
      <c r="L19" s="8">
        <f t="shared" si="4"/>
        <v>80</v>
      </c>
      <c r="M19" s="8">
        <f t="shared" si="4"/>
        <v>80</v>
      </c>
    </row>
    <row r="20" spans="1:13" x14ac:dyDescent="0.25">
      <c r="A20" s="12" t="s">
        <v>116</v>
      </c>
      <c r="B20" s="8">
        <f>B14</f>
        <v>5</v>
      </c>
      <c r="C20" s="8">
        <f t="shared" ref="C20:M20" si="5">MAX(0,C14-B14)</f>
        <v>11</v>
      </c>
      <c r="D20" s="8">
        <f t="shared" si="5"/>
        <v>16</v>
      </c>
      <c r="E20" s="8">
        <f t="shared" si="5"/>
        <v>23</v>
      </c>
      <c r="F20" s="8">
        <f t="shared" si="5"/>
        <v>30</v>
      </c>
      <c r="G20" s="8">
        <f t="shared" si="5"/>
        <v>35</v>
      </c>
      <c r="H20" s="8">
        <f t="shared" si="5"/>
        <v>42</v>
      </c>
      <c r="I20" s="8">
        <f t="shared" si="5"/>
        <v>48</v>
      </c>
      <c r="J20" s="8">
        <f t="shared" si="5"/>
        <v>55</v>
      </c>
      <c r="K20" s="8">
        <f t="shared" si="5"/>
        <v>60</v>
      </c>
      <c r="L20" s="8">
        <f t="shared" si="5"/>
        <v>67</v>
      </c>
      <c r="M20" s="8">
        <f t="shared" si="5"/>
        <v>74</v>
      </c>
    </row>
    <row r="21" spans="1:13" ht="18.75" customHeight="1" x14ac:dyDescent="0.25">
      <c r="A21" s="12" t="s">
        <v>117</v>
      </c>
      <c r="B21" s="8">
        <f>B15</f>
        <v>0</v>
      </c>
      <c r="C21" s="8">
        <f t="shared" ref="C21:M21" si="6">MAX(0,C15-B15)</f>
        <v>2</v>
      </c>
      <c r="D21" s="8">
        <f t="shared" si="6"/>
        <v>3</v>
      </c>
      <c r="E21" s="8">
        <f t="shared" si="6"/>
        <v>4</v>
      </c>
      <c r="F21" s="8">
        <f t="shared" si="6"/>
        <v>6</v>
      </c>
      <c r="G21" s="8">
        <f t="shared" si="6"/>
        <v>7</v>
      </c>
      <c r="H21" s="8">
        <f t="shared" si="6"/>
        <v>9</v>
      </c>
      <c r="I21" s="8">
        <f t="shared" si="6"/>
        <v>10</v>
      </c>
      <c r="J21" s="8">
        <f t="shared" si="6"/>
        <v>12</v>
      </c>
      <c r="K21" s="8">
        <f t="shared" si="6"/>
        <v>13</v>
      </c>
      <c r="L21" s="8">
        <f t="shared" si="6"/>
        <v>15</v>
      </c>
      <c r="M21" s="8">
        <f t="shared" si="6"/>
        <v>16</v>
      </c>
    </row>
    <row r="22" spans="1:13" x14ac:dyDescent="0.25">
      <c r="A22" s="12" t="s">
        <v>118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3</v>
      </c>
      <c r="F22" s="8">
        <f t="shared" si="7"/>
        <v>4</v>
      </c>
      <c r="G22" s="8">
        <f t="shared" si="7"/>
        <v>6</v>
      </c>
      <c r="H22" s="8">
        <f t="shared" si="7"/>
        <v>6</v>
      </c>
      <c r="I22" s="8">
        <f t="shared" si="7"/>
        <v>7</v>
      </c>
      <c r="J22" s="8">
        <f t="shared" si="7"/>
        <v>8</v>
      </c>
      <c r="K22" s="8">
        <f t="shared" si="7"/>
        <v>9</v>
      </c>
      <c r="L22" s="8">
        <f t="shared" si="7"/>
        <v>11</v>
      </c>
      <c r="M22" s="8">
        <f t="shared" si="7"/>
        <v>11</v>
      </c>
    </row>
    <row r="23" spans="1:13" x14ac:dyDescent="0.25">
      <c r="A23" s="12" t="s">
        <v>119</v>
      </c>
      <c r="B23" s="8">
        <f>B17</f>
        <v>0</v>
      </c>
      <c r="C23" s="8">
        <f t="shared" ref="C23:M23" si="8">MAX(0,C17-B17)</f>
        <v>0</v>
      </c>
      <c r="D23" s="8">
        <f t="shared" si="8"/>
        <v>0</v>
      </c>
      <c r="E23" s="8">
        <f t="shared" si="8"/>
        <v>0</v>
      </c>
      <c r="F23" s="8">
        <f t="shared" si="8"/>
        <v>0</v>
      </c>
      <c r="G23" s="8">
        <f t="shared" si="8"/>
        <v>0</v>
      </c>
      <c r="H23" s="8">
        <f t="shared" si="8"/>
        <v>0</v>
      </c>
      <c r="I23" s="8">
        <f t="shared" si="8"/>
        <v>0</v>
      </c>
      <c r="J23" s="8">
        <f t="shared" si="8"/>
        <v>0</v>
      </c>
      <c r="K23" s="8">
        <f t="shared" si="8"/>
        <v>0</v>
      </c>
      <c r="L23" s="8">
        <f t="shared" si="8"/>
        <v>0</v>
      </c>
      <c r="M23" s="8">
        <f t="shared" si="8"/>
        <v>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selection activeCell="C30" sqref="C30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139" t="s">
        <v>120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x14ac:dyDescent="0.25">
      <c r="A4" s="9" t="s">
        <v>121</v>
      </c>
      <c r="B4" s="8">
        <f>'Affiliate Projection'!B9</f>
        <v>263</v>
      </c>
      <c r="C4" s="8">
        <f>'Affiliate Projection'!C9</f>
        <v>552</v>
      </c>
      <c r="D4" s="8">
        <f>'Affiliate Projection'!D9</f>
        <v>947</v>
      </c>
      <c r="E4" s="8">
        <f>'Affiliate Projection'!E9</f>
        <v>1456</v>
      </c>
      <c r="F4" s="8">
        <f>'Affiliate Projection'!F9</f>
        <v>2085</v>
      </c>
      <c r="G4" s="8">
        <f>'Affiliate Projection'!G9</f>
        <v>2868</v>
      </c>
      <c r="H4" s="8">
        <f>'Affiliate Projection'!H9</f>
        <v>3696</v>
      </c>
      <c r="I4" s="8">
        <f>'Affiliate Projection'!I9</f>
        <v>4628</v>
      </c>
      <c r="J4" s="8">
        <f>'Affiliate Projection'!J9</f>
        <v>5685</v>
      </c>
      <c r="K4" s="8">
        <f>'Affiliate Projection'!K9</f>
        <v>6827</v>
      </c>
      <c r="L4" s="8">
        <f>'Affiliate Projection'!L9</f>
        <v>8160</v>
      </c>
      <c r="M4" s="8">
        <f>'Affiliate Projection'!M9</f>
        <v>9515</v>
      </c>
    </row>
    <row r="5" spans="1:14" x14ac:dyDescent="0.25">
      <c r="A5" s="9" t="s">
        <v>36</v>
      </c>
      <c r="B5" s="7">
        <f>Inputs!$B$12</f>
        <v>40</v>
      </c>
      <c r="C5" s="7">
        <f>Inputs!$B$12</f>
        <v>40</v>
      </c>
      <c r="D5" s="7">
        <f>Inputs!$B$12</f>
        <v>40</v>
      </c>
      <c r="E5" s="7">
        <f>Inputs!$B$12</f>
        <v>40</v>
      </c>
      <c r="F5" s="7">
        <f>Inputs!$B$12</f>
        <v>40</v>
      </c>
      <c r="G5" s="7">
        <f>Inputs!$B$12</f>
        <v>40</v>
      </c>
      <c r="H5" s="7">
        <f>Inputs!$B$12</f>
        <v>40</v>
      </c>
      <c r="I5" s="7">
        <f>Inputs!$B$12</f>
        <v>40</v>
      </c>
      <c r="J5" s="7">
        <f>Inputs!$B$12</f>
        <v>40</v>
      </c>
      <c r="K5" s="7">
        <f>Inputs!$B$12</f>
        <v>40</v>
      </c>
      <c r="L5" s="7">
        <f>Inputs!$B$12</f>
        <v>40</v>
      </c>
      <c r="M5" s="7">
        <f>Inputs!$B$12</f>
        <v>40</v>
      </c>
    </row>
    <row r="6" spans="1:14" x14ac:dyDescent="0.25">
      <c r="A6" s="9" t="s">
        <v>122</v>
      </c>
      <c r="B6" s="10">
        <f t="shared" ref="B6:M6" si="0">B4*B5</f>
        <v>10520</v>
      </c>
      <c r="C6" s="10">
        <f t="shared" si="0"/>
        <v>22080</v>
      </c>
      <c r="D6" s="10">
        <f t="shared" si="0"/>
        <v>37880</v>
      </c>
      <c r="E6" s="10">
        <f t="shared" si="0"/>
        <v>58240</v>
      </c>
      <c r="F6" s="10">
        <f t="shared" si="0"/>
        <v>83400</v>
      </c>
      <c r="G6" s="10">
        <f t="shared" si="0"/>
        <v>114720</v>
      </c>
      <c r="H6" s="10">
        <f t="shared" si="0"/>
        <v>147840</v>
      </c>
      <c r="I6" s="10">
        <f t="shared" si="0"/>
        <v>185120</v>
      </c>
      <c r="J6" s="10">
        <f t="shared" si="0"/>
        <v>227400</v>
      </c>
      <c r="K6" s="10">
        <f t="shared" si="0"/>
        <v>273080</v>
      </c>
      <c r="L6" s="10">
        <f t="shared" si="0"/>
        <v>326400</v>
      </c>
      <c r="M6" s="10">
        <f t="shared" si="0"/>
        <v>380600</v>
      </c>
    </row>
    <row r="7" spans="1:14" x14ac:dyDescent="0.25">
      <c r="A7" s="9" t="s">
        <v>123</v>
      </c>
      <c r="B7" s="7">
        <f t="shared" ref="B7:M7" si="1">$B$19</f>
        <v>36.111111111111114</v>
      </c>
      <c r="C7" s="7">
        <f t="shared" si="1"/>
        <v>36.111111111111114</v>
      </c>
      <c r="D7" s="7">
        <f t="shared" si="1"/>
        <v>36.111111111111114</v>
      </c>
      <c r="E7" s="7">
        <f t="shared" si="1"/>
        <v>36.111111111111114</v>
      </c>
      <c r="F7" s="7">
        <f t="shared" si="1"/>
        <v>36.111111111111114</v>
      </c>
      <c r="G7" s="7">
        <f t="shared" si="1"/>
        <v>36.111111111111114</v>
      </c>
      <c r="H7" s="7">
        <f t="shared" si="1"/>
        <v>36.111111111111114</v>
      </c>
      <c r="I7" s="7">
        <f t="shared" si="1"/>
        <v>36.111111111111114</v>
      </c>
      <c r="J7" s="7">
        <f t="shared" si="1"/>
        <v>36.111111111111114</v>
      </c>
      <c r="K7" s="7">
        <f t="shared" si="1"/>
        <v>36.111111111111114</v>
      </c>
      <c r="L7" s="7">
        <f t="shared" si="1"/>
        <v>36.111111111111114</v>
      </c>
      <c r="M7" s="7">
        <f t="shared" si="1"/>
        <v>36.111111111111114</v>
      </c>
    </row>
    <row r="8" spans="1:14" x14ac:dyDescent="0.25">
      <c r="A8" s="9" t="s">
        <v>124</v>
      </c>
      <c r="B8" s="10">
        <f t="shared" ref="B8:M8" si="2">B4*B7</f>
        <v>9497.2222222222226</v>
      </c>
      <c r="C8" s="10">
        <f t="shared" si="2"/>
        <v>19933.333333333336</v>
      </c>
      <c r="D8" s="10">
        <f t="shared" si="2"/>
        <v>34197.222222222226</v>
      </c>
      <c r="E8" s="10">
        <f t="shared" si="2"/>
        <v>52577.777777777781</v>
      </c>
      <c r="F8" s="10">
        <f t="shared" si="2"/>
        <v>75291.666666666672</v>
      </c>
      <c r="G8" s="10">
        <f t="shared" si="2"/>
        <v>103566.66666666667</v>
      </c>
      <c r="H8" s="10">
        <f t="shared" si="2"/>
        <v>133466.66666666669</v>
      </c>
      <c r="I8" s="10">
        <f t="shared" si="2"/>
        <v>167122.22222222225</v>
      </c>
      <c r="J8" s="10">
        <f t="shared" si="2"/>
        <v>205291.66666666669</v>
      </c>
      <c r="K8" s="10">
        <f t="shared" si="2"/>
        <v>246530.55555555559</v>
      </c>
      <c r="L8" s="10">
        <f t="shared" si="2"/>
        <v>294666.66666666669</v>
      </c>
      <c r="M8" s="10">
        <f t="shared" si="2"/>
        <v>343597.22222222225</v>
      </c>
    </row>
    <row r="11" spans="1:14" ht="21" x14ac:dyDescent="0.35">
      <c r="A11" s="139" t="s">
        <v>125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</row>
    <row r="12" spans="1:14" x14ac:dyDescent="0.25">
      <c r="A12" s="9" t="s">
        <v>126</v>
      </c>
      <c r="B12" s="148">
        <v>40</v>
      </c>
    </row>
    <row r="13" spans="1:14" x14ac:dyDescent="0.25">
      <c r="A13" s="9" t="s">
        <v>127</v>
      </c>
      <c r="B13" s="147">
        <v>0.25</v>
      </c>
    </row>
    <row r="14" spans="1:14" x14ac:dyDescent="0.25">
      <c r="A14" s="9" t="s">
        <v>128</v>
      </c>
      <c r="B14" s="148">
        <v>7</v>
      </c>
    </row>
    <row r="15" spans="1:14" x14ac:dyDescent="0.25">
      <c r="B15" s="105"/>
    </row>
    <row r="16" spans="1:14" ht="15.75" x14ac:dyDescent="0.25">
      <c r="A16" s="143" t="s">
        <v>206</v>
      </c>
      <c r="B16" s="149"/>
    </row>
    <row r="17" spans="1:2" x14ac:dyDescent="0.25">
      <c r="A17" s="145" t="s">
        <v>129</v>
      </c>
      <c r="B17" s="147">
        <f>B12*B14/720</f>
        <v>0.3888888888888889</v>
      </c>
    </row>
    <row r="18" spans="1:2" x14ac:dyDescent="0.25">
      <c r="A18" s="146" t="s">
        <v>130</v>
      </c>
      <c r="B18" s="147">
        <f>B17*B13</f>
        <v>9.7222222222222224E-2</v>
      </c>
    </row>
    <row r="19" spans="1:2" x14ac:dyDescent="0.25">
      <c r="A19" s="146" t="s">
        <v>131</v>
      </c>
      <c r="B19" s="148">
        <f>Inputs!$B$12*(1-B18)</f>
        <v>36.111111111111114</v>
      </c>
    </row>
  </sheetData>
  <mergeCells count="2">
    <mergeCell ref="A1:N1"/>
    <mergeCell ref="A11:N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0"/>
  <sheetViews>
    <sheetView workbookViewId="0">
      <selection activeCell="O21" sqref="O21"/>
    </sheetView>
  </sheetViews>
  <sheetFormatPr defaultRowHeight="15" x14ac:dyDescent="0.25"/>
  <cols>
    <col min="1" max="1" width="35" customWidth="1"/>
    <col min="2" max="13" width="12" customWidth="1"/>
    <col min="15" max="15" width="10.140625" bestFit="1" customWidth="1"/>
  </cols>
  <sheetData>
    <row r="1" spans="1:15" ht="21" customHeight="1" x14ac:dyDescent="0.35">
      <c r="A1" s="139" t="s">
        <v>132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5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5" ht="18.75" customHeight="1" x14ac:dyDescent="0.3">
      <c r="A4" s="1" t="s">
        <v>133</v>
      </c>
    </row>
    <row r="5" spans="1:15" x14ac:dyDescent="0.25">
      <c r="A5" s="9" t="s">
        <v>134</v>
      </c>
      <c r="B5" s="10">
        <f>Revenue!B8*SUMPRODUCT('VIP Levels'!$D$5:$D$9,Inputs!G$6:G$10)</f>
        <v>1899.4444444444446</v>
      </c>
      <c r="C5" s="10">
        <f>Revenue!C8*SUMPRODUCT('VIP Levels'!$D$5:$D$9,Inputs!H$6:H$10)</f>
        <v>3986.6666666666674</v>
      </c>
      <c r="D5" s="10">
        <f>Revenue!D8*SUMPRODUCT('VIP Levels'!$D$5:$D$9,Inputs!I$6:I$10)</f>
        <v>6839.4444444444453</v>
      </c>
      <c r="E5" s="10">
        <f>Revenue!E8*SUMPRODUCT('VIP Levels'!$D$5:$D$9,Inputs!J$6:J$10)</f>
        <v>10515.555555555558</v>
      </c>
      <c r="F5" s="10">
        <f>Revenue!F8*SUMPRODUCT('VIP Levels'!$D$5:$D$9,Inputs!K$6:K$10)</f>
        <v>15058.333333333334</v>
      </c>
      <c r="G5" s="10">
        <f>Revenue!G8*SUMPRODUCT('VIP Levels'!$D$5:$D$9,Inputs!L$6:L$10)</f>
        <v>20713.333333333339</v>
      </c>
      <c r="H5" s="10">
        <f>Revenue!H8*SUMPRODUCT('VIP Levels'!$D$5:$D$9,Inputs!M$6:M$10)</f>
        <v>26693.333333333343</v>
      </c>
      <c r="I5" s="10">
        <f>Revenue!I8*SUMPRODUCT('VIP Levels'!$D$5:$D$9,Inputs!N$6:N$10)</f>
        <v>33424.444444444453</v>
      </c>
      <c r="J5" s="10">
        <f>Revenue!J8*SUMPRODUCT('VIP Levels'!$D$5:$D$9,Inputs!O$6:O$10)</f>
        <v>41058.333333333343</v>
      </c>
      <c r="K5" s="10">
        <f>Revenue!K8*SUMPRODUCT('VIP Levels'!$D$5:$D$9,Inputs!P$6:P$10)</f>
        <v>49306.111111111124</v>
      </c>
      <c r="L5" s="10">
        <f>Revenue!L8*SUMPRODUCT('VIP Levels'!$D$5:$D$9,Inputs!Q$6:Q$10)</f>
        <v>58933.333333333343</v>
      </c>
      <c r="M5" s="10">
        <f>Revenue!M8*SUMPRODUCT('VIP Levels'!$D$5:$D$9,Inputs!R$6:R$10)</f>
        <v>68719.444444444453</v>
      </c>
    </row>
    <row r="6" spans="1:15" x14ac:dyDescent="0.25">
      <c r="A6" s="9" t="s">
        <v>135</v>
      </c>
      <c r="B6" s="10">
        <f>'Affiliate Projection'!B19*'VIP Levels'!$B$15*'VIP Levels'!$E$5*Inputs!$B$14*('VIP Levels'!$D$15/30)*'VIP Levels'!$C$15*Revenue!B7+'Affiliate Projection'!B20*'VIP Levels'!$B$16*'VIP Levels'!$E$6*Inputs!$B$14*('VIP Levels'!$D$16/30)*'VIP Levels'!$C$16*Revenue!B7+'Affiliate Projection'!B21*'VIP Levels'!$B$17*'VIP Levels'!$E$7*Inputs!$B$14*('VIP Levels'!$D$17/30)*'VIP Levels'!$C$17*Revenue!B7+'Affiliate Projection'!B22*'VIP Levels'!$B$18*'VIP Levels'!$E$8*Inputs!$B$14*('VIP Levels'!$D$18/30)*'VIP Levels'!$C$18*Revenue!B7+'Affiliate Projection'!B23*'VIP Levels'!$B$19*'VIP Levels'!$E$9*Inputs!$B$14*('VIP Levels'!$D$19/30)*'VIP Levels'!$C$19*Revenue!B7</f>
        <v>28.166666666666671</v>
      </c>
      <c r="C6" s="10">
        <f>'Affiliate Projection'!C19*'VIP Levels'!$B$15*'VIP Levels'!$E$5*Inputs!$B$14*('VIP Levels'!$D$15/30)*'VIP Levels'!$C$15*Revenue!C7+'Affiliate Projection'!C20*'VIP Levels'!$B$16*'VIP Levels'!$E$6*Inputs!$B$14*('VIP Levels'!$D$16/30)*'VIP Levels'!$C$16*Revenue!C7+'Affiliate Projection'!C21*'VIP Levels'!$B$17*'VIP Levels'!$E$7*Inputs!$B$14*('VIP Levels'!$D$17/30)*'VIP Levels'!$C$17*Revenue!C7+'Affiliate Projection'!C22*'VIP Levels'!$B$18*'VIP Levels'!$E$8*Inputs!$B$14*('VIP Levels'!$D$18/30)*'VIP Levels'!$C$18*Revenue!C7+'Affiliate Projection'!C23*'VIP Levels'!$B$19*'VIP Levels'!$E$9*Inputs!$B$14*('VIP Levels'!$D$19/30)*'VIP Levels'!$C$19*Revenue!C7</f>
        <v>436.58333333333343</v>
      </c>
      <c r="D6" s="10">
        <f>'Affiliate Projection'!D19*'VIP Levels'!$B$15*'VIP Levels'!$E$5*Inputs!$B$14*('VIP Levels'!$D$15/30)*'VIP Levels'!$C$15*Revenue!D7+'Affiliate Projection'!D20*'VIP Levels'!$B$16*'VIP Levels'!$E$6*Inputs!$B$14*('VIP Levels'!$D$16/30)*'VIP Levels'!$C$16*Revenue!D7+'Affiliate Projection'!D21*'VIP Levels'!$B$17*'VIP Levels'!$E$7*Inputs!$B$14*('VIP Levels'!$D$17/30)*'VIP Levels'!$C$17*Revenue!D7+'Affiliate Projection'!D22*'VIP Levels'!$B$18*'VIP Levels'!$E$8*Inputs!$B$14*('VIP Levels'!$D$18/30)*'VIP Levels'!$C$18*Revenue!D7+'Affiliate Projection'!D23*'VIP Levels'!$B$19*'VIP Levels'!$E$9*Inputs!$B$14*('VIP Levels'!$D$19/30)*'VIP Levels'!$C$19*Revenue!D7</f>
        <v>799.93333333333351</v>
      </c>
      <c r="E6" s="10">
        <f>'Affiliate Projection'!E19*'VIP Levels'!$B$15*'VIP Levels'!$E$5*Inputs!$B$14*('VIP Levels'!$D$15/30)*'VIP Levels'!$C$15*Revenue!E7+'Affiliate Projection'!E20*'VIP Levels'!$B$16*'VIP Levels'!$E$6*Inputs!$B$14*('VIP Levels'!$D$16/30)*'VIP Levels'!$C$16*Revenue!E7+'Affiliate Projection'!E21*'VIP Levels'!$B$17*'VIP Levels'!$E$7*Inputs!$B$14*('VIP Levels'!$D$17/30)*'VIP Levels'!$C$17*Revenue!E7+'Affiliate Projection'!E22*'VIP Levels'!$B$18*'VIP Levels'!$E$8*Inputs!$B$14*('VIP Levels'!$D$18/30)*'VIP Levels'!$C$18*Revenue!E7+'Affiliate Projection'!E23*'VIP Levels'!$B$19*'VIP Levels'!$E$9*Inputs!$B$14*('VIP Levels'!$D$19/30)*'VIP Levels'!$C$19*Revenue!E7</f>
        <v>1174.5500000000002</v>
      </c>
      <c r="F6" s="10">
        <f>'Affiliate Projection'!F19*'VIP Levels'!$B$15*'VIP Levels'!$E$5*Inputs!$B$14*('VIP Levels'!$D$15/30)*'VIP Levels'!$C$15*Revenue!F7+'Affiliate Projection'!F20*'VIP Levels'!$B$16*'VIP Levels'!$E$6*Inputs!$B$14*('VIP Levels'!$D$16/30)*'VIP Levels'!$C$16*Revenue!F7+'Affiliate Projection'!F21*'VIP Levels'!$B$17*'VIP Levels'!$E$7*Inputs!$B$14*('VIP Levels'!$D$17/30)*'VIP Levels'!$C$17*Revenue!F7+'Affiliate Projection'!F22*'VIP Levels'!$B$18*'VIP Levels'!$E$8*Inputs!$B$14*('VIP Levels'!$D$18/30)*'VIP Levels'!$C$18*Revenue!F7+'Affiliate Projection'!F23*'VIP Levels'!$B$19*'VIP Levels'!$E$9*Inputs!$B$14*('VIP Levels'!$D$19/30)*'VIP Levels'!$C$19*Revenue!F7</f>
        <v>1588.6000000000004</v>
      </c>
      <c r="G6" s="10">
        <f>'Affiliate Projection'!G19*'VIP Levels'!$B$15*'VIP Levels'!$E$5*Inputs!$B$14*('VIP Levels'!$D$15/30)*'VIP Levels'!$C$15*Revenue!G7+'Affiliate Projection'!G20*'VIP Levels'!$B$16*'VIP Levels'!$E$6*Inputs!$B$14*('VIP Levels'!$D$16/30)*'VIP Levels'!$C$16*Revenue!G7+'Affiliate Projection'!G21*'VIP Levels'!$B$17*'VIP Levels'!$E$7*Inputs!$B$14*('VIP Levels'!$D$17/30)*'VIP Levels'!$C$17*Revenue!G7+'Affiliate Projection'!G22*'VIP Levels'!$B$18*'VIP Levels'!$E$8*Inputs!$B$14*('VIP Levels'!$D$18/30)*'VIP Levels'!$C$18*Revenue!G7+'Affiliate Projection'!G23*'VIP Levels'!$B$19*'VIP Levels'!$E$9*Inputs!$B$14*('VIP Levels'!$D$19/30)*'VIP Levels'!$C$19*Revenue!G7</f>
        <v>2247.7000000000003</v>
      </c>
      <c r="H6" s="10">
        <f>'Affiliate Projection'!H19*'VIP Levels'!$B$15*'VIP Levels'!$E$5*Inputs!$B$14*('VIP Levels'!$D$15/30)*'VIP Levels'!$C$15*Revenue!H7+'Affiliate Projection'!H20*'VIP Levels'!$B$16*'VIP Levels'!$E$6*Inputs!$B$14*('VIP Levels'!$D$16/30)*'VIP Levels'!$C$16*Revenue!H7+'Affiliate Projection'!H21*'VIP Levels'!$B$17*'VIP Levels'!$E$7*Inputs!$B$14*('VIP Levels'!$D$17/30)*'VIP Levels'!$C$17*Revenue!H7+'Affiliate Projection'!H22*'VIP Levels'!$B$18*'VIP Levels'!$E$8*Inputs!$B$14*('VIP Levels'!$D$18/30)*'VIP Levels'!$C$18*Revenue!H7+'Affiliate Projection'!H23*'VIP Levels'!$B$19*'VIP Levels'!$E$9*Inputs!$B$14*('VIP Levels'!$D$19/30)*'VIP Levels'!$C$19*Revenue!H7</f>
        <v>2366.0000000000005</v>
      </c>
      <c r="I6" s="10">
        <f>'Affiliate Projection'!I19*'VIP Levels'!$B$15*'VIP Levels'!$E$5*Inputs!$B$14*('VIP Levels'!$D$15/30)*'VIP Levels'!$C$15*Revenue!I7+'Affiliate Projection'!I20*'VIP Levels'!$B$16*'VIP Levels'!$E$6*Inputs!$B$14*('VIP Levels'!$D$16/30)*'VIP Levels'!$C$16*Revenue!I7+'Affiliate Projection'!I21*'VIP Levels'!$B$17*'VIP Levels'!$E$7*Inputs!$B$14*('VIP Levels'!$D$17/30)*'VIP Levels'!$C$17*Revenue!I7+'Affiliate Projection'!I22*'VIP Levels'!$B$18*'VIP Levels'!$E$8*Inputs!$B$14*('VIP Levels'!$D$18/30)*'VIP Levels'!$C$18*Revenue!I7+'Affiliate Projection'!I23*'VIP Levels'!$B$19*'VIP Levels'!$E$9*Inputs!$B$14*('VIP Levels'!$D$19/30)*'VIP Levels'!$C$19*Revenue!I7</f>
        <v>2734.983333333334</v>
      </c>
      <c r="J6" s="10">
        <f>'Affiliate Projection'!J19*'VIP Levels'!$B$15*'VIP Levels'!$E$5*Inputs!$B$14*('VIP Levels'!$D$15/30)*'VIP Levels'!$C$15*Revenue!J7+'Affiliate Projection'!J20*'VIP Levels'!$B$16*'VIP Levels'!$E$6*Inputs!$B$14*('VIP Levels'!$D$16/30)*'VIP Levels'!$C$16*Revenue!J7+'Affiliate Projection'!J21*'VIP Levels'!$B$17*'VIP Levels'!$E$7*Inputs!$B$14*('VIP Levels'!$D$17/30)*'VIP Levels'!$C$17*Revenue!J7+'Affiliate Projection'!J22*'VIP Levels'!$B$18*'VIP Levels'!$E$8*Inputs!$B$14*('VIP Levels'!$D$18/30)*'VIP Levels'!$C$18*Revenue!J7+'Affiliate Projection'!J23*'VIP Levels'!$B$19*'VIP Levels'!$E$9*Inputs!$B$14*('VIP Levels'!$D$19/30)*'VIP Levels'!$C$19*Revenue!J7</f>
        <v>3149.0333333333338</v>
      </c>
      <c r="K6" s="10">
        <f>'Affiliate Projection'!K19*'VIP Levels'!$B$15*'VIP Levels'!$E$5*Inputs!$B$14*('VIP Levels'!$D$15/30)*'VIP Levels'!$C$15*Revenue!K7+'Affiliate Projection'!K20*'VIP Levels'!$B$16*'VIP Levels'!$E$6*Inputs!$B$14*('VIP Levels'!$D$16/30)*'VIP Levels'!$C$16*Revenue!K7+'Affiliate Projection'!K21*'VIP Levels'!$B$17*'VIP Levels'!$E$7*Inputs!$B$14*('VIP Levels'!$D$17/30)*'VIP Levels'!$C$17*Revenue!K7+'Affiliate Projection'!K22*'VIP Levels'!$B$18*'VIP Levels'!$E$8*Inputs!$B$14*('VIP Levels'!$D$18/30)*'VIP Levels'!$C$18*Revenue!K7+'Affiliate Projection'!K23*'VIP Levels'!$B$19*'VIP Levels'!$E$9*Inputs!$B$14*('VIP Levels'!$D$19/30)*'VIP Levels'!$C$19*Revenue!K7</f>
        <v>3512.3833333333341</v>
      </c>
      <c r="L6" s="10">
        <f>'Affiliate Projection'!L19*'VIP Levels'!$B$15*'VIP Levels'!$E$5*Inputs!$B$14*('VIP Levels'!$D$15/30)*'VIP Levels'!$C$15*Revenue!L7+'Affiliate Projection'!L20*'VIP Levels'!$B$16*'VIP Levels'!$E$6*Inputs!$B$14*('VIP Levels'!$D$16/30)*'VIP Levels'!$C$16*Revenue!L7+'Affiliate Projection'!L21*'VIP Levels'!$B$17*'VIP Levels'!$E$7*Inputs!$B$14*('VIP Levels'!$D$17/30)*'VIP Levels'!$C$17*Revenue!L7+'Affiliate Projection'!L22*'VIP Levels'!$B$18*'VIP Levels'!$E$8*Inputs!$B$14*('VIP Levels'!$D$18/30)*'VIP Levels'!$C$18*Revenue!L7+'Affiliate Projection'!L23*'VIP Levels'!$B$19*'VIP Levels'!$E$9*Inputs!$B$14*('VIP Levels'!$D$19/30)*'VIP Levels'!$C$19*Revenue!L7</f>
        <v>4222.1833333333343</v>
      </c>
      <c r="M6" s="10">
        <f>'Affiliate Projection'!M19*'VIP Levels'!$B$15*'VIP Levels'!$E$5*Inputs!$B$14*('VIP Levels'!$D$15/30)*'VIP Levels'!$C$15*Revenue!M7+'Affiliate Projection'!M20*'VIP Levels'!$B$16*'VIP Levels'!$E$6*Inputs!$B$14*('VIP Levels'!$D$16/30)*'VIP Levels'!$C$16*Revenue!M7+'Affiliate Projection'!M21*'VIP Levels'!$B$17*'VIP Levels'!$E$7*Inputs!$B$14*('VIP Levels'!$D$17/30)*'VIP Levels'!$C$17*Revenue!M7+'Affiliate Projection'!M22*'VIP Levels'!$B$18*'VIP Levels'!$E$8*Inputs!$B$14*('VIP Levels'!$D$18/30)*'VIP Levels'!$C$18*Revenue!M7+'Affiliate Projection'!M23*'VIP Levels'!$B$19*'VIP Levels'!$E$9*Inputs!$B$14*('VIP Levels'!$D$19/30)*'VIP Levels'!$C$19*Revenue!M7</f>
        <v>4301.0500000000011</v>
      </c>
    </row>
    <row r="7" spans="1:15" x14ac:dyDescent="0.25">
      <c r="A7" s="9" t="s">
        <v>136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19.716666666666672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197.16666666666669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514.60500000000002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979.91833333333329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1606.9083333333338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2480.356666666667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3409.0116666666672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4481.5983333333334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5715.8616666666676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7090.1133333333337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8732.5116666666672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10416.315000000001</v>
      </c>
    </row>
    <row r="8" spans="1:15" x14ac:dyDescent="0.25">
      <c r="A8" s="22" t="s">
        <v>137</v>
      </c>
      <c r="B8" s="23">
        <f>'Affiliate Projection'!B19*'VIP Levels'!$B$23*'VIP Levels'!$E$5*Inputs!$B$14*('VIP Levels'!$D$23/30)*'VIP Levels'!$C$23*Inputs!$B$12+'Affiliate Projection'!B20*'VIP Levels'!$B$24*'VIP Levels'!$E$6*Inputs!$B$14*('VIP Levels'!$D$24/30)*'VIP Levels'!$C$24*Inputs!$B$12+'Affiliate Projection'!B21*'VIP Levels'!$B$25*'VIP Levels'!$E$7*Inputs!$B$14*('VIP Levels'!$D$25/30)*'VIP Levels'!$C$25*Inputs!$B$12+'Affiliate Projection'!B22*'VIP Levels'!$B$26*'VIP Levels'!$E$8*Inputs!$B$14*('VIP Levels'!$D$26/30)*'VIP Levels'!$C$26*Inputs!$B$12+'Affiliate Projection'!B23*'VIP Levels'!$B$27*'VIP Levels'!$E$9*Inputs!$B$14*('VIP Levels'!$D$27/30)*'VIP Levels'!$C$27*Inputs!$B$12</f>
        <v>436.8</v>
      </c>
      <c r="C8" s="23">
        <f>'Affiliate Projection'!C19*'VIP Levels'!$B$23*'VIP Levels'!$E$5*Inputs!$B$14*('VIP Levels'!$D$23/30)*'VIP Levels'!$C$23*Inputs!$B$12+'Affiliate Projection'!C20*'VIP Levels'!$B$24*'VIP Levels'!$E$6*Inputs!$B$14*('VIP Levels'!$D$24/30)*'VIP Levels'!$C$24*Inputs!$B$12+'Affiliate Projection'!C21*'VIP Levels'!$B$25*'VIP Levels'!$E$7*Inputs!$B$14*('VIP Levels'!$D$25/30)*'VIP Levels'!$C$25*Inputs!$B$12+'Affiliate Projection'!C22*'VIP Levels'!$B$26*'VIP Levels'!$E$8*Inputs!$B$14*('VIP Levels'!$D$26/30)*'VIP Levels'!$C$26*Inputs!$B$12+'Affiliate Projection'!C23*'VIP Levels'!$B$27*'VIP Levels'!$E$9*Inputs!$B$14*('VIP Levels'!$D$27/30)*'VIP Levels'!$C$27*Inputs!$B$12</f>
        <v>593.32000000000005</v>
      </c>
      <c r="D8" s="23">
        <f>'Affiliate Projection'!D19*'VIP Levels'!$B$23*'VIP Levels'!$E$5*Inputs!$B$14*('VIP Levels'!$D$23/30)*'VIP Levels'!$C$23*Inputs!$B$12+'Affiliate Projection'!D20*'VIP Levels'!$B$24*'VIP Levels'!$E$6*Inputs!$B$14*('VIP Levels'!$D$24/30)*'VIP Levels'!$C$24*Inputs!$B$12+'Affiliate Projection'!D21*'VIP Levels'!$B$25*'VIP Levels'!$E$7*Inputs!$B$14*('VIP Levels'!$D$25/30)*'VIP Levels'!$C$25*Inputs!$B$12+'Affiliate Projection'!D22*'VIP Levels'!$B$26*'VIP Levels'!$E$8*Inputs!$B$14*('VIP Levels'!$D$26/30)*'VIP Levels'!$C$26*Inputs!$B$12+'Affiliate Projection'!D23*'VIP Levels'!$B$27*'VIP Levels'!$E$9*Inputs!$B$14*('VIP Levels'!$D$27/30)*'VIP Levels'!$C$27*Inputs!$B$12</f>
        <v>840.84</v>
      </c>
      <c r="E8" s="23">
        <f>'Affiliate Projection'!E19*'VIP Levels'!$B$23*'VIP Levels'!$E$5*Inputs!$B$14*('VIP Levels'!$D$23/30)*'VIP Levels'!$C$23*Inputs!$B$12+'Affiliate Projection'!E20*'VIP Levels'!$B$24*'VIP Levels'!$E$6*Inputs!$B$14*('VIP Levels'!$D$24/30)*'VIP Levels'!$C$24*Inputs!$B$12+'Affiliate Projection'!E21*'VIP Levels'!$B$25*'VIP Levels'!$E$7*Inputs!$B$14*('VIP Levels'!$D$25/30)*'VIP Levels'!$C$25*Inputs!$B$12+'Affiliate Projection'!E22*'VIP Levels'!$B$26*'VIP Levels'!$E$8*Inputs!$B$14*('VIP Levels'!$D$26/30)*'VIP Levels'!$C$26*Inputs!$B$12+'Affiliate Projection'!E23*'VIP Levels'!$B$27*'VIP Levels'!$E$9*Inputs!$B$14*('VIP Levels'!$D$27/30)*'VIP Levels'!$C$27*Inputs!$B$12</f>
        <v>1110.2</v>
      </c>
      <c r="F8" s="23">
        <f>'Affiliate Projection'!F19*'VIP Levels'!$B$23*'VIP Levels'!$E$5*Inputs!$B$14*('VIP Levels'!$D$23/30)*'VIP Levels'!$C$23*Inputs!$B$12+'Affiliate Projection'!F20*'VIP Levels'!$B$24*'VIP Levels'!$E$6*Inputs!$B$14*('VIP Levels'!$D$24/30)*'VIP Levels'!$C$24*Inputs!$B$12+'Affiliate Projection'!F21*'VIP Levels'!$B$25*'VIP Levels'!$E$7*Inputs!$B$14*('VIP Levels'!$D$25/30)*'VIP Levels'!$C$25*Inputs!$B$12+'Affiliate Projection'!F22*'VIP Levels'!$B$26*'VIP Levels'!$E$8*Inputs!$B$14*('VIP Levels'!$D$26/30)*'VIP Levels'!$C$26*Inputs!$B$12+'Affiliate Projection'!F23*'VIP Levels'!$B$27*'VIP Levels'!$E$9*Inputs!$B$14*('VIP Levels'!$D$27/30)*'VIP Levels'!$C$27*Inputs!$B$12</f>
        <v>1405.04</v>
      </c>
      <c r="G8" s="23">
        <f>'Affiliate Projection'!G19*'VIP Levels'!$B$23*'VIP Levels'!$E$5*Inputs!$B$14*('VIP Levels'!$D$23/30)*'VIP Levels'!$C$23*Inputs!$B$12+'Affiliate Projection'!G20*'VIP Levels'!$B$24*'VIP Levels'!$E$6*Inputs!$B$14*('VIP Levels'!$D$24/30)*'VIP Levels'!$C$24*Inputs!$B$12+'Affiliate Projection'!G21*'VIP Levels'!$B$25*'VIP Levels'!$E$7*Inputs!$B$14*('VIP Levels'!$D$25/30)*'VIP Levels'!$C$25*Inputs!$B$12+'Affiliate Projection'!G22*'VIP Levels'!$B$26*'VIP Levels'!$E$8*Inputs!$B$14*('VIP Levels'!$D$26/30)*'VIP Levels'!$C$26*Inputs!$B$12+'Affiliate Projection'!G23*'VIP Levels'!$B$27*'VIP Levels'!$E$9*Inputs!$B$14*('VIP Levels'!$D$27/30)*'VIP Levels'!$C$27*Inputs!$B$12</f>
        <v>1765.4</v>
      </c>
      <c r="H8" s="23">
        <f>'Affiliate Projection'!H19*'VIP Levels'!$B$23*'VIP Levels'!$E$5*Inputs!$B$14*('VIP Levels'!$D$23/30)*'VIP Levels'!$C$23*Inputs!$B$12+'Affiliate Projection'!H20*'VIP Levels'!$B$24*'VIP Levels'!$E$6*Inputs!$B$14*('VIP Levels'!$D$24/30)*'VIP Levels'!$C$24*Inputs!$B$12+'Affiliate Projection'!H21*'VIP Levels'!$B$25*'VIP Levels'!$E$7*Inputs!$B$14*('VIP Levels'!$D$25/30)*'VIP Levels'!$C$25*Inputs!$B$12+'Affiliate Projection'!H22*'VIP Levels'!$B$26*'VIP Levels'!$E$8*Inputs!$B$14*('VIP Levels'!$D$26/30)*'VIP Levels'!$C$26*Inputs!$B$12+'Affiliate Projection'!H23*'VIP Levels'!$B$27*'VIP Levels'!$E$9*Inputs!$B$14*('VIP Levels'!$D$27/30)*'VIP Levels'!$C$27*Inputs!$B$12</f>
        <v>1929.2000000000003</v>
      </c>
      <c r="I8" s="23">
        <f>'Affiliate Projection'!I19*'VIP Levels'!$B$23*'VIP Levels'!$E$5*Inputs!$B$14*('VIP Levels'!$D$23/30)*'VIP Levels'!$C$23*Inputs!$B$12+'Affiliate Projection'!I20*'VIP Levels'!$B$24*'VIP Levels'!$E$6*Inputs!$B$14*('VIP Levels'!$D$24/30)*'VIP Levels'!$C$24*Inputs!$B$12+'Affiliate Projection'!I21*'VIP Levels'!$B$25*'VIP Levels'!$E$7*Inputs!$B$14*('VIP Levels'!$D$25/30)*'VIP Levels'!$C$25*Inputs!$B$12+'Affiliate Projection'!I22*'VIP Levels'!$B$26*'VIP Levels'!$E$8*Inputs!$B$14*('VIP Levels'!$D$26/30)*'VIP Levels'!$C$26*Inputs!$B$12+'Affiliate Projection'!I23*'VIP Levels'!$B$27*'VIP Levels'!$E$9*Inputs!$B$14*('VIP Levels'!$D$27/30)*'VIP Levels'!$C$27*Inputs!$B$12</f>
        <v>2169.4400000000005</v>
      </c>
      <c r="J8" s="23">
        <f>'Affiliate Projection'!J19*'VIP Levels'!$B$23*'VIP Levels'!$E$5*Inputs!$B$14*('VIP Levels'!$D$23/30)*'VIP Levels'!$C$23*Inputs!$B$12+'Affiliate Projection'!J20*'VIP Levels'!$B$24*'VIP Levels'!$E$6*Inputs!$B$14*('VIP Levels'!$D$24/30)*'VIP Levels'!$C$24*Inputs!$B$12+'Affiliate Projection'!J21*'VIP Levels'!$B$25*'VIP Levels'!$E$7*Inputs!$B$14*('VIP Levels'!$D$25/30)*'VIP Levels'!$C$25*Inputs!$B$12+'Affiliate Projection'!J22*'VIP Levels'!$B$26*'VIP Levels'!$E$8*Inputs!$B$14*('VIP Levels'!$D$26/30)*'VIP Levels'!$C$26*Inputs!$B$12+'Affiliate Projection'!J23*'VIP Levels'!$B$27*'VIP Levels'!$E$9*Inputs!$B$14*('VIP Levels'!$D$27/30)*'VIP Levels'!$C$27*Inputs!$B$12</f>
        <v>2464.2800000000002</v>
      </c>
      <c r="K8" s="23">
        <f>'Affiliate Projection'!K19*'VIP Levels'!$B$23*'VIP Levels'!$E$5*Inputs!$B$14*('VIP Levels'!$D$23/30)*'VIP Levels'!$C$23*Inputs!$B$12+'Affiliate Projection'!K20*'VIP Levels'!$B$24*'VIP Levels'!$E$6*Inputs!$B$14*('VIP Levels'!$D$24/30)*'VIP Levels'!$C$24*Inputs!$B$12+'Affiliate Projection'!K21*'VIP Levels'!$B$25*'VIP Levels'!$E$7*Inputs!$B$14*('VIP Levels'!$D$25/30)*'VIP Levels'!$C$25*Inputs!$B$12+'Affiliate Projection'!K22*'VIP Levels'!$B$26*'VIP Levels'!$E$8*Inputs!$B$14*('VIP Levels'!$D$26/30)*'VIP Levels'!$C$26*Inputs!$B$12+'Affiliate Projection'!K23*'VIP Levels'!$B$27*'VIP Levels'!$E$9*Inputs!$B$14*('VIP Levels'!$D$27/30)*'VIP Levels'!$C$27*Inputs!$B$12</f>
        <v>2693.6</v>
      </c>
      <c r="L8" s="23">
        <f>'Affiliate Projection'!L19*'VIP Levels'!$B$23*'VIP Levels'!$E$5*Inputs!$B$14*('VIP Levels'!$D$23/30)*'VIP Levels'!$C$23*Inputs!$B$12+'Affiliate Projection'!L20*'VIP Levels'!$B$24*'VIP Levels'!$E$6*Inputs!$B$14*('VIP Levels'!$D$24/30)*'VIP Levels'!$C$24*Inputs!$B$12+'Affiliate Projection'!L21*'VIP Levels'!$B$25*'VIP Levels'!$E$7*Inputs!$B$14*('VIP Levels'!$D$25/30)*'VIP Levels'!$C$25*Inputs!$B$12+'Affiliate Projection'!L22*'VIP Levels'!$B$26*'VIP Levels'!$E$8*Inputs!$B$14*('VIP Levels'!$D$26/30)*'VIP Levels'!$C$26*Inputs!$B$12+'Affiliate Projection'!L23*'VIP Levels'!$B$27*'VIP Levels'!$E$9*Inputs!$B$14*('VIP Levels'!$D$27/30)*'VIP Levels'!$C$27*Inputs!$B$12</f>
        <v>3119.48</v>
      </c>
      <c r="M8" s="23">
        <f>'Affiliate Projection'!M19*'VIP Levels'!$B$23*'VIP Levels'!$E$5*Inputs!$B$14*('VIP Levels'!$D$23/30)*'VIP Levels'!$C$23*Inputs!$B$12+'Affiliate Projection'!M20*'VIP Levels'!$B$24*'VIP Levels'!$E$6*Inputs!$B$14*('VIP Levels'!$D$24/30)*'VIP Levels'!$C$24*Inputs!$B$12+'Affiliate Projection'!M21*'VIP Levels'!$B$25*'VIP Levels'!$E$7*Inputs!$B$14*('VIP Levels'!$D$25/30)*'VIP Levels'!$C$25*Inputs!$B$12+'Affiliate Projection'!M22*'VIP Levels'!$B$26*'VIP Levels'!$E$8*Inputs!$B$14*('VIP Levels'!$D$26/30)*'VIP Levels'!$C$26*Inputs!$B$12+'Affiliate Projection'!M23*'VIP Levels'!$B$27*'VIP Levels'!$E$9*Inputs!$B$14*('VIP Levels'!$D$27/30)*'VIP Levels'!$C$27*Inputs!$B$12</f>
        <v>3239.6000000000004</v>
      </c>
    </row>
    <row r="9" spans="1:15" x14ac:dyDescent="0.25">
      <c r="A9" s="12" t="s">
        <v>138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356.46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360.36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581.41200000000003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893.5680000000001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1297.92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1844.5439999999999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2443.5839999999998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3131.232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3927.4560000000001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4809.7919999999995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5856.8640000000014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6938.88</v>
      </c>
    </row>
    <row r="10" spans="1:15" x14ac:dyDescent="0.25">
      <c r="A10" s="9" t="s">
        <v>139</v>
      </c>
      <c r="B10" s="11">
        <f t="shared" ref="B10:M10" si="0">SUM(B5:B9)</f>
        <v>2740.5877777777782</v>
      </c>
      <c r="C10" s="11">
        <f t="shared" si="0"/>
        <v>5574.0966666666673</v>
      </c>
      <c r="D10" s="11">
        <f t="shared" si="0"/>
        <v>9576.2347777777795</v>
      </c>
      <c r="E10" s="11">
        <f t="shared" si="0"/>
        <v>14673.791888888891</v>
      </c>
      <c r="F10" s="11">
        <f t="shared" si="0"/>
        <v>20956.801666666666</v>
      </c>
      <c r="G10" s="11">
        <f t="shared" si="0"/>
        <v>29051.33400000001</v>
      </c>
      <c r="H10" s="11">
        <f t="shared" si="0"/>
        <v>36841.129000000008</v>
      </c>
      <c r="I10" s="11">
        <f t="shared" si="0"/>
        <v>45941.698111111124</v>
      </c>
      <c r="J10" s="11">
        <f t="shared" si="0"/>
        <v>56314.964333333344</v>
      </c>
      <c r="K10" s="11">
        <f t="shared" si="0"/>
        <v>67411.99977777779</v>
      </c>
      <c r="L10" s="11">
        <f t="shared" si="0"/>
        <v>80864.372333333347</v>
      </c>
      <c r="M10" s="11">
        <f t="shared" si="0"/>
        <v>93615.289444444468</v>
      </c>
      <c r="O10" s="67"/>
    </row>
    <row r="11" spans="1:15" ht="18.75" customHeight="1" x14ac:dyDescent="0.25">
      <c r="A11" s="9"/>
    </row>
    <row r="12" spans="1:15" ht="18.75" customHeight="1" x14ac:dyDescent="0.3">
      <c r="A12" s="1" t="s">
        <v>140</v>
      </c>
    </row>
    <row r="13" spans="1:15" x14ac:dyDescent="0.25">
      <c r="A13" s="9" t="s">
        <v>141</v>
      </c>
      <c r="B13" s="10">
        <f>'Affiliate Projection'!B19*'VIP Levels'!$G$15*'VIP Levels'!$H$15+'Affiliate Projection'!B20*'VIP Levels'!$G$16*'VIP Levels'!$H$16+'Affiliate Projection'!B21*'VIP Levels'!$G$17*'VIP Levels'!$H$17+'Affiliate Projection'!B22*'VIP Levels'!$G$18*'VIP Levels'!$H$18+'Affiliate Projection'!B23*'VIP Levels'!$G$19*'VIP Levels'!$H$19</f>
        <v>250</v>
      </c>
      <c r="C13" s="10">
        <f>'Affiliate Projection'!C19*'VIP Levels'!$G$15*'VIP Levels'!$H$15+'Affiliate Projection'!C20*'VIP Levels'!$G$16*'VIP Levels'!$H$16+'Affiliate Projection'!C21*'VIP Levels'!$G$17*'VIP Levels'!$H$17+'Affiliate Projection'!C22*'VIP Levels'!$G$18*'VIP Levels'!$H$18+'Affiliate Projection'!C23*'VIP Levels'!$G$19*'VIP Levels'!$H$19</f>
        <v>1050</v>
      </c>
      <c r="D13" s="10">
        <f>'Affiliate Projection'!D19*'VIP Levels'!$G$15*'VIP Levels'!$H$15+'Affiliate Projection'!D20*'VIP Levels'!$G$16*'VIP Levels'!$H$16+'Affiliate Projection'!D21*'VIP Levels'!$G$17*'VIP Levels'!$H$17+'Affiliate Projection'!D22*'VIP Levels'!$G$18*'VIP Levels'!$H$18+'Affiliate Projection'!D23*'VIP Levels'!$G$19*'VIP Levels'!$H$19</f>
        <v>1700</v>
      </c>
      <c r="E13" s="10">
        <f>'Affiliate Projection'!E19*'VIP Levels'!$G$15*'VIP Levels'!$H$15+'Affiliate Projection'!E20*'VIP Levels'!$G$16*'VIP Levels'!$H$16+'Affiliate Projection'!E21*'VIP Levels'!$G$17*'VIP Levels'!$H$17+'Affiliate Projection'!E22*'VIP Levels'!$G$18*'VIP Levels'!$H$18+'Affiliate Projection'!E23*'VIP Levels'!$G$19*'VIP Levels'!$H$19</f>
        <v>2450</v>
      </c>
      <c r="F13" s="10">
        <f>'Affiliate Projection'!F19*'VIP Levels'!$G$15*'VIP Levels'!$H$15+'Affiliate Projection'!F20*'VIP Levels'!$G$16*'VIP Levels'!$H$16+'Affiliate Projection'!F21*'VIP Levels'!$G$17*'VIP Levels'!$H$17+'Affiliate Projection'!F22*'VIP Levels'!$G$18*'VIP Levels'!$H$18+'Affiliate Projection'!F23*'VIP Levels'!$G$19*'VIP Levels'!$H$19</f>
        <v>3300</v>
      </c>
      <c r="G13" s="10">
        <f>'Affiliate Projection'!G19*'VIP Levels'!$G$15*'VIP Levels'!$H$15+'Affiliate Projection'!G20*'VIP Levels'!$G$16*'VIP Levels'!$H$16+'Affiliate Projection'!G21*'VIP Levels'!$G$17*'VIP Levels'!$H$17+'Affiliate Projection'!G22*'VIP Levels'!$G$18*'VIP Levels'!$H$18+'Affiliate Projection'!G23*'VIP Levels'!$G$19*'VIP Levels'!$H$19</f>
        <v>4250</v>
      </c>
      <c r="H13" s="10">
        <f>'Affiliate Projection'!H19*'VIP Levels'!$G$15*'VIP Levels'!$H$15+'Affiliate Projection'!H20*'VIP Levels'!$G$16*'VIP Levels'!$H$16+'Affiliate Projection'!H21*'VIP Levels'!$G$17*'VIP Levels'!$H$17+'Affiliate Projection'!H22*'VIP Levels'!$G$18*'VIP Levels'!$H$18+'Affiliate Projection'!H23*'VIP Levels'!$G$19*'VIP Levels'!$H$19</f>
        <v>4800</v>
      </c>
      <c r="I13" s="10">
        <f>'Affiliate Projection'!I19*'VIP Levels'!$G$15*'VIP Levels'!$H$15+'Affiliate Projection'!I20*'VIP Levels'!$G$16*'VIP Levels'!$H$16+'Affiliate Projection'!I21*'VIP Levels'!$G$17*'VIP Levels'!$H$17+'Affiliate Projection'!I22*'VIP Levels'!$G$18*'VIP Levels'!$H$18+'Affiliate Projection'!I23*'VIP Levels'!$G$19*'VIP Levels'!$H$19</f>
        <v>5500</v>
      </c>
      <c r="J13" s="10">
        <f>'Affiliate Projection'!J19*'VIP Levels'!$G$15*'VIP Levels'!$H$15+'Affiliate Projection'!J20*'VIP Levels'!$G$16*'VIP Levels'!$H$16+'Affiliate Projection'!J21*'VIP Levels'!$G$17*'VIP Levels'!$H$17+'Affiliate Projection'!J22*'VIP Levels'!$G$18*'VIP Levels'!$H$18+'Affiliate Projection'!J23*'VIP Levels'!$G$19*'VIP Levels'!$H$19</f>
        <v>6350</v>
      </c>
      <c r="K13" s="10">
        <f>'Affiliate Projection'!K19*'VIP Levels'!$G$15*'VIP Levels'!$H$15+'Affiliate Projection'!K20*'VIP Levels'!$G$16*'VIP Levels'!$H$16+'Affiliate Projection'!K21*'VIP Levels'!$G$17*'VIP Levels'!$H$17+'Affiliate Projection'!K22*'VIP Levels'!$G$18*'VIP Levels'!$H$18+'Affiliate Projection'!K23*'VIP Levels'!$G$19*'VIP Levels'!$H$19</f>
        <v>7000</v>
      </c>
      <c r="L13" s="10">
        <f>'Affiliate Projection'!L19*'VIP Levels'!$G$15*'VIP Levels'!$H$15+'Affiliate Projection'!L20*'VIP Levels'!$G$16*'VIP Levels'!$H$16+'Affiliate Projection'!L21*'VIP Levels'!$G$17*'VIP Levels'!$H$17+'Affiliate Projection'!L22*'VIP Levels'!$G$18*'VIP Levels'!$H$18+'Affiliate Projection'!L23*'VIP Levels'!$G$19*'VIP Levels'!$H$19</f>
        <v>8150</v>
      </c>
      <c r="M13" s="10">
        <f>'Affiliate Projection'!M19*'VIP Levels'!$G$15*'VIP Levels'!$H$15+'Affiliate Projection'!M20*'VIP Levels'!$G$16*'VIP Levels'!$H$16+'Affiliate Projection'!M21*'VIP Levels'!$G$17*'VIP Levels'!$H$17+'Affiliate Projection'!M22*'VIP Levels'!$G$18*'VIP Levels'!$H$18+'Affiliate Projection'!M23*'VIP Levels'!$G$19*'VIP Levels'!$H$19</f>
        <v>8600</v>
      </c>
    </row>
    <row r="14" spans="1:15" x14ac:dyDescent="0.25">
      <c r="A14" s="9" t="s">
        <v>142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1912.5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1392.75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1662.75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2011.5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2362.5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2817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3330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3917.25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4596.75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5346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6221.25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7141.5</v>
      </c>
    </row>
    <row r="15" spans="1:15" x14ac:dyDescent="0.25">
      <c r="A15" s="9" t="s">
        <v>143</v>
      </c>
      <c r="B15" s="10">
        <f t="shared" ref="B15:M15" si="1">B13+B14</f>
        <v>2162.5</v>
      </c>
      <c r="C15" s="10">
        <f t="shared" si="1"/>
        <v>2442.75</v>
      </c>
      <c r="D15" s="10">
        <f t="shared" si="1"/>
        <v>3362.75</v>
      </c>
      <c r="E15" s="10">
        <f t="shared" si="1"/>
        <v>4461.5</v>
      </c>
      <c r="F15" s="10">
        <f t="shared" si="1"/>
        <v>5662.5</v>
      </c>
      <c r="G15" s="10">
        <f t="shared" si="1"/>
        <v>7067</v>
      </c>
      <c r="H15" s="10">
        <f t="shared" si="1"/>
        <v>8130</v>
      </c>
      <c r="I15" s="10">
        <f t="shared" si="1"/>
        <v>9417.25</v>
      </c>
      <c r="J15" s="10">
        <f t="shared" si="1"/>
        <v>10946.75</v>
      </c>
      <c r="K15" s="10">
        <f t="shared" si="1"/>
        <v>12346</v>
      </c>
      <c r="L15" s="10">
        <f t="shared" si="1"/>
        <v>14371.25</v>
      </c>
      <c r="M15" s="10">
        <f t="shared" si="1"/>
        <v>15741.5</v>
      </c>
      <c r="O15" s="67"/>
    </row>
    <row r="16" spans="1:15" x14ac:dyDescent="0.25">
      <c r="A16" s="9" t="s">
        <v>144</v>
      </c>
      <c r="B16" s="11">
        <f t="shared" ref="B16:M16" si="2">B15</f>
        <v>2162.5</v>
      </c>
      <c r="C16" s="11">
        <f t="shared" si="2"/>
        <v>2442.75</v>
      </c>
      <c r="D16" s="11">
        <f t="shared" si="2"/>
        <v>3362.75</v>
      </c>
      <c r="E16" s="11">
        <f t="shared" si="2"/>
        <v>4461.5</v>
      </c>
      <c r="F16" s="11">
        <f t="shared" si="2"/>
        <v>5662.5</v>
      </c>
      <c r="G16" s="11">
        <f t="shared" si="2"/>
        <v>7067</v>
      </c>
      <c r="H16" s="11">
        <f t="shared" si="2"/>
        <v>8130</v>
      </c>
      <c r="I16" s="11">
        <f>I15</f>
        <v>9417.25</v>
      </c>
      <c r="J16" s="11">
        <f t="shared" si="2"/>
        <v>10946.75</v>
      </c>
      <c r="K16" s="11">
        <f t="shared" si="2"/>
        <v>12346</v>
      </c>
      <c r="L16" s="11">
        <f t="shared" si="2"/>
        <v>14371.25</v>
      </c>
      <c r="M16" s="11">
        <f t="shared" si="2"/>
        <v>15741.5</v>
      </c>
    </row>
    <row r="17" spans="1:15" ht="18.75" customHeight="1" x14ac:dyDescent="0.25">
      <c r="A17" s="9"/>
    </row>
    <row r="18" spans="1:15" ht="16.5" hidden="1" customHeight="1" x14ac:dyDescent="0.25"/>
    <row r="19" spans="1:15" hidden="1" x14ac:dyDescent="0.25"/>
    <row r="20" spans="1:15" ht="18.75" customHeight="1" x14ac:dyDescent="0.3">
      <c r="A20" s="1" t="s">
        <v>145</v>
      </c>
    </row>
    <row r="21" spans="1:15" x14ac:dyDescent="0.25">
      <c r="A21" s="9" t="s">
        <v>146</v>
      </c>
      <c r="B21" s="11">
        <f t="shared" ref="B21:M21" si="3">B10+B16</f>
        <v>4903.0877777777787</v>
      </c>
      <c r="C21" s="11">
        <f t="shared" si="3"/>
        <v>8016.8466666666673</v>
      </c>
      <c r="D21" s="11">
        <f t="shared" si="3"/>
        <v>12938.98477777778</v>
      </c>
      <c r="E21" s="11">
        <f t="shared" si="3"/>
        <v>19135.291888888889</v>
      </c>
      <c r="F21" s="11">
        <f t="shared" si="3"/>
        <v>26619.301666666666</v>
      </c>
      <c r="G21" s="11">
        <f t="shared" si="3"/>
        <v>36118.33400000001</v>
      </c>
      <c r="H21" s="11">
        <f t="shared" si="3"/>
        <v>44971.129000000008</v>
      </c>
      <c r="I21" s="11">
        <f t="shared" si="3"/>
        <v>55358.948111111124</v>
      </c>
      <c r="J21" s="11">
        <f t="shared" si="3"/>
        <v>67261.714333333337</v>
      </c>
      <c r="K21" s="11">
        <f t="shared" si="3"/>
        <v>79757.99977777779</v>
      </c>
      <c r="L21" s="11">
        <f t="shared" si="3"/>
        <v>95235.622333333347</v>
      </c>
      <c r="M21" s="11">
        <f t="shared" si="3"/>
        <v>109356.78944444447</v>
      </c>
      <c r="O21" s="67">
        <f>SUM(B21:M21)</f>
        <v>559674.04977777787</v>
      </c>
    </row>
    <row r="23" spans="1:15" ht="18.75" customHeight="1" x14ac:dyDescent="0.3">
      <c r="A23" s="68" t="s">
        <v>147</v>
      </c>
    </row>
    <row r="24" spans="1:15" ht="18.75" hidden="1" customHeight="1" x14ac:dyDescent="0.25">
      <c r="A24" s="69" t="s">
        <v>148</v>
      </c>
      <c r="B24" s="10">
        <f>'Affiliate Projection'!B19*'VIP Levels'!$K$15*'VIP Levels'!$L$15+'Affiliate Projection'!B20*'VIP Levels'!$K$16*'VIP Levels'!$L$16+'Affiliate Projection'!B21*'VIP Levels'!$K$17*'VIP Levels'!$L$17+'Affiliate Projection'!B22*'VIP Levels'!$K$18*'VIP Levels'!$L$18+'Affiliate Projection'!B23*'VIP Levels'!$K$19*'VIP Levels'!$L$19</f>
        <v>0</v>
      </c>
      <c r="C24" s="10">
        <f>'Affiliate Projection'!C19*'VIP Levels'!$K$15*'VIP Levels'!$L$15+'Affiliate Projection'!C20*'VIP Levels'!$K$16*'VIP Levels'!$L$16+'Affiliate Projection'!C21*'VIP Levels'!$K$17*'VIP Levels'!$L$17+'Affiliate Projection'!C22*'VIP Levels'!$K$18*'VIP Levels'!$L$18+'Affiliate Projection'!C23*'VIP Levels'!$K$19*'VIP Levels'!$L$19</f>
        <v>0</v>
      </c>
      <c r="D24" s="10">
        <f>'Affiliate Projection'!D19*'VIP Levels'!$K$15*'VIP Levels'!$L$15+'Affiliate Projection'!D20*'VIP Levels'!$K$16*'VIP Levels'!$L$16+'Affiliate Projection'!D21*'VIP Levels'!$K$17*'VIP Levels'!$L$17+'Affiliate Projection'!D22*'VIP Levels'!$K$18*'VIP Levels'!$L$18+'Affiliate Projection'!D23*'VIP Levels'!$K$19*'VIP Levels'!$L$19</f>
        <v>0</v>
      </c>
      <c r="E24" s="10">
        <f>'Affiliate Projection'!E19*'VIP Levels'!$K$15*'VIP Levels'!$L$15+'Affiliate Projection'!E20*'VIP Levels'!$K$16*'VIP Levels'!$L$16+'Affiliate Projection'!E21*'VIP Levels'!$K$17*'VIP Levels'!$L$17+'Affiliate Projection'!E22*'VIP Levels'!$K$18*'VIP Levels'!$L$18+'Affiliate Projection'!E23*'VIP Levels'!$K$19*'VIP Levels'!$L$19</f>
        <v>0</v>
      </c>
      <c r="F24" s="10">
        <f>'Affiliate Projection'!F19*'VIP Levels'!$K$15*'VIP Levels'!$L$15+'Affiliate Projection'!F20*'VIP Levels'!$K$16*'VIP Levels'!$L$16+'Affiliate Projection'!F21*'VIP Levels'!$K$17*'VIP Levels'!$L$17+'Affiliate Projection'!F22*'VIP Levels'!$K$18*'VIP Levels'!$L$18+'Affiliate Projection'!F23*'VIP Levels'!$K$19*'VIP Levels'!$L$19</f>
        <v>0</v>
      </c>
      <c r="G24" s="10">
        <f>'Affiliate Projection'!G19*'VIP Levels'!$K$15*'VIP Levels'!$L$15+'Affiliate Projection'!G20*'VIP Levels'!$K$16*'VIP Levels'!$L$16+'Affiliate Projection'!G21*'VIP Levels'!$K$17*'VIP Levels'!$L$17+'Affiliate Projection'!G22*'VIP Levels'!$K$18*'VIP Levels'!$L$18+'Affiliate Projection'!G23*'VIP Levels'!$K$19*'VIP Levels'!$L$19</f>
        <v>0</v>
      </c>
      <c r="H24" s="10">
        <f>'Affiliate Projection'!H19*'VIP Levels'!$K$15*'VIP Levels'!$L$15+'Affiliate Projection'!H20*'VIP Levels'!$K$16*'VIP Levels'!$L$16+'Affiliate Projection'!H21*'VIP Levels'!$K$17*'VIP Levels'!$L$17+'Affiliate Projection'!H22*'VIP Levels'!$K$18*'VIP Levels'!$L$18+'Affiliate Projection'!H23*'VIP Levels'!$K$19*'VIP Levels'!$L$19</f>
        <v>0</v>
      </c>
      <c r="I24" s="10">
        <f>'Affiliate Projection'!I19*'VIP Levels'!$K$15*'VIP Levels'!$L$15+'Affiliate Projection'!I20*'VIP Levels'!$K$16*'VIP Levels'!$L$16+'Affiliate Projection'!I21*'VIP Levels'!$K$17*'VIP Levels'!$L$17+'Affiliate Projection'!I22*'VIP Levels'!$K$18*'VIP Levels'!$L$18+'Affiliate Projection'!I23*'VIP Levels'!$K$19*'VIP Levels'!$L$19</f>
        <v>0</v>
      </c>
      <c r="J24" s="10">
        <f>'Affiliate Projection'!J19*'VIP Levels'!$K$15*'VIP Levels'!$L$15+'Affiliate Projection'!J20*'VIP Levels'!$K$16*'VIP Levels'!$L$16+'Affiliate Projection'!J21*'VIP Levels'!$K$17*'VIP Levels'!$L$17+'Affiliate Projection'!J22*'VIP Levels'!$K$18*'VIP Levels'!$L$18+'Affiliate Projection'!J23*'VIP Levels'!$K$19*'VIP Levels'!$L$19</f>
        <v>0</v>
      </c>
      <c r="K24" s="10">
        <f>'Affiliate Projection'!K19*'VIP Levels'!$K$15*'VIP Levels'!$L$15+'Affiliate Projection'!K20*'VIP Levels'!$K$16*'VIP Levels'!$L$16+'Affiliate Projection'!K21*'VIP Levels'!$K$17*'VIP Levels'!$L$17+'Affiliate Projection'!K22*'VIP Levels'!$K$18*'VIP Levels'!$L$18+'Affiliate Projection'!K23*'VIP Levels'!$K$19*'VIP Levels'!$L$19</f>
        <v>0</v>
      </c>
      <c r="L24" s="10">
        <f>'Affiliate Projection'!L19*'VIP Levels'!$K$15*'VIP Levels'!$L$15+'Affiliate Projection'!L20*'VIP Levels'!$K$16*'VIP Levels'!$L$16+'Affiliate Projection'!L21*'VIP Levels'!$K$17*'VIP Levels'!$L$17+'Affiliate Projection'!L22*'VIP Levels'!$K$18*'VIP Levels'!$L$18+'Affiliate Projection'!L23*'VIP Levels'!$K$19*'VIP Levels'!$L$19</f>
        <v>0</v>
      </c>
      <c r="M24" s="10">
        <f>'Affiliate Projection'!M19*'VIP Levels'!$K$15*'VIP Levels'!$L$15+'Affiliate Projection'!M20*'VIP Levels'!$K$16*'VIP Levels'!$L$16+'Affiliate Projection'!M21*'VIP Levels'!$K$17*'VIP Levels'!$L$17+'Affiliate Projection'!M22*'VIP Levels'!$K$18*'VIP Levels'!$L$18+'Affiliate Projection'!M23*'VIP Levels'!$K$19*'VIP Levels'!$L$19</f>
        <v>0</v>
      </c>
    </row>
    <row r="25" spans="1:15" ht="18.75" hidden="1" customHeight="1" x14ac:dyDescent="0.25">
      <c r="A25" s="69" t="s">
        <v>149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5" hidden="1" x14ac:dyDescent="0.25">
      <c r="A26" s="69" t="s">
        <v>150</v>
      </c>
      <c r="B26" s="10">
        <f>'Affiliate Projection'!B19*'VIP Levels'!$G$23*'VIP Levels'!$H$23+'Affiliate Projection'!B20*'VIP Levels'!$G$24*'VIP Levels'!$H$24+'Affiliate Projection'!B21*'VIP Levels'!$G$25*'VIP Levels'!$H$25+'Affiliate Projection'!B22*'VIP Levels'!$G$26*'VIP Levels'!$H$26+'Affiliate Projection'!B23*'VIP Levels'!$G$27*'VIP Levels'!$H$27</f>
        <v>0</v>
      </c>
      <c r="C26" s="10">
        <f>'Affiliate Projection'!C19*'VIP Levels'!$G$23*'VIP Levels'!$H$23+'Affiliate Projection'!C20*'VIP Levels'!$G$24*'VIP Levels'!$H$24+'Affiliate Projection'!C21*'VIP Levels'!$G$25*'VIP Levels'!$H$25+'Affiliate Projection'!C22*'VIP Levels'!$G$26*'VIP Levels'!$H$26+'Affiliate Projection'!C23*'VIP Levels'!$G$27*'VIP Levels'!$H$27</f>
        <v>0</v>
      </c>
      <c r="D26" s="10">
        <f>'Affiliate Projection'!D19*'VIP Levels'!$G$23*'VIP Levels'!$H$23+'Affiliate Projection'!D20*'VIP Levels'!$G$24*'VIP Levels'!$H$24+'Affiliate Projection'!D21*'VIP Levels'!$G$25*'VIP Levels'!$H$25+'Affiliate Projection'!D22*'VIP Levels'!$G$26*'VIP Levels'!$H$26+'Affiliate Projection'!D23*'VIP Levels'!$G$27*'VIP Levels'!$H$27</f>
        <v>0</v>
      </c>
      <c r="E26" s="10">
        <f>'Affiliate Projection'!E19*'VIP Levels'!$G$23*'VIP Levels'!$H$23+'Affiliate Projection'!E20*'VIP Levels'!$G$24*'VIP Levels'!$H$24+'Affiliate Projection'!E21*'VIP Levels'!$G$25*'VIP Levels'!$H$25+'Affiliate Projection'!E22*'VIP Levels'!$G$26*'VIP Levels'!$H$26+'Affiliate Projection'!E23*'VIP Levels'!$G$27*'VIP Levels'!$H$27</f>
        <v>0</v>
      </c>
      <c r="F26" s="10">
        <f>'Affiliate Projection'!F19*'VIP Levels'!$G$23*'VIP Levels'!$H$23+'Affiliate Projection'!F20*'VIP Levels'!$G$24*'VIP Levels'!$H$24+'Affiliate Projection'!F21*'VIP Levels'!$G$25*'VIP Levels'!$H$25+'Affiliate Projection'!F22*'VIP Levels'!$G$26*'VIP Levels'!$H$26+'Affiliate Projection'!F23*'VIP Levels'!$G$27*'VIP Levels'!$H$27</f>
        <v>0</v>
      </c>
      <c r="G26" s="10">
        <f>'Affiliate Projection'!G19*'VIP Levels'!$G$23*'VIP Levels'!$H$23+'Affiliate Projection'!G20*'VIP Levels'!$G$24*'VIP Levels'!$H$24+'Affiliate Projection'!G21*'VIP Levels'!$G$25*'VIP Levels'!$H$25+'Affiliate Projection'!G22*'VIP Levels'!$G$26*'VIP Levels'!$H$26+'Affiliate Projection'!G23*'VIP Levels'!$G$27*'VIP Levels'!$H$27</f>
        <v>0</v>
      </c>
      <c r="H26" s="10">
        <f>'Affiliate Projection'!H19*'VIP Levels'!$G$23*'VIP Levels'!$H$23+'Affiliate Projection'!H20*'VIP Levels'!$G$24*'VIP Levels'!$H$24+'Affiliate Projection'!H21*'VIP Levels'!$G$25*'VIP Levels'!$H$25+'Affiliate Projection'!H22*'VIP Levels'!$G$26*'VIP Levels'!$H$26+'Affiliate Projection'!H23*'VIP Levels'!$G$27*'VIP Levels'!$H$27</f>
        <v>0</v>
      </c>
      <c r="I26" s="10">
        <f>'Affiliate Projection'!I19*'VIP Levels'!$G$23*'VIP Levels'!$H$23+'Affiliate Projection'!I20*'VIP Levels'!$G$24*'VIP Levels'!$H$24+'Affiliate Projection'!I21*'VIP Levels'!$G$25*'VIP Levels'!$H$25+'Affiliate Projection'!I22*'VIP Levels'!$G$26*'VIP Levels'!$H$26+'Affiliate Projection'!I23*'VIP Levels'!$G$27*'VIP Levels'!$H$27</f>
        <v>0</v>
      </c>
      <c r="J26" s="10">
        <f>'Affiliate Projection'!J19*'VIP Levels'!$G$23*'VIP Levels'!$H$23+'Affiliate Projection'!J20*'VIP Levels'!$G$24*'VIP Levels'!$H$24+'Affiliate Projection'!J21*'VIP Levels'!$G$25*'VIP Levels'!$H$25+'Affiliate Projection'!J22*'VIP Levels'!$G$26*'VIP Levels'!$H$26+'Affiliate Projection'!J23*'VIP Levels'!$G$27*'VIP Levels'!$H$27</f>
        <v>0</v>
      </c>
      <c r="K26" s="10">
        <f>'Affiliate Projection'!K19*'VIP Levels'!$G$23*'VIP Levels'!$H$23+'Affiliate Projection'!K20*'VIP Levels'!$G$24*'VIP Levels'!$H$24+'Affiliate Projection'!K21*'VIP Levels'!$G$25*'VIP Levels'!$H$25+'Affiliate Projection'!K22*'VIP Levels'!$G$26*'VIP Levels'!$H$26+'Affiliate Projection'!K23*'VIP Levels'!$G$27*'VIP Levels'!$H$27</f>
        <v>0</v>
      </c>
      <c r="L26" s="10">
        <f>'Affiliate Projection'!L19*'VIP Levels'!$G$23*'VIP Levels'!$H$23+'Affiliate Projection'!L20*'VIP Levels'!$G$24*'VIP Levels'!$H$24+'Affiliate Projection'!L21*'VIP Levels'!$G$25*'VIP Levels'!$H$25+'Affiliate Projection'!L22*'VIP Levels'!$G$26*'VIP Levels'!$H$26+'Affiliate Projection'!L23*'VIP Levels'!$G$27*'VIP Levels'!$H$27</f>
        <v>0</v>
      </c>
      <c r="M26" s="10">
        <f>'Affiliate Projection'!M19*'VIP Levels'!$G$23*'VIP Levels'!$H$23+'Affiliate Projection'!M20*'VIP Levels'!$G$24*'VIP Levels'!$H$24+'Affiliate Projection'!M21*'VIP Levels'!$G$25*'VIP Levels'!$H$25+'Affiliate Projection'!M22*'VIP Levels'!$G$26*'VIP Levels'!$H$26+'Affiliate Projection'!M23*'VIP Levels'!$G$27*'VIP Levels'!$H$27</f>
        <v>0</v>
      </c>
    </row>
    <row r="27" spans="1:15" hidden="1" x14ac:dyDescent="0.25">
      <c r="A27" s="69" t="s">
        <v>151</v>
      </c>
      <c r="B27" s="10">
        <f>'Affiliate Projection'!B19*'VIP Levels'!$B$31*'VIP Levels'!$C$31+'Affiliate Projection'!B20*'VIP Levels'!$B$32*'VIP Levels'!$C$32+'Affiliate Projection'!B21*'VIP Levels'!$B$33*'VIP Levels'!$C$33+'Affiliate Projection'!B22*'VIP Levels'!$B$34*'VIP Levels'!$C$34+'Affiliate Projection'!B23*'VIP Levels'!$B$35*'VIP Levels'!$C$35</f>
        <v>0</v>
      </c>
      <c r="C27" s="10">
        <f>'Affiliate Projection'!C19*'VIP Levels'!$B$31*'VIP Levels'!$C$31+'Affiliate Projection'!C20*'VIP Levels'!$B$32*'VIP Levels'!$C$32+'Affiliate Projection'!C21*'VIP Levels'!$B$33*'VIP Levels'!$C$33+'Affiliate Projection'!C22*'VIP Levels'!$B$34*'VIP Levels'!$C$34+'Affiliate Projection'!C23*'VIP Levels'!$B$35*'VIP Levels'!$C$35</f>
        <v>0</v>
      </c>
      <c r="D27" s="10">
        <f>'Affiliate Projection'!D19*'VIP Levels'!$B$31*'VIP Levels'!$C$31+'Affiliate Projection'!D20*'VIP Levels'!$B$32*'VIP Levels'!$C$32+'Affiliate Projection'!D21*'VIP Levels'!$B$33*'VIP Levels'!$C$33+'Affiliate Projection'!D22*'VIP Levels'!$B$34*'VIP Levels'!$C$34+'Affiliate Projection'!D23*'VIP Levels'!$B$35*'VIP Levels'!$C$35</f>
        <v>0</v>
      </c>
      <c r="E27" s="10">
        <f>'Affiliate Projection'!E19*'VIP Levels'!$B$31*'VIP Levels'!$C$31+'Affiliate Projection'!E20*'VIP Levels'!$B$32*'VIP Levels'!$C$32+'Affiliate Projection'!E21*'VIP Levels'!$B$33*'VIP Levels'!$C$33+'Affiliate Projection'!E22*'VIP Levels'!$B$34*'VIP Levels'!$C$34+'Affiliate Projection'!E23*'VIP Levels'!$B$35*'VIP Levels'!$C$35</f>
        <v>0</v>
      </c>
      <c r="F27" s="10">
        <f>'Affiliate Projection'!F19*'VIP Levels'!$B$31*'VIP Levels'!$C$31+'Affiliate Projection'!F20*'VIP Levels'!$B$32*'VIP Levels'!$C$32+'Affiliate Projection'!F21*'VIP Levels'!$B$33*'VIP Levels'!$C$33+'Affiliate Projection'!F22*'VIP Levels'!$B$34*'VIP Levels'!$C$34+'Affiliate Projection'!F23*'VIP Levels'!$B$35*'VIP Levels'!$C$35</f>
        <v>0</v>
      </c>
      <c r="G27" s="10">
        <f>'Affiliate Projection'!G19*'VIP Levels'!$B$31*'VIP Levels'!$C$31+'Affiliate Projection'!G20*'VIP Levels'!$B$32*'VIP Levels'!$C$32+'Affiliate Projection'!G21*'VIP Levels'!$B$33*'VIP Levels'!$C$33+'Affiliate Projection'!G22*'VIP Levels'!$B$34*'VIP Levels'!$C$34+'Affiliate Projection'!G23*'VIP Levels'!$B$35*'VIP Levels'!$C$35</f>
        <v>0</v>
      </c>
      <c r="H27" s="10">
        <f>'Affiliate Projection'!H19*'VIP Levels'!$B$31*'VIP Levels'!$C$31+'Affiliate Projection'!H20*'VIP Levels'!$B$32*'VIP Levels'!$C$32+'Affiliate Projection'!H21*'VIP Levels'!$B$33*'VIP Levels'!$C$33+'Affiliate Projection'!H22*'VIP Levels'!$B$34*'VIP Levels'!$C$34+'Affiliate Projection'!H23*'VIP Levels'!$B$35*'VIP Levels'!$C$35</f>
        <v>0</v>
      </c>
      <c r="I27" s="10">
        <f>'Affiliate Projection'!I19*'VIP Levels'!$B$31*'VIP Levels'!$C$31+'Affiliate Projection'!I20*'VIP Levels'!$B$32*'VIP Levels'!$C$32+'Affiliate Projection'!I21*'VIP Levels'!$B$33*'VIP Levels'!$C$33+'Affiliate Projection'!I22*'VIP Levels'!$B$34*'VIP Levels'!$C$34+'Affiliate Projection'!I23*'VIP Levels'!$B$35*'VIP Levels'!$C$35</f>
        <v>0</v>
      </c>
      <c r="J27" s="10">
        <f>'Affiliate Projection'!J19*'VIP Levels'!$B$31*'VIP Levels'!$C$31+'Affiliate Projection'!J20*'VIP Levels'!$B$32*'VIP Levels'!$C$32+'Affiliate Projection'!J21*'VIP Levels'!$B$33*'VIP Levels'!$C$33+'Affiliate Projection'!J22*'VIP Levels'!$B$34*'VIP Levels'!$C$34+'Affiliate Projection'!J23*'VIP Levels'!$B$35*'VIP Levels'!$C$35</f>
        <v>0</v>
      </c>
      <c r="K27" s="10">
        <f>'Affiliate Projection'!K19*'VIP Levels'!$B$31*'VIP Levels'!$C$31+'Affiliate Projection'!K20*'VIP Levels'!$B$32*'VIP Levels'!$C$32+'Affiliate Projection'!K21*'VIP Levels'!$B$33*'VIP Levels'!$C$33+'Affiliate Projection'!K22*'VIP Levels'!$B$34*'VIP Levels'!$C$34+'Affiliate Projection'!K23*'VIP Levels'!$B$35*'VIP Levels'!$C$35</f>
        <v>0</v>
      </c>
      <c r="L27" s="10">
        <f>'Affiliate Projection'!L19*'VIP Levels'!$B$31*'VIP Levels'!$C$31+'Affiliate Projection'!L20*'VIP Levels'!$B$32*'VIP Levels'!$C$32+'Affiliate Projection'!L21*'VIP Levels'!$B$33*'VIP Levels'!$C$33+'Affiliate Projection'!L22*'VIP Levels'!$B$34*'VIP Levels'!$C$34+'Affiliate Projection'!L23*'VIP Levels'!$B$35*'VIP Levels'!$C$35</f>
        <v>0</v>
      </c>
      <c r="M27" s="10">
        <f>'Affiliate Projection'!M19*'VIP Levels'!$B$31*'VIP Levels'!$C$31+'Affiliate Projection'!M20*'VIP Levels'!$B$32*'VIP Levels'!$C$32+'Affiliate Projection'!M21*'VIP Levels'!$B$33*'VIP Levels'!$C$33+'Affiliate Projection'!M22*'VIP Levels'!$B$34*'VIP Levels'!$C$34+'Affiliate Projection'!M23*'VIP Levels'!$B$35*'VIP Levels'!$C$35</f>
        <v>0</v>
      </c>
    </row>
    <row r="28" spans="1:15" hidden="1" x14ac:dyDescent="0.25">
      <c r="A28" s="69" t="s">
        <v>152</v>
      </c>
      <c r="B28" s="10">
        <f>'Affiliate Projection'!B4*Inputs!$B$30</f>
        <v>2250</v>
      </c>
      <c r="C28" s="10">
        <f>'Affiliate Projection'!C4*Inputs!$B$30</f>
        <v>1500</v>
      </c>
      <c r="D28" s="10">
        <f>'Affiliate Projection'!D4*Inputs!$B$30</f>
        <v>1500</v>
      </c>
      <c r="E28" s="10">
        <f>'Affiliate Projection'!E4*Inputs!$B$30</f>
        <v>1500</v>
      </c>
      <c r="F28" s="10">
        <f>'Affiliate Projection'!F4*Inputs!$B$30</f>
        <v>1500</v>
      </c>
      <c r="G28" s="10">
        <f>'Affiliate Projection'!G4*Inputs!$B$30</f>
        <v>1500</v>
      </c>
      <c r="H28" s="10">
        <f>'Affiliate Projection'!H4*Inputs!$B$30</f>
        <v>1500</v>
      </c>
      <c r="I28" s="10">
        <f>'Affiliate Projection'!I4*Inputs!$B$30</f>
        <v>1500</v>
      </c>
      <c r="J28" s="10">
        <f>'Affiliate Projection'!J4*Inputs!$B$30</f>
        <v>1500</v>
      </c>
      <c r="K28" s="10">
        <f>'Affiliate Projection'!K4*Inputs!$B$30</f>
        <v>1500</v>
      </c>
      <c r="L28" s="10">
        <f>'Affiliate Projection'!L4*Inputs!$B$30</f>
        <v>1500</v>
      </c>
      <c r="M28" s="10">
        <f>'Affiliate Projection'!M4*Inputs!$B$30</f>
        <v>1500</v>
      </c>
    </row>
    <row r="29" spans="1:15" hidden="1" x14ac:dyDescent="0.25">
      <c r="A29" s="69" t="s">
        <v>153</v>
      </c>
      <c r="B29" s="11">
        <f t="shared" ref="B29:M29" si="4">SUM(B24:B28)</f>
        <v>2250</v>
      </c>
      <c r="C29" s="11">
        <f t="shared" si="4"/>
        <v>1500</v>
      </c>
      <c r="D29" s="11">
        <f t="shared" si="4"/>
        <v>1500</v>
      </c>
      <c r="E29" s="11">
        <f t="shared" si="4"/>
        <v>1500</v>
      </c>
      <c r="F29" s="11">
        <f t="shared" si="4"/>
        <v>1500</v>
      </c>
      <c r="G29" s="11">
        <f t="shared" si="4"/>
        <v>1500</v>
      </c>
      <c r="H29" s="11">
        <f t="shared" si="4"/>
        <v>1500</v>
      </c>
      <c r="I29" s="11">
        <f t="shared" si="4"/>
        <v>1500</v>
      </c>
      <c r="J29" s="11">
        <f t="shared" si="4"/>
        <v>1500</v>
      </c>
      <c r="K29" s="11">
        <f t="shared" si="4"/>
        <v>1500</v>
      </c>
      <c r="L29" s="11">
        <f t="shared" si="4"/>
        <v>1500</v>
      </c>
      <c r="M29" s="11">
        <f t="shared" si="4"/>
        <v>1500</v>
      </c>
    </row>
    <row r="30" spans="1:15" ht="0.75" customHeight="1" x14ac:dyDescent="0.25">
      <c r="A30" s="69"/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2"/>
  <sheetViews>
    <sheetView workbookViewId="0">
      <selection activeCell="A2" sqref="A2"/>
    </sheetView>
  </sheetViews>
  <sheetFormatPr defaultRowHeight="15" x14ac:dyDescent="0.25"/>
  <cols>
    <col min="1" max="1" width="32" customWidth="1"/>
    <col min="2" max="2" width="15" customWidth="1"/>
    <col min="3" max="13" width="10" customWidth="1"/>
    <col min="14" max="14" width="10.140625" bestFit="1" customWidth="1"/>
  </cols>
  <sheetData>
    <row r="1" spans="1:14" ht="21.75" customHeight="1" x14ac:dyDescent="0.35">
      <c r="A1" s="141" t="s">
        <v>154</v>
      </c>
      <c r="B1" s="140"/>
      <c r="C1" s="140"/>
      <c r="D1" s="140"/>
      <c r="E1" s="140"/>
    </row>
    <row r="2" spans="1:14" ht="18.75" customHeight="1" x14ac:dyDescent="0.3">
      <c r="A2" s="71" t="s">
        <v>155</v>
      </c>
    </row>
    <row r="3" spans="1:14" ht="15.75" customHeight="1" x14ac:dyDescent="0.25">
      <c r="A3" s="65" t="s">
        <v>98</v>
      </c>
      <c r="B3" s="65" t="s">
        <v>156</v>
      </c>
      <c r="C3" s="65" t="s">
        <v>157</v>
      </c>
      <c r="D3" s="65" t="s">
        <v>158</v>
      </c>
      <c r="E3" s="65" t="s">
        <v>159</v>
      </c>
      <c r="F3" s="65" t="s">
        <v>160</v>
      </c>
      <c r="G3" s="65" t="s">
        <v>161</v>
      </c>
      <c r="H3" s="65" t="s">
        <v>162</v>
      </c>
      <c r="I3" s="65" t="s">
        <v>163</v>
      </c>
      <c r="J3" s="65" t="s">
        <v>164</v>
      </c>
      <c r="K3" s="65" t="s">
        <v>165</v>
      </c>
      <c r="L3" s="65" t="s">
        <v>166</v>
      </c>
      <c r="M3" s="65" t="s">
        <v>167</v>
      </c>
    </row>
    <row r="4" spans="1:14" x14ac:dyDescent="0.25">
      <c r="A4" s="64" t="s">
        <v>168</v>
      </c>
      <c r="B4" s="66">
        <f>'Affiliate Projection'!B8</f>
        <v>105</v>
      </c>
      <c r="C4" s="66">
        <f>'Affiliate Projection'!C8</f>
        <v>175</v>
      </c>
      <c r="D4" s="66">
        <f>'Affiliate Projection'!D8</f>
        <v>250</v>
      </c>
      <c r="E4" s="66">
        <f>'Affiliate Projection'!E8</f>
        <v>330</v>
      </c>
      <c r="F4" s="66">
        <f>'Affiliate Projection'!F8</f>
        <v>410</v>
      </c>
      <c r="G4" s="66">
        <f>'Affiliate Projection'!G8</f>
        <v>490</v>
      </c>
      <c r="H4" s="66">
        <f>'Affiliate Projection'!H8</f>
        <v>570</v>
      </c>
      <c r="I4" s="66">
        <f>'Affiliate Projection'!I8</f>
        <v>650</v>
      </c>
      <c r="J4" s="66">
        <f>'Affiliate Projection'!J8</f>
        <v>730</v>
      </c>
      <c r="K4" s="66">
        <f>'Affiliate Projection'!K8</f>
        <v>810</v>
      </c>
      <c r="L4" s="66">
        <f>'Affiliate Projection'!L8</f>
        <v>890</v>
      </c>
      <c r="M4" s="66">
        <f>'Affiliate Projection'!M8</f>
        <v>970</v>
      </c>
    </row>
    <row r="5" spans="1:14" ht="15.75" customHeight="1" x14ac:dyDescent="0.25">
      <c r="A5" s="64" t="s">
        <v>105</v>
      </c>
      <c r="B5" s="66">
        <f>'Affiliate Projection'!B9</f>
        <v>263</v>
      </c>
      <c r="C5" s="66">
        <f>'Affiliate Projection'!C9</f>
        <v>552</v>
      </c>
      <c r="D5" s="66">
        <f>'Affiliate Projection'!D9</f>
        <v>947</v>
      </c>
      <c r="E5" s="66">
        <f>'Affiliate Projection'!E9</f>
        <v>1456</v>
      </c>
      <c r="F5" s="66">
        <f>'Affiliate Projection'!F9</f>
        <v>2085</v>
      </c>
      <c r="G5" s="66">
        <f>'Affiliate Projection'!G9</f>
        <v>2868</v>
      </c>
      <c r="H5" s="66">
        <f>'Affiliate Projection'!H9</f>
        <v>3696</v>
      </c>
      <c r="I5" s="66">
        <f>'Affiliate Projection'!I9</f>
        <v>4628</v>
      </c>
      <c r="J5" s="66">
        <f>'Affiliate Projection'!J9</f>
        <v>5685</v>
      </c>
      <c r="K5" s="66">
        <f>'Affiliate Projection'!K9</f>
        <v>6827</v>
      </c>
      <c r="L5" s="66">
        <f>'Affiliate Projection'!L9</f>
        <v>8160</v>
      </c>
      <c r="M5" s="66">
        <f>'Affiliate Projection'!M9</f>
        <v>9515</v>
      </c>
    </row>
    <row r="6" spans="1:14" x14ac:dyDescent="0.25">
      <c r="A6" s="64" t="s">
        <v>124</v>
      </c>
      <c r="B6" s="23">
        <f>Revenue!B8</f>
        <v>9497.2222222222226</v>
      </c>
      <c r="C6" s="23">
        <f>Revenue!C8</f>
        <v>19933.333333333336</v>
      </c>
      <c r="D6" s="23">
        <f>Revenue!D8</f>
        <v>34197.222222222226</v>
      </c>
      <c r="E6" s="23">
        <f>Revenue!E8</f>
        <v>52577.777777777781</v>
      </c>
      <c r="F6" s="23">
        <f>Revenue!F8</f>
        <v>75291.666666666672</v>
      </c>
      <c r="G6" s="23">
        <f>Revenue!G8</f>
        <v>103566.66666666667</v>
      </c>
      <c r="H6" s="23">
        <f>Revenue!H8</f>
        <v>133466.66666666669</v>
      </c>
      <c r="I6" s="23">
        <f>Revenue!I8</f>
        <v>167122.22222222225</v>
      </c>
      <c r="J6" s="23">
        <f>Revenue!J8</f>
        <v>205291.66666666669</v>
      </c>
      <c r="K6" s="23">
        <f>Revenue!K8</f>
        <v>246530.55555555559</v>
      </c>
      <c r="L6" s="23">
        <f>Revenue!L8</f>
        <v>294666.66666666669</v>
      </c>
      <c r="M6" s="23">
        <f>Revenue!M8</f>
        <v>343597.22222222225</v>
      </c>
      <c r="N6" s="67">
        <f>SUM(B6:M6)</f>
        <v>1685738.888888889</v>
      </c>
    </row>
    <row r="7" spans="1:14" ht="21" customHeight="1" x14ac:dyDescent="0.35">
      <c r="A7" s="139"/>
      <c r="B7" s="140"/>
      <c r="C7" s="140"/>
      <c r="D7" s="140"/>
      <c r="E7" s="140"/>
    </row>
    <row r="8" spans="1:14" ht="20.25" customHeight="1" x14ac:dyDescent="0.3">
      <c r="A8" s="71" t="s">
        <v>169</v>
      </c>
    </row>
    <row r="9" spans="1:14" ht="15" customHeight="1" x14ac:dyDescent="0.25">
      <c r="A9" s="9" t="s">
        <v>134</v>
      </c>
      <c r="B9" s="70">
        <f>Costs!B5</f>
        <v>1899.4444444444446</v>
      </c>
      <c r="C9" s="70">
        <f>Costs!C5</f>
        <v>3986.6666666666674</v>
      </c>
      <c r="D9" s="70">
        <f>Costs!D5</f>
        <v>6839.4444444444453</v>
      </c>
      <c r="E9" s="70">
        <f>Costs!E5</f>
        <v>10515.555555555558</v>
      </c>
      <c r="F9" s="70">
        <f>Costs!F5</f>
        <v>15058.333333333334</v>
      </c>
      <c r="G9" s="70">
        <f>Costs!G5</f>
        <v>20713.333333333339</v>
      </c>
      <c r="H9" s="70">
        <f>Costs!H5</f>
        <v>26693.333333333343</v>
      </c>
      <c r="I9" s="70">
        <f>Costs!I5</f>
        <v>33424.444444444453</v>
      </c>
      <c r="J9" s="70">
        <f>Costs!J5</f>
        <v>41058.333333333343</v>
      </c>
      <c r="K9" s="70">
        <f>Costs!K5</f>
        <v>49306.111111111124</v>
      </c>
      <c r="L9" s="70">
        <f>Costs!L5</f>
        <v>58933.333333333343</v>
      </c>
      <c r="M9" s="70">
        <f>Costs!M5</f>
        <v>68719.444444444453</v>
      </c>
    </row>
    <row r="10" spans="1:14" x14ac:dyDescent="0.25">
      <c r="A10" s="9" t="s">
        <v>135</v>
      </c>
      <c r="B10" s="70">
        <f>Costs!B6</f>
        <v>28.166666666666671</v>
      </c>
      <c r="C10" s="70">
        <f>Costs!C6</f>
        <v>436.58333333333343</v>
      </c>
      <c r="D10" s="70">
        <f>Costs!D6</f>
        <v>799.93333333333351</v>
      </c>
      <c r="E10" s="70">
        <f>Costs!E6</f>
        <v>1174.5500000000002</v>
      </c>
      <c r="F10" s="70">
        <f>Costs!F6</f>
        <v>1588.6000000000004</v>
      </c>
      <c r="G10" s="70">
        <f>Costs!G6</f>
        <v>2247.7000000000003</v>
      </c>
      <c r="H10" s="70">
        <f>Costs!H6</f>
        <v>2366.0000000000005</v>
      </c>
      <c r="I10" s="70">
        <f>Costs!I6</f>
        <v>2734.983333333334</v>
      </c>
      <c r="J10" s="70">
        <f>Costs!J6</f>
        <v>3149.0333333333338</v>
      </c>
      <c r="K10" s="70">
        <f>Costs!K6</f>
        <v>3512.3833333333341</v>
      </c>
      <c r="L10" s="70">
        <f>Costs!L6</f>
        <v>4222.1833333333343</v>
      </c>
      <c r="M10" s="70">
        <f>Costs!M6</f>
        <v>4301.0500000000011</v>
      </c>
    </row>
    <row r="11" spans="1:14" x14ac:dyDescent="0.25">
      <c r="A11" s="9" t="s">
        <v>136</v>
      </c>
      <c r="B11" s="70">
        <f>Costs!B7</f>
        <v>19.716666666666672</v>
      </c>
      <c r="C11" s="70">
        <f>Costs!C7</f>
        <v>197.16666666666669</v>
      </c>
      <c r="D11" s="70">
        <f>Costs!D7</f>
        <v>514.60500000000002</v>
      </c>
      <c r="E11" s="70">
        <f>Costs!E7</f>
        <v>979.91833333333329</v>
      </c>
      <c r="F11" s="70">
        <f>Costs!F7</f>
        <v>1606.9083333333338</v>
      </c>
      <c r="G11" s="70">
        <f>Costs!G7</f>
        <v>2480.356666666667</v>
      </c>
      <c r="H11" s="70">
        <f>Costs!H7</f>
        <v>3409.0116666666672</v>
      </c>
      <c r="I11" s="70">
        <f>Costs!I7</f>
        <v>4481.5983333333334</v>
      </c>
      <c r="J11" s="70">
        <f>Costs!J7</f>
        <v>5715.8616666666676</v>
      </c>
      <c r="K11" s="70">
        <f>Costs!K7</f>
        <v>7090.1133333333337</v>
      </c>
      <c r="L11" s="70">
        <f>Costs!L7</f>
        <v>8732.5116666666672</v>
      </c>
      <c r="M11" s="70">
        <f>Costs!M7</f>
        <v>10416.315000000001</v>
      </c>
    </row>
    <row r="12" spans="1:14" x14ac:dyDescent="0.25">
      <c r="A12" s="9" t="s">
        <v>141</v>
      </c>
      <c r="B12" s="70">
        <f>Costs!B13</f>
        <v>250</v>
      </c>
      <c r="C12" s="70">
        <f>Costs!C13</f>
        <v>1050</v>
      </c>
      <c r="D12" s="70">
        <f>Costs!D13</f>
        <v>1700</v>
      </c>
      <c r="E12" s="70">
        <f>Costs!E13</f>
        <v>2450</v>
      </c>
      <c r="F12" s="70">
        <f>Costs!F13</f>
        <v>3300</v>
      </c>
      <c r="G12" s="70">
        <f>Costs!G13</f>
        <v>4250</v>
      </c>
      <c r="H12" s="70">
        <f>Costs!H13</f>
        <v>4800</v>
      </c>
      <c r="I12" s="70">
        <f>Costs!I13</f>
        <v>5500</v>
      </c>
      <c r="J12" s="70">
        <f>Costs!J13</f>
        <v>6350</v>
      </c>
      <c r="K12" s="70">
        <f>Costs!K13</f>
        <v>7000</v>
      </c>
      <c r="L12" s="70">
        <f>Costs!L13</f>
        <v>8150</v>
      </c>
      <c r="M12" s="70">
        <f>Costs!M13</f>
        <v>8600</v>
      </c>
    </row>
    <row r="13" spans="1:14" x14ac:dyDescent="0.25">
      <c r="A13" s="9" t="s">
        <v>142</v>
      </c>
      <c r="B13" s="70">
        <f>Costs!B14</f>
        <v>1912.5</v>
      </c>
      <c r="C13" s="70">
        <f>Costs!C14</f>
        <v>1392.75</v>
      </c>
      <c r="D13" s="70">
        <f>Costs!D14</f>
        <v>1662.75</v>
      </c>
      <c r="E13" s="70">
        <f>Costs!E14</f>
        <v>2011.5</v>
      </c>
      <c r="F13" s="70">
        <f>Costs!F14</f>
        <v>2362.5</v>
      </c>
      <c r="G13" s="70">
        <f>Costs!G14</f>
        <v>2817</v>
      </c>
      <c r="H13" s="70">
        <f>Costs!H14</f>
        <v>3330</v>
      </c>
      <c r="I13" s="70">
        <f>Costs!I14</f>
        <v>3917.25</v>
      </c>
      <c r="J13" s="70">
        <f>Costs!J14</f>
        <v>4596.75</v>
      </c>
      <c r="K13" s="70">
        <f>Costs!K14</f>
        <v>5346</v>
      </c>
      <c r="L13" s="70">
        <f>Costs!L14</f>
        <v>6221.25</v>
      </c>
      <c r="M13" s="70">
        <f>Costs!M14</f>
        <v>7141.5</v>
      </c>
    </row>
    <row r="14" spans="1:14" x14ac:dyDescent="0.25">
      <c r="A14" s="72" t="s">
        <v>170</v>
      </c>
      <c r="B14" s="73">
        <f t="shared" ref="B14:M14" si="0">IF(B5&gt;0,SUM(B9:B13)/B5,0)</f>
        <v>15.626721588508664</v>
      </c>
      <c r="C14" s="73">
        <f t="shared" si="0"/>
        <v>12.795591787439616</v>
      </c>
      <c r="D14" s="73">
        <f t="shared" si="0"/>
        <v>12.16128065235246</v>
      </c>
      <c r="E14" s="73">
        <f t="shared" si="0"/>
        <v>11.76615651709402</v>
      </c>
      <c r="F14" s="73">
        <f t="shared" si="0"/>
        <v>11.470667466027178</v>
      </c>
      <c r="G14" s="73">
        <f t="shared" si="0"/>
        <v>11.334864016736404</v>
      </c>
      <c r="H14" s="73">
        <f t="shared" si="0"/>
        <v>10.984400703463205</v>
      </c>
      <c r="I14" s="73">
        <f t="shared" si="0"/>
        <v>10.816395011043891</v>
      </c>
      <c r="J14" s="73">
        <f t="shared" si="0"/>
        <v>10.70712019935503</v>
      </c>
      <c r="K14" s="73">
        <f t="shared" si="0"/>
        <v>10.583654281203721</v>
      </c>
      <c r="L14" s="73">
        <f t="shared" si="0"/>
        <v>10.570989991830068</v>
      </c>
      <c r="M14" s="73">
        <f t="shared" si="0"/>
        <v>10.423364103462371</v>
      </c>
    </row>
    <row r="15" spans="1:14" x14ac:dyDescent="0.25">
      <c r="A15" s="75" t="s">
        <v>171</v>
      </c>
      <c r="B15" s="74">
        <f>B14/Inputs!$B$12</f>
        <v>0.39066803971271657</v>
      </c>
      <c r="C15" s="74">
        <f>C14/Inputs!$B$12</f>
        <v>0.31988979468599038</v>
      </c>
      <c r="D15" s="74">
        <f>D14/Inputs!$B$12</f>
        <v>0.30403201630881149</v>
      </c>
      <c r="E15" s="74">
        <f>E14/Inputs!$B$12</f>
        <v>0.29415391292735049</v>
      </c>
      <c r="F15" s="74">
        <f>F14/Inputs!$B$12</f>
        <v>0.28676668665067945</v>
      </c>
      <c r="G15" s="74">
        <f>G14/Inputs!$B$12</f>
        <v>0.28337160041841009</v>
      </c>
      <c r="H15" s="74">
        <f>H14/Inputs!$B$12</f>
        <v>0.2746100175865801</v>
      </c>
      <c r="I15" s="74">
        <f>I14/Inputs!$B$12</f>
        <v>0.27040987527609728</v>
      </c>
      <c r="J15" s="74">
        <f>J14/Inputs!$B$12</f>
        <v>0.26767800498387573</v>
      </c>
      <c r="K15" s="74">
        <f>K14/Inputs!$B$12</f>
        <v>0.26459135703009301</v>
      </c>
      <c r="L15" s="74">
        <f>L14/Inputs!$B$12</f>
        <v>0.26427474979575172</v>
      </c>
      <c r="M15" s="74">
        <f>M14/Inputs!$B$12</f>
        <v>0.26058410258655929</v>
      </c>
    </row>
    <row r="16" spans="1:14" ht="21" customHeight="1" x14ac:dyDescent="0.35">
      <c r="A16" s="93"/>
      <c r="B16" s="92">
        <v>0.34511802030456862</v>
      </c>
      <c r="C16" s="92">
        <v>0.3307612593383138</v>
      </c>
      <c r="D16" s="92">
        <v>0.31982592042755348</v>
      </c>
      <c r="E16" s="92">
        <v>0.3124256618759455</v>
      </c>
      <c r="F16" s="92">
        <v>0.31046830678314491</v>
      </c>
      <c r="G16" s="92">
        <v>0.30475170786940931</v>
      </c>
      <c r="H16" s="92">
        <v>0.30308546745053061</v>
      </c>
      <c r="I16" s="92">
        <v>0.29995116817155748</v>
      </c>
      <c r="J16" s="92">
        <v>0.29853660633072587</v>
      </c>
      <c r="K16" s="92">
        <v>0.29634585863128698</v>
      </c>
      <c r="L16" s="92">
        <v>0.29533317762869149</v>
      </c>
      <c r="M16" s="92">
        <v>0.29351471876502322</v>
      </c>
    </row>
    <row r="17" spans="1:13" ht="18.75" customHeight="1" x14ac:dyDescent="0.3">
      <c r="A17" s="71" t="s">
        <v>172</v>
      </c>
    </row>
    <row r="18" spans="1:13" x14ac:dyDescent="0.25">
      <c r="A18" s="22" t="s">
        <v>137</v>
      </c>
      <c r="B18" s="70">
        <f>Costs!B8</f>
        <v>436.8</v>
      </c>
      <c r="C18" s="70">
        <f>Costs!C8</f>
        <v>593.32000000000005</v>
      </c>
      <c r="D18" s="70">
        <f>Costs!D8</f>
        <v>840.84</v>
      </c>
      <c r="E18" s="70">
        <f>Costs!E8</f>
        <v>1110.2</v>
      </c>
      <c r="F18" s="70">
        <f>Costs!F8</f>
        <v>1405.04</v>
      </c>
      <c r="G18" s="70">
        <f>Costs!G8</f>
        <v>1765.4</v>
      </c>
      <c r="H18" s="70">
        <f>Costs!H8</f>
        <v>1929.2000000000003</v>
      </c>
      <c r="I18" s="70">
        <f>Costs!I8</f>
        <v>2169.4400000000005</v>
      </c>
      <c r="J18" s="70">
        <f>Costs!J8</f>
        <v>2464.2800000000002</v>
      </c>
      <c r="K18" s="70">
        <f>Costs!K8</f>
        <v>2693.6</v>
      </c>
      <c r="L18" s="70">
        <f>Costs!L8</f>
        <v>3119.48</v>
      </c>
      <c r="M18" s="70">
        <f>Costs!M8</f>
        <v>3239.6000000000004</v>
      </c>
    </row>
    <row r="19" spans="1:13" x14ac:dyDescent="0.25">
      <c r="A19" s="12" t="s">
        <v>138</v>
      </c>
      <c r="B19" s="70">
        <f>Costs!B9</f>
        <v>356.46</v>
      </c>
      <c r="C19" s="70">
        <f>Costs!C9</f>
        <v>360.36</v>
      </c>
      <c r="D19" s="70">
        <f>Costs!D9</f>
        <v>581.41200000000003</v>
      </c>
      <c r="E19" s="70">
        <f>Costs!E9</f>
        <v>893.5680000000001</v>
      </c>
      <c r="F19" s="70">
        <f>Costs!F9</f>
        <v>1297.92</v>
      </c>
      <c r="G19" s="70">
        <f>Costs!G9</f>
        <v>1844.5439999999999</v>
      </c>
      <c r="H19" s="70">
        <f>Costs!H9</f>
        <v>2443.5839999999998</v>
      </c>
      <c r="I19" s="70">
        <f>Costs!I9</f>
        <v>3131.232</v>
      </c>
      <c r="J19" s="70">
        <f>Costs!J9</f>
        <v>3927.4560000000001</v>
      </c>
      <c r="K19" s="70">
        <f>Costs!K9</f>
        <v>4809.7919999999995</v>
      </c>
      <c r="L19" s="70">
        <f>Costs!L9</f>
        <v>5856.8640000000014</v>
      </c>
      <c r="M19" s="70">
        <f>Costs!M9</f>
        <v>6938.88</v>
      </c>
    </row>
    <row r="20" spans="1:13" x14ac:dyDescent="0.25">
      <c r="A20" s="72" t="s">
        <v>170</v>
      </c>
      <c r="B20" s="73">
        <f t="shared" ref="B20:M20" si="1">IF(B5&gt;0,SUM(B18:B19)/B5,0)</f>
        <v>3.0161977186311786</v>
      </c>
      <c r="C20" s="73">
        <f t="shared" si="1"/>
        <v>1.7276811594202899</v>
      </c>
      <c r="D20" s="73">
        <f t="shared" si="1"/>
        <v>1.5018500527983103</v>
      </c>
      <c r="E20" s="73">
        <f t="shared" si="1"/>
        <v>1.3762142857142858</v>
      </c>
      <c r="F20" s="73">
        <f t="shared" si="1"/>
        <v>1.2963836930455637</v>
      </c>
      <c r="G20" s="73">
        <f t="shared" si="1"/>
        <v>1.2586973500697349</v>
      </c>
      <c r="H20" s="73">
        <f t="shared" si="1"/>
        <v>1.183112554112554</v>
      </c>
      <c r="I20" s="73">
        <f t="shared" si="1"/>
        <v>1.1453483146067416</v>
      </c>
      <c r="J20" s="73">
        <f t="shared" si="1"/>
        <v>1.1243159190853123</v>
      </c>
      <c r="K20" s="73">
        <f t="shared" si="1"/>
        <v>1.0990760216786291</v>
      </c>
      <c r="L20" s="73">
        <f t="shared" si="1"/>
        <v>1.1000421568627452</v>
      </c>
      <c r="M20" s="73">
        <f t="shared" si="1"/>
        <v>1.0697299001576457</v>
      </c>
    </row>
    <row r="21" spans="1:13" x14ac:dyDescent="0.25">
      <c r="A21" s="72" t="s">
        <v>171</v>
      </c>
      <c r="B21" s="74">
        <f>B20/Inputs!$B$12</f>
        <v>7.5404942965779459E-2</v>
      </c>
      <c r="C21" s="74">
        <f>C20/Inputs!$B$12</f>
        <v>4.3192028985507246E-2</v>
      </c>
      <c r="D21" s="74">
        <f>D20/Inputs!$B$12</f>
        <v>3.7546251319957757E-2</v>
      </c>
      <c r="E21" s="74">
        <f>E20/Inputs!$B$12</f>
        <v>3.4405357142857147E-2</v>
      </c>
      <c r="F21" s="74">
        <f>F20/Inputs!$B$12</f>
        <v>3.2409592326139089E-2</v>
      </c>
      <c r="G21" s="74">
        <f>G20/Inputs!$B$12</f>
        <v>3.1467433751743372E-2</v>
      </c>
      <c r="H21" s="74">
        <f>H20/Inputs!$B$12</f>
        <v>2.9577813852813849E-2</v>
      </c>
      <c r="I21" s="74">
        <f>I20/Inputs!$B$12</f>
        <v>2.8633707865168539E-2</v>
      </c>
      <c r="J21" s="74">
        <f>J20/Inputs!$B$12</f>
        <v>2.8107897977132805E-2</v>
      </c>
      <c r="K21" s="74">
        <f>K20/Inputs!$B$12</f>
        <v>2.7476900541965728E-2</v>
      </c>
      <c r="L21" s="74">
        <f>L20/Inputs!$B$12</f>
        <v>2.7501053921568631E-2</v>
      </c>
      <c r="M21" s="74">
        <f>M20/Inputs!$B$12</f>
        <v>2.6743247503941144E-2</v>
      </c>
    </row>
    <row r="30" spans="1:13" x14ac:dyDescent="0.25">
      <c r="B30" s="67"/>
    </row>
    <row r="32" spans="1:13" x14ac:dyDescent="0.25">
      <c r="B32" s="67"/>
    </row>
  </sheetData>
  <mergeCells count="2">
    <mergeCell ref="A1:E1"/>
    <mergeCell ref="A7:E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79"/>
  <sheetViews>
    <sheetView tabSelected="1" workbookViewId="0">
      <selection activeCell="J15" sqref="J15"/>
    </sheetView>
  </sheetViews>
  <sheetFormatPr defaultRowHeight="15" x14ac:dyDescent="0.25"/>
  <cols>
    <col min="1" max="1" width="25" customWidth="1"/>
    <col min="2" max="2" width="16" customWidth="1"/>
    <col min="3" max="3" width="23" customWidth="1"/>
    <col min="4" max="4" width="19.85546875" customWidth="1"/>
    <col min="5" max="5" width="12.28515625" customWidth="1"/>
    <col min="6" max="13" width="8" customWidth="1"/>
    <col min="14" max="14" width="7.7109375" customWidth="1"/>
  </cols>
  <sheetData>
    <row r="1" spans="1:20" ht="21" customHeight="1" x14ac:dyDescent="0.35">
      <c r="A1" s="142" t="s">
        <v>173</v>
      </c>
      <c r="B1" s="140"/>
      <c r="C1" s="140"/>
      <c r="D1" s="140"/>
      <c r="E1" s="140"/>
      <c r="Q1" s="63"/>
      <c r="T1" s="63"/>
    </row>
    <row r="3" spans="1:20" s="82" customFormat="1" x14ac:dyDescent="0.25">
      <c r="B3" s="83"/>
      <c r="C3" s="83"/>
      <c r="D3" s="83"/>
    </row>
    <row r="4" spans="1:20" ht="18.75" x14ac:dyDescent="0.3">
      <c r="A4" s="71" t="s">
        <v>174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</row>
    <row r="5" spans="1:20" s="88" customFormat="1" x14ac:dyDescent="0.25">
      <c r="A5" s="86" t="s">
        <v>98</v>
      </c>
      <c r="B5" s="86" t="s">
        <v>156</v>
      </c>
      <c r="C5" s="86" t="s">
        <v>157</v>
      </c>
      <c r="D5" s="86" t="s">
        <v>158</v>
      </c>
      <c r="E5" s="86" t="s">
        <v>159</v>
      </c>
      <c r="F5" s="86" t="s">
        <v>160</v>
      </c>
      <c r="G5" s="86" t="s">
        <v>161</v>
      </c>
      <c r="H5" s="86" t="s">
        <v>162</v>
      </c>
      <c r="I5" s="86" t="s">
        <v>163</v>
      </c>
      <c r="J5" s="86" t="s">
        <v>164</v>
      </c>
      <c r="K5" s="86" t="s">
        <v>165</v>
      </c>
      <c r="L5" s="86" t="s">
        <v>166</v>
      </c>
      <c r="M5" s="86" t="s">
        <v>167</v>
      </c>
      <c r="O5" s="84"/>
      <c r="P5" s="84"/>
      <c r="Q5" s="84"/>
      <c r="R5" s="84"/>
      <c r="S5" s="84"/>
    </row>
    <row r="6" spans="1:20" s="88" customFormat="1" x14ac:dyDescent="0.25">
      <c r="A6" s="87" t="s">
        <v>175</v>
      </c>
      <c r="B6" s="99">
        <f t="shared" ref="B6:M6" si="0">AVERAGE(B21,B30,B39)</f>
        <v>16.388311990877853</v>
      </c>
      <c r="C6" s="99">
        <f t="shared" si="0"/>
        <v>13.03429522442331</v>
      </c>
      <c r="D6" s="99">
        <f t="shared" si="0"/>
        <v>12.607873324457008</v>
      </c>
      <c r="E6" s="99">
        <f t="shared" si="0"/>
        <v>12.141409422968295</v>
      </c>
      <c r="F6" s="99">
        <f t="shared" si="0"/>
        <v>11.596152730026864</v>
      </c>
      <c r="G6" s="99">
        <f t="shared" si="0"/>
        <v>11.525793272203478</v>
      </c>
      <c r="H6" s="99">
        <f t="shared" si="0"/>
        <v>11.12188127026613</v>
      </c>
      <c r="I6" s="99">
        <f t="shared" si="0"/>
        <v>10.984248949290587</v>
      </c>
      <c r="J6" s="99">
        <f t="shared" si="0"/>
        <v>10.89902311084488</v>
      </c>
      <c r="K6" s="99">
        <f t="shared" si="0"/>
        <v>10.729786240886268</v>
      </c>
      <c r="L6" s="99">
        <f t="shared" si="0"/>
        <v>10.645083939694908</v>
      </c>
      <c r="M6" s="99">
        <f t="shared" si="0"/>
        <v>10.54404423796405</v>
      </c>
      <c r="N6" s="82"/>
      <c r="O6" s="84"/>
      <c r="P6" s="84"/>
      <c r="Q6" s="84"/>
      <c r="R6" s="84"/>
      <c r="S6" s="84"/>
    </row>
    <row r="7" spans="1:20" s="88" customFormat="1" x14ac:dyDescent="0.25">
      <c r="A7" s="87" t="s">
        <v>176</v>
      </c>
      <c r="B7" s="95">
        <f>B6/Inputs!$B$12</f>
        <v>0.40970779977194632</v>
      </c>
      <c r="C7" s="95">
        <f>C6/Inputs!$B$12</f>
        <v>0.32585738061058278</v>
      </c>
      <c r="D7" s="95">
        <f>D6/Inputs!$B$12</f>
        <v>0.31519683311142521</v>
      </c>
      <c r="E7" s="95">
        <f>E6/Inputs!$B$12</f>
        <v>0.30353523557420736</v>
      </c>
      <c r="F7" s="95">
        <f>F6/Inputs!$B$12</f>
        <v>0.28990381825067157</v>
      </c>
      <c r="G7" s="95">
        <f>G6/Inputs!$B$12</f>
        <v>0.28814483180508693</v>
      </c>
      <c r="H7" s="95">
        <f>H6/Inputs!$B$12</f>
        <v>0.27804703175665324</v>
      </c>
      <c r="I7" s="95">
        <f>I6/Inputs!$B$12</f>
        <v>0.27460622373226468</v>
      </c>
      <c r="J7" s="95">
        <f>J6/Inputs!$B$12</f>
        <v>0.27247557777112197</v>
      </c>
      <c r="K7" s="95">
        <f>K6/Inputs!$B$12</f>
        <v>0.26824465602215669</v>
      </c>
      <c r="L7" s="95">
        <f>L6/Inputs!$B$12</f>
        <v>0.2661270984923727</v>
      </c>
      <c r="M7" s="95">
        <f>M6/Inputs!$B$12</f>
        <v>0.26360110594910124</v>
      </c>
      <c r="N7" s="84"/>
      <c r="O7" s="84"/>
      <c r="P7" s="84"/>
      <c r="Q7" s="84"/>
      <c r="R7" s="84"/>
      <c r="S7" s="84"/>
    </row>
    <row r="8" spans="1:20" s="88" customFormat="1" x14ac:dyDescent="0.25">
      <c r="A8" s="87" t="s">
        <v>177</v>
      </c>
      <c r="B8" s="99">
        <f t="shared" ref="B8:M8" si="1">AVERAGE(B23,B32,B41)</f>
        <v>3.0213110076686536</v>
      </c>
      <c r="C8" s="99">
        <f t="shared" si="1"/>
        <v>1.7011630377944673</v>
      </c>
      <c r="D8" s="99">
        <f t="shared" si="1"/>
        <v>1.5088879413416183</v>
      </c>
      <c r="E8" s="99">
        <f t="shared" si="1"/>
        <v>1.378649794768708</v>
      </c>
      <c r="F8" s="99">
        <f t="shared" si="1"/>
        <v>1.2666961818300462</v>
      </c>
      <c r="G8" s="99">
        <f t="shared" si="1"/>
        <v>1.2330540700987074</v>
      </c>
      <c r="H8" s="99">
        <f t="shared" si="1"/>
        <v>1.1603828546847474</v>
      </c>
      <c r="I8" s="99">
        <f t="shared" si="1"/>
        <v>1.1298003100353975</v>
      </c>
      <c r="J8" s="99">
        <f t="shared" si="1"/>
        <v>1.1131934483359249</v>
      </c>
      <c r="K8" s="99">
        <f t="shared" si="1"/>
        <v>1.0855523943372372</v>
      </c>
      <c r="L8" s="99">
        <f t="shared" si="1"/>
        <v>1.0730168017112436</v>
      </c>
      <c r="M8" s="99">
        <f t="shared" si="1"/>
        <v>1.0539310292949511</v>
      </c>
      <c r="N8" s="84"/>
      <c r="O8" s="84"/>
      <c r="P8" s="84"/>
      <c r="Q8" s="84"/>
      <c r="R8" s="84"/>
      <c r="S8" s="84"/>
    </row>
    <row r="9" spans="1:20" s="88" customFormat="1" x14ac:dyDescent="0.25">
      <c r="A9" s="87" t="s">
        <v>178</v>
      </c>
      <c r="B9" s="95">
        <f>B8/Inputs!$B$12</f>
        <v>7.5532775191716334E-2</v>
      </c>
      <c r="C9" s="95">
        <f>C8/Inputs!$B$12</f>
        <v>4.2529075944861681E-2</v>
      </c>
      <c r="D9" s="95">
        <f>D8/Inputs!$B$12</f>
        <v>3.772219853354046E-2</v>
      </c>
      <c r="E9" s="95">
        <f>E8/Inputs!$B$12</f>
        <v>3.4466244869217698E-2</v>
      </c>
      <c r="F9" s="95">
        <f>F8/Inputs!$B$12</f>
        <v>3.1667404545751156E-2</v>
      </c>
      <c r="G9" s="95">
        <f>G8/Inputs!$B$12</f>
        <v>3.0826351752467684E-2</v>
      </c>
      <c r="H9" s="95">
        <f>H8/Inputs!$B$12</f>
        <v>2.9009571367118688E-2</v>
      </c>
      <c r="I9" s="95">
        <f>I8/Inputs!$B$12</f>
        <v>2.8245007750884937E-2</v>
      </c>
      <c r="J9" s="95">
        <f>J8/Inputs!$B$12</f>
        <v>2.7829836208398122E-2</v>
      </c>
      <c r="K9" s="95">
        <f>K8/Inputs!$B$12</f>
        <v>2.713880985843093E-2</v>
      </c>
      <c r="L9" s="95">
        <f>L8/Inputs!$B$12</f>
        <v>2.682542004278109E-2</v>
      </c>
      <c r="M9" s="95">
        <f>M8/Inputs!$B$12</f>
        <v>2.6348275732373777E-2</v>
      </c>
      <c r="N9" s="84"/>
      <c r="O9" s="84"/>
      <c r="P9" s="84"/>
      <c r="Q9" s="84"/>
      <c r="R9" s="84"/>
      <c r="S9" s="84"/>
    </row>
    <row r="10" spans="1:20" s="88" customFormat="1" x14ac:dyDescent="0.25">
      <c r="A10" s="89"/>
      <c r="B10" s="84"/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</row>
    <row r="11" spans="1:20" s="88" customFormat="1" ht="17.25" customHeight="1" x14ac:dyDescent="0.25">
      <c r="A11" s="91" t="s">
        <v>208</v>
      </c>
      <c r="B11" s="150">
        <f>AVERAGE(B25,B34,B43)</f>
        <v>1838934.2592592593</v>
      </c>
      <c r="C11" s="84"/>
      <c r="D11" s="151" t="s">
        <v>209</v>
      </c>
      <c r="E11" s="155">
        <v>7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</row>
    <row r="12" spans="1:20" s="88" customFormat="1" x14ac:dyDescent="0.25">
      <c r="A12" s="91" t="s">
        <v>212</v>
      </c>
      <c r="B12" s="150">
        <f>AVERAGE(B26,B35,B44)</f>
        <v>607614.94968518522</v>
      </c>
      <c r="C12" s="84"/>
      <c r="D12" s="151" t="s">
        <v>210</v>
      </c>
      <c r="E12" s="101">
        <v>0.25</v>
      </c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</row>
    <row r="13" spans="1:20" s="88" customFormat="1" x14ac:dyDescent="0.25">
      <c r="A13" s="91" t="s">
        <v>179</v>
      </c>
      <c r="B13" s="100">
        <f>AVERAGE(B6:M6)</f>
        <v>11.851491976158634</v>
      </c>
      <c r="C13" s="84"/>
      <c r="D13" s="151" t="s">
        <v>130</v>
      </c>
      <c r="E13" s="101">
        <v>0.1</v>
      </c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</row>
    <row r="14" spans="1:20" s="88" customFormat="1" x14ac:dyDescent="0.25">
      <c r="A14" s="91" t="s">
        <v>180</v>
      </c>
      <c r="B14" s="101">
        <f>AVERAGE(B7:M7)</f>
        <v>0.29628729940396598</v>
      </c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</row>
    <row r="15" spans="1:20" s="88" customFormat="1" x14ac:dyDescent="0.25">
      <c r="A15" s="91" t="s">
        <v>181</v>
      </c>
      <c r="B15" s="100">
        <f>AVERAGE(B8:M8)</f>
        <v>1.3938032393251421</v>
      </c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</row>
    <row r="16" spans="1:20" s="88" customFormat="1" x14ac:dyDescent="0.25">
      <c r="A16" s="91" t="s">
        <v>180</v>
      </c>
      <c r="B16" s="101">
        <f>AVERAGE(B9:M9)</f>
        <v>3.4845080983128551E-2</v>
      </c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</row>
    <row r="17" spans="1:19" s="88" customFormat="1" x14ac:dyDescent="0.25">
      <c r="A17" s="153"/>
      <c r="B17" s="15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</row>
    <row r="18" spans="1:19" s="88" customFormat="1" x14ac:dyDescent="0.25">
      <c r="A18" s="84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</row>
    <row r="19" spans="1:19" ht="18.75" customHeight="1" x14ac:dyDescent="0.25">
      <c r="A19" s="85" t="s">
        <v>182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</row>
    <row r="20" spans="1:19" x14ac:dyDescent="0.25">
      <c r="A20" s="86" t="s">
        <v>98</v>
      </c>
      <c r="B20" s="86" t="s">
        <v>156</v>
      </c>
      <c r="C20" s="86" t="s">
        <v>157</v>
      </c>
      <c r="D20" s="86" t="s">
        <v>158</v>
      </c>
      <c r="E20" s="86" t="s">
        <v>159</v>
      </c>
      <c r="F20" s="86" t="s">
        <v>160</v>
      </c>
      <c r="G20" s="86" t="s">
        <v>161</v>
      </c>
      <c r="H20" s="86" t="s">
        <v>162</v>
      </c>
      <c r="I20" s="86" t="s">
        <v>163</v>
      </c>
      <c r="J20" s="86" t="s">
        <v>164</v>
      </c>
      <c r="K20" s="86" t="s">
        <v>165</v>
      </c>
      <c r="L20" s="86" t="s">
        <v>166</v>
      </c>
      <c r="M20" s="86" t="s">
        <v>167</v>
      </c>
      <c r="N20" s="90" t="s">
        <v>183</v>
      </c>
      <c r="O20" s="84"/>
      <c r="P20" s="84"/>
      <c r="Q20" s="84"/>
      <c r="R20" s="84"/>
      <c r="S20" s="84"/>
    </row>
    <row r="21" spans="1:19" x14ac:dyDescent="0.25">
      <c r="A21" s="87" t="s">
        <v>175</v>
      </c>
      <c r="B21" s="94">
        <v>19.017578456318915</v>
      </c>
      <c r="C21" s="94">
        <v>13.864604747919724</v>
      </c>
      <c r="D21" s="94">
        <v>13.939572265067124</v>
      </c>
      <c r="E21" s="94">
        <v>13.376135081782289</v>
      </c>
      <c r="F21" s="94">
        <v>12.225869118480727</v>
      </c>
      <c r="G21" s="94">
        <v>12.440443134171908</v>
      </c>
      <c r="H21" s="94">
        <v>11.694966540404042</v>
      </c>
      <c r="I21" s="94">
        <v>11.607053711671107</v>
      </c>
      <c r="J21" s="94">
        <v>11.54467024368433</v>
      </c>
      <c r="K21" s="94">
        <v>11.266773014525562</v>
      </c>
      <c r="L21" s="94">
        <v>11.08303402474527</v>
      </c>
      <c r="M21" s="94">
        <v>11.012420273149603</v>
      </c>
      <c r="N21" s="96">
        <v>10.656411890390469</v>
      </c>
      <c r="O21" s="84"/>
      <c r="P21" s="84"/>
      <c r="Q21" s="84"/>
      <c r="R21" s="84"/>
      <c r="S21" s="84"/>
    </row>
    <row r="22" spans="1:19" s="82" customFormat="1" x14ac:dyDescent="0.25">
      <c r="A22" s="87" t="s">
        <v>176</v>
      </c>
      <c r="B22" s="95">
        <v>0.47543946140797289</v>
      </c>
      <c r="C22" s="95">
        <v>0.34661511869799311</v>
      </c>
      <c r="D22" s="95">
        <v>0.3484893066266781</v>
      </c>
      <c r="E22" s="95">
        <v>0.33440337704455725</v>
      </c>
      <c r="F22" s="95">
        <v>0.30564672796201819</v>
      </c>
      <c r="G22" s="95">
        <v>0.3110110783542977</v>
      </c>
      <c r="H22" s="95">
        <v>0.29237416351010104</v>
      </c>
      <c r="I22" s="95">
        <v>0.29017634279177767</v>
      </c>
      <c r="J22" s="95">
        <v>0.28861675609210824</v>
      </c>
      <c r="K22" s="95">
        <v>0.28166932536313904</v>
      </c>
      <c r="L22" s="95">
        <v>0.27707585061863177</v>
      </c>
      <c r="M22" s="95">
        <v>0.27531050682874009</v>
      </c>
      <c r="N22" s="98">
        <v>0.26641029725976179</v>
      </c>
      <c r="O22" s="84"/>
      <c r="P22" s="84"/>
      <c r="Q22" s="84"/>
      <c r="R22" s="84"/>
      <c r="S22" s="84"/>
    </row>
    <row r="23" spans="1:19" x14ac:dyDescent="0.25">
      <c r="A23" s="87" t="s">
        <v>177</v>
      </c>
      <c r="B23" s="94">
        <v>3.0277099236641223</v>
      </c>
      <c r="C23" s="94">
        <v>1.4944845814977976</v>
      </c>
      <c r="D23" s="94">
        <v>1.3905655526992289</v>
      </c>
      <c r="E23" s="94">
        <v>1.2684128595600679</v>
      </c>
      <c r="F23" s="94">
        <v>1.083311224489796</v>
      </c>
      <c r="G23" s="94">
        <v>1.1047056603773588</v>
      </c>
      <c r="H23" s="94">
        <v>1.0024575757575758</v>
      </c>
      <c r="I23" s="94">
        <v>0.98915058389674249</v>
      </c>
      <c r="J23" s="94">
        <v>0.98671830985915521</v>
      </c>
      <c r="K23" s="94">
        <v>0.95548896434634978</v>
      </c>
      <c r="L23" s="94">
        <v>0.93442940320232915</v>
      </c>
      <c r="M23" s="94">
        <v>0.92959195221628421</v>
      </c>
      <c r="N23" s="96">
        <f>AVERAGE(B23:M23)</f>
        <v>1.2639188826305676</v>
      </c>
      <c r="O23" s="84"/>
      <c r="P23" s="84"/>
      <c r="Q23" s="84"/>
      <c r="R23" s="84"/>
      <c r="S23" s="84"/>
    </row>
    <row r="24" spans="1:19" x14ac:dyDescent="0.25">
      <c r="A24" s="87" t="s">
        <v>178</v>
      </c>
      <c r="B24" s="95">
        <v>7.5692748091603063E-2</v>
      </c>
      <c r="C24" s="95">
        <v>3.7362114537444938E-2</v>
      </c>
      <c r="D24" s="95">
        <v>3.4764138817480722E-2</v>
      </c>
      <c r="E24" s="95">
        <v>3.17103214890017E-2</v>
      </c>
      <c r="F24" s="95">
        <v>2.7082780612244901E-2</v>
      </c>
      <c r="G24" s="95">
        <v>2.7617641509433973E-2</v>
      </c>
      <c r="H24" s="95">
        <v>2.5061439393939393E-2</v>
      </c>
      <c r="I24" s="95">
        <v>2.4728764597418563E-2</v>
      </c>
      <c r="J24" s="95">
        <v>2.4667957746478879E-2</v>
      </c>
      <c r="K24" s="95">
        <v>2.3887224108658744E-2</v>
      </c>
      <c r="L24" s="95">
        <v>2.3360735080058228E-2</v>
      </c>
      <c r="M24" s="95">
        <v>2.3239798805407105E-2</v>
      </c>
      <c r="N24" s="98">
        <f>AVERAGE(B24:M24)</f>
        <v>3.1597972065764181E-2</v>
      </c>
      <c r="O24" s="84"/>
      <c r="P24" s="84"/>
      <c r="Q24" s="84"/>
      <c r="R24" s="84"/>
      <c r="S24" s="84"/>
    </row>
    <row r="25" spans="1:19" x14ac:dyDescent="0.25">
      <c r="A25" s="91" t="s">
        <v>184</v>
      </c>
      <c r="B25" s="150">
        <v>592294.44444444461</v>
      </c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</row>
    <row r="26" spans="1:19" x14ac:dyDescent="0.25">
      <c r="A26" s="91" t="s">
        <v>211</v>
      </c>
      <c r="B26" s="150">
        <v>207759.25688888889</v>
      </c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</row>
    <row r="27" spans="1:19" s="144" customFormat="1" x14ac:dyDescent="0.25">
      <c r="A27" s="84"/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</row>
    <row r="28" spans="1:19" ht="15.75" customHeight="1" x14ac:dyDescent="0.25">
      <c r="A28" s="85" t="s">
        <v>185</v>
      </c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</row>
    <row r="29" spans="1:19" x14ac:dyDescent="0.25">
      <c r="A29" s="86" t="s">
        <v>98</v>
      </c>
      <c r="B29" s="86" t="s">
        <v>156</v>
      </c>
      <c r="C29" s="86" t="s">
        <v>157</v>
      </c>
      <c r="D29" s="86" t="s">
        <v>158</v>
      </c>
      <c r="E29" s="86" t="s">
        <v>159</v>
      </c>
      <c r="F29" s="86" t="s">
        <v>160</v>
      </c>
      <c r="G29" s="86" t="s">
        <v>161</v>
      </c>
      <c r="H29" s="86" t="s">
        <v>162</v>
      </c>
      <c r="I29" s="86" t="s">
        <v>163</v>
      </c>
      <c r="J29" s="86" t="s">
        <v>164</v>
      </c>
      <c r="K29" s="86" t="s">
        <v>165</v>
      </c>
      <c r="L29" s="86" t="s">
        <v>166</v>
      </c>
      <c r="M29" s="86" t="s">
        <v>167</v>
      </c>
      <c r="N29" s="90" t="s">
        <v>183</v>
      </c>
      <c r="O29" s="84"/>
      <c r="P29" s="84"/>
      <c r="Q29" s="84"/>
      <c r="R29" s="84"/>
      <c r="S29" s="84"/>
    </row>
    <row r="30" spans="1:19" x14ac:dyDescent="0.25">
      <c r="A30" s="87" t="s">
        <v>175</v>
      </c>
      <c r="B30" s="94">
        <v>15.626721588508664</v>
      </c>
      <c r="C30" s="94">
        <v>12.795591787439616</v>
      </c>
      <c r="D30" s="94">
        <v>12.16128065235246</v>
      </c>
      <c r="E30" s="94">
        <v>11.76615651709402</v>
      </c>
      <c r="F30" s="94">
        <v>11.470667466027178</v>
      </c>
      <c r="G30" s="94">
        <v>11.334864016736404</v>
      </c>
      <c r="H30" s="94">
        <v>10.984400703463205</v>
      </c>
      <c r="I30" s="94">
        <v>10.816395011043891</v>
      </c>
      <c r="J30" s="94">
        <v>10.70712019935503</v>
      </c>
      <c r="K30" s="94">
        <v>10.583654281203721</v>
      </c>
      <c r="L30" s="94">
        <v>10.570989991830068</v>
      </c>
      <c r="M30" s="94">
        <v>10.423364103462371</v>
      </c>
      <c r="N30" s="96">
        <f>AVERAGE(B30:M30)</f>
        <v>11.603433859876388</v>
      </c>
      <c r="O30" s="84"/>
      <c r="P30" s="84"/>
      <c r="Q30" s="84"/>
      <c r="R30" s="84"/>
      <c r="S30" s="84"/>
    </row>
    <row r="31" spans="1:19" x14ac:dyDescent="0.25">
      <c r="A31" s="87" t="s">
        <v>176</v>
      </c>
      <c r="B31" s="95">
        <v>0.39066803971271657</v>
      </c>
      <c r="C31" s="95">
        <v>0.31988979468599038</v>
      </c>
      <c r="D31" s="95">
        <v>0.30403201630881149</v>
      </c>
      <c r="E31" s="95">
        <v>0.29415391292735049</v>
      </c>
      <c r="F31" s="95">
        <v>0.28676668665067945</v>
      </c>
      <c r="G31" s="95">
        <v>0.28337160041841009</v>
      </c>
      <c r="H31" s="95">
        <v>0.2746100175865801</v>
      </c>
      <c r="I31" s="95">
        <v>0.27040987527609728</v>
      </c>
      <c r="J31" s="95">
        <v>0.26767800498387573</v>
      </c>
      <c r="K31" s="95">
        <v>0.26459135703009301</v>
      </c>
      <c r="L31" s="95">
        <v>0.26427474979575172</v>
      </c>
      <c r="M31" s="95">
        <v>0.26058410258655929</v>
      </c>
      <c r="N31" s="98">
        <f>AVERAGE(B31:M31)</f>
        <v>0.29008584649690961</v>
      </c>
      <c r="O31" s="84"/>
      <c r="P31" s="84"/>
      <c r="Q31" s="84"/>
      <c r="R31" s="84"/>
      <c r="S31" s="84"/>
    </row>
    <row r="32" spans="1:19" x14ac:dyDescent="0.25">
      <c r="A32" s="87" t="s">
        <v>177</v>
      </c>
      <c r="B32" s="94">
        <v>3.0161977186311786</v>
      </c>
      <c r="C32" s="94">
        <v>1.7276811594202899</v>
      </c>
      <c r="D32" s="94">
        <v>1.5018500527983103</v>
      </c>
      <c r="E32" s="94">
        <v>1.3762142857142858</v>
      </c>
      <c r="F32" s="94">
        <v>1.2963836930455637</v>
      </c>
      <c r="G32" s="94">
        <v>1.2586973500697349</v>
      </c>
      <c r="H32" s="94">
        <v>1.183112554112554</v>
      </c>
      <c r="I32" s="94">
        <v>1.1453483146067416</v>
      </c>
      <c r="J32" s="94">
        <v>1.1243159190853123</v>
      </c>
      <c r="K32" s="94">
        <v>1.0990760216786291</v>
      </c>
      <c r="L32" s="94">
        <v>1.1000421568627452</v>
      </c>
      <c r="M32" s="94">
        <v>1.0697299001576457</v>
      </c>
      <c r="N32" s="96">
        <f>AVERAGE(B32:M32)</f>
        <v>1.4082207605152492</v>
      </c>
      <c r="O32" s="84"/>
      <c r="P32" s="84"/>
      <c r="Q32" s="84"/>
      <c r="R32" s="84"/>
      <c r="S32" s="84"/>
    </row>
    <row r="33" spans="1:19" x14ac:dyDescent="0.25">
      <c r="A33" s="87" t="s">
        <v>178</v>
      </c>
      <c r="B33" s="95">
        <v>7.5404942965779459E-2</v>
      </c>
      <c r="C33" s="95">
        <v>4.3192028985507246E-2</v>
      </c>
      <c r="D33" s="95">
        <v>3.7546251319957757E-2</v>
      </c>
      <c r="E33" s="95">
        <v>3.4405357142857147E-2</v>
      </c>
      <c r="F33" s="95">
        <v>3.2409592326139089E-2</v>
      </c>
      <c r="G33" s="95">
        <v>3.1467433751743372E-2</v>
      </c>
      <c r="H33" s="95">
        <v>2.9577813852813849E-2</v>
      </c>
      <c r="I33" s="95">
        <v>2.8633707865168539E-2</v>
      </c>
      <c r="J33" s="95">
        <v>2.8107897977132805E-2</v>
      </c>
      <c r="K33" s="95">
        <v>2.7476900541965728E-2</v>
      </c>
      <c r="L33" s="95">
        <v>2.7501053921568631E-2</v>
      </c>
      <c r="M33" s="95">
        <v>2.6743247503941144E-2</v>
      </c>
      <c r="N33" s="98">
        <f>AVERAGE(B33:M33)</f>
        <v>3.5205519012881235E-2</v>
      </c>
      <c r="O33" s="84"/>
      <c r="P33" s="84"/>
      <c r="Q33" s="84"/>
      <c r="R33" s="84"/>
      <c r="S33" s="84"/>
    </row>
    <row r="34" spans="1:19" x14ac:dyDescent="0.25">
      <c r="A34" s="91" t="s">
        <v>184</v>
      </c>
      <c r="B34" s="150">
        <v>1685738.888888889</v>
      </c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</row>
    <row r="35" spans="1:19" x14ac:dyDescent="0.25">
      <c r="A35" s="91" t="s">
        <v>211</v>
      </c>
      <c r="B35" s="150">
        <v>559674.04977777787</v>
      </c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</row>
    <row r="36" spans="1:19" s="144" customFormat="1" x14ac:dyDescent="0.25"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</row>
    <row r="37" spans="1:19" x14ac:dyDescent="0.25">
      <c r="A37" s="85" t="s">
        <v>186</v>
      </c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</row>
    <row r="38" spans="1:19" x14ac:dyDescent="0.25">
      <c r="A38" s="86" t="s">
        <v>98</v>
      </c>
      <c r="B38" s="86" t="s">
        <v>156</v>
      </c>
      <c r="C38" s="86" t="s">
        <v>157</v>
      </c>
      <c r="D38" s="86" t="s">
        <v>158</v>
      </c>
      <c r="E38" s="86" t="s">
        <v>159</v>
      </c>
      <c r="F38" s="86" t="s">
        <v>160</v>
      </c>
      <c r="G38" s="86" t="s">
        <v>161</v>
      </c>
      <c r="H38" s="86" t="s">
        <v>162</v>
      </c>
      <c r="I38" s="86" t="s">
        <v>163</v>
      </c>
      <c r="J38" s="86" t="s">
        <v>164</v>
      </c>
      <c r="K38" s="86" t="s">
        <v>165</v>
      </c>
      <c r="L38" s="86" t="s">
        <v>166</v>
      </c>
      <c r="M38" s="86" t="s">
        <v>167</v>
      </c>
      <c r="N38" s="90" t="s">
        <v>183</v>
      </c>
      <c r="O38" s="84"/>
      <c r="P38" s="84"/>
      <c r="Q38" s="84"/>
      <c r="R38" s="84"/>
      <c r="S38" s="84"/>
    </row>
    <row r="39" spans="1:19" x14ac:dyDescent="0.25">
      <c r="A39" s="87" t="s">
        <v>175</v>
      </c>
      <c r="B39" s="94">
        <v>14.520635927805978</v>
      </c>
      <c r="C39" s="94">
        <v>12.442689137910591</v>
      </c>
      <c r="D39" s="94">
        <v>11.72276705595144</v>
      </c>
      <c r="E39" s="94">
        <v>11.281936670028578</v>
      </c>
      <c r="F39" s="94">
        <v>11.091921605572686</v>
      </c>
      <c r="G39" s="94">
        <v>10.802072665702124</v>
      </c>
      <c r="H39" s="94">
        <v>10.686276566931141</v>
      </c>
      <c r="I39" s="94">
        <v>10.52929812515676</v>
      </c>
      <c r="J39" s="94">
        <v>10.445278889495281</v>
      </c>
      <c r="K39" s="94">
        <v>10.338931426929518</v>
      </c>
      <c r="L39" s="94">
        <v>10.28122780250939</v>
      </c>
      <c r="M39" s="94">
        <v>10.196348337280178</v>
      </c>
      <c r="N39" s="96">
        <f>AVERAGE(B39:M39)</f>
        <v>11.194948684272807</v>
      </c>
      <c r="O39" s="84"/>
      <c r="P39" s="84"/>
      <c r="Q39" s="84"/>
      <c r="R39" s="84"/>
      <c r="S39" s="84"/>
    </row>
    <row r="40" spans="1:19" x14ac:dyDescent="0.25">
      <c r="A40" s="87" t="s">
        <v>176</v>
      </c>
      <c r="B40" s="95">
        <v>0.36301589819514946</v>
      </c>
      <c r="C40" s="95">
        <v>0.3110672284477648</v>
      </c>
      <c r="D40" s="95">
        <v>0.29306917639878599</v>
      </c>
      <c r="E40" s="95">
        <v>0.28204841675071446</v>
      </c>
      <c r="F40" s="95">
        <v>0.27729804013931714</v>
      </c>
      <c r="G40" s="95">
        <v>0.27005181664255307</v>
      </c>
      <c r="H40" s="95">
        <v>0.26715691417327853</v>
      </c>
      <c r="I40" s="95">
        <v>0.26323245312891902</v>
      </c>
      <c r="J40" s="95">
        <v>0.26113197223738205</v>
      </c>
      <c r="K40" s="95">
        <v>0.25847328567323796</v>
      </c>
      <c r="L40" s="95">
        <v>0.25703069506273474</v>
      </c>
      <c r="M40" s="95">
        <v>0.25490870843200442</v>
      </c>
      <c r="N40" s="98">
        <f>AVERAGE(B40:M40)</f>
        <v>0.27987371710682013</v>
      </c>
      <c r="O40" s="84"/>
      <c r="P40" s="84"/>
      <c r="Q40" s="84"/>
      <c r="R40" s="84"/>
      <c r="S40" s="84"/>
    </row>
    <row r="41" spans="1:19" x14ac:dyDescent="0.25">
      <c r="A41" s="87" t="s">
        <v>177</v>
      </c>
      <c r="B41" s="94">
        <v>3.0200253807106594</v>
      </c>
      <c r="C41" s="94">
        <v>1.8813233724653151</v>
      </c>
      <c r="D41" s="94">
        <v>1.6342482185273162</v>
      </c>
      <c r="E41" s="94">
        <v>1.49132223903177</v>
      </c>
      <c r="F41" s="94">
        <v>1.4203936279547791</v>
      </c>
      <c r="G41" s="94">
        <v>1.3357591998490281</v>
      </c>
      <c r="H41" s="94">
        <v>1.2955784341841126</v>
      </c>
      <c r="I41" s="94">
        <v>1.2549020316027089</v>
      </c>
      <c r="J41" s="94">
        <v>1.2285461160633071</v>
      </c>
      <c r="K41" s="94">
        <v>1.2020921969867326</v>
      </c>
      <c r="L41" s="94">
        <v>1.1845788450686565</v>
      </c>
      <c r="M41" s="94">
        <v>1.1624712355109235</v>
      </c>
      <c r="N41" s="96">
        <f>AVERAGE(B41:M41)</f>
        <v>1.5092700748296093</v>
      </c>
      <c r="O41" s="84"/>
      <c r="P41" s="84"/>
      <c r="Q41" s="84"/>
      <c r="R41" s="84"/>
      <c r="S41" s="84"/>
    </row>
    <row r="42" spans="1:19" x14ac:dyDescent="0.25">
      <c r="A42" s="87" t="s">
        <v>178</v>
      </c>
      <c r="B42" s="95">
        <v>7.5500634517766479E-2</v>
      </c>
      <c r="C42" s="95">
        <v>4.7033084311632875E-2</v>
      </c>
      <c r="D42" s="95">
        <v>4.0856205463182901E-2</v>
      </c>
      <c r="E42" s="95">
        <v>3.7283055975794246E-2</v>
      </c>
      <c r="F42" s="95">
        <v>3.5509840698869477E-2</v>
      </c>
      <c r="G42" s="95">
        <v>3.3393979996225703E-2</v>
      </c>
      <c r="H42" s="95">
        <v>3.2389460854602814E-2</v>
      </c>
      <c r="I42" s="95">
        <v>3.1372550790067719E-2</v>
      </c>
      <c r="J42" s="95">
        <v>3.0713652901582678E-2</v>
      </c>
      <c r="K42" s="95">
        <v>3.0052304924668316E-2</v>
      </c>
      <c r="L42" s="95">
        <v>2.9614471126716412E-2</v>
      </c>
      <c r="M42" s="95">
        <v>2.9061780887773087E-2</v>
      </c>
      <c r="N42" s="98">
        <f>AVERAGE(B42:M42)</f>
        <v>3.7731751870740231E-2</v>
      </c>
      <c r="O42" s="84"/>
      <c r="P42" s="84"/>
      <c r="Q42" s="84"/>
      <c r="R42" s="84"/>
      <c r="S42" s="84"/>
    </row>
    <row r="43" spans="1:19" x14ac:dyDescent="0.25">
      <c r="A43" s="91" t="s">
        <v>184</v>
      </c>
      <c r="B43" s="150">
        <v>3238769.4444444445</v>
      </c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</row>
    <row r="44" spans="1:19" x14ac:dyDescent="0.25">
      <c r="A44" s="91" t="s">
        <v>211</v>
      </c>
      <c r="B44" s="150">
        <v>1055411.542388889</v>
      </c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</row>
    <row r="45" spans="1:19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</row>
    <row r="46" spans="1:19" x14ac:dyDescent="0.25">
      <c r="A46" s="86" t="s">
        <v>207</v>
      </c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</row>
    <row r="47" spans="1:19" x14ac:dyDescent="0.25">
      <c r="A47" s="152" t="s">
        <v>191</v>
      </c>
      <c r="B47" s="147">
        <v>0.10416666666666667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</row>
    <row r="48" spans="1:19" x14ac:dyDescent="0.25">
      <c r="A48" s="152" t="s">
        <v>192</v>
      </c>
      <c r="B48" s="152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</row>
    <row r="49" spans="1:19" x14ac:dyDescent="0.25">
      <c r="A49" s="152" t="s">
        <v>193</v>
      </c>
      <c r="B49" s="147">
        <v>0.10416666666666667</v>
      </c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</row>
    <row r="50" spans="1:19" x14ac:dyDescent="0.25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</row>
    <row r="51" spans="1:19" x14ac:dyDescent="0.25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</row>
    <row r="52" spans="1:19" x14ac:dyDescent="0.25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</row>
    <row r="53" spans="1:19" x14ac:dyDescent="0.25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</row>
    <row r="54" spans="1:19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</row>
    <row r="55" spans="1:19" x14ac:dyDescent="0.2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</row>
    <row r="56" spans="1:19" x14ac:dyDescent="0.25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</row>
    <row r="57" spans="1:19" x14ac:dyDescent="0.25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</row>
    <row r="58" spans="1:19" x14ac:dyDescent="0.25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</row>
    <row r="59" spans="1:19" x14ac:dyDescent="0.25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</row>
    <row r="60" spans="1:19" x14ac:dyDescent="0.25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</row>
    <row r="61" spans="1:19" x14ac:dyDescent="0.25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</row>
    <row r="62" spans="1:19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</row>
    <row r="63" spans="1:19" x14ac:dyDescent="0.25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</row>
    <row r="64" spans="1:19" x14ac:dyDescent="0.25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</row>
    <row r="65" spans="1:19" x14ac:dyDescent="0.2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</row>
    <row r="66" spans="1:19" x14ac:dyDescent="0.25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</row>
    <row r="67" spans="1:19" x14ac:dyDescent="0.25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</row>
    <row r="68" spans="1:19" x14ac:dyDescent="0.25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</row>
    <row r="69" spans="1:19" x14ac:dyDescent="0.25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</row>
    <row r="70" spans="1:19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</row>
    <row r="71" spans="1:19" x14ac:dyDescent="0.25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</row>
    <row r="72" spans="1:19" x14ac:dyDescent="0.25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</row>
    <row r="73" spans="1:19" x14ac:dyDescent="0.25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</row>
    <row r="74" spans="1:19" x14ac:dyDescent="0.25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</row>
    <row r="75" spans="1:19" x14ac:dyDescent="0.2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</row>
    <row r="76" spans="1:19" x14ac:dyDescent="0.25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</row>
    <row r="77" spans="1:19" x14ac:dyDescent="0.25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</row>
    <row r="78" spans="1:19" x14ac:dyDescent="0.25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</row>
    <row r="79" spans="1:19" x14ac:dyDescent="0.25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</row>
  </sheetData>
  <mergeCells count="1">
    <mergeCell ref="A1:E1"/>
  </mergeCells>
  <pageMargins left="0.75" right="0.75" top="1" bottom="1" header="0.5" footer="0.5"/>
  <ignoredErrors>
    <ignoredError sqref="B7:M7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48"/>
  <sheetViews>
    <sheetView topLeftCell="A24" workbookViewId="0">
      <selection activeCell="C6" sqref="C6:C9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9" ht="18.75" customHeight="1" x14ac:dyDescent="0.3">
      <c r="A1" s="119" t="s">
        <v>187</v>
      </c>
    </row>
    <row r="2" spans="1:9" x14ac:dyDescent="0.25">
      <c r="A2" s="120" t="s">
        <v>188</v>
      </c>
    </row>
    <row r="4" spans="1:9" x14ac:dyDescent="0.25">
      <c r="A4" s="121" t="s">
        <v>189</v>
      </c>
    </row>
    <row r="5" spans="1:9" x14ac:dyDescent="0.25">
      <c r="A5" s="122" t="s">
        <v>190</v>
      </c>
      <c r="B5" s="122" t="s">
        <v>191</v>
      </c>
      <c r="C5" s="122" t="s">
        <v>192</v>
      </c>
      <c r="D5" s="122" t="s">
        <v>193</v>
      </c>
      <c r="F5" s="63" t="s">
        <v>194</v>
      </c>
      <c r="G5" s="137" t="s">
        <v>195</v>
      </c>
      <c r="H5" s="137" t="s">
        <v>192</v>
      </c>
      <c r="I5" s="137" t="s">
        <v>193</v>
      </c>
    </row>
    <row r="6" spans="1:9" x14ac:dyDescent="0.25">
      <c r="A6" s="123" t="s">
        <v>26</v>
      </c>
      <c r="B6" s="124">
        <v>1</v>
      </c>
      <c r="C6" s="124">
        <v>2</v>
      </c>
      <c r="D6" s="124">
        <v>3</v>
      </c>
      <c r="G6" s="138">
        <v>3</v>
      </c>
      <c r="H6" s="138">
        <v>3</v>
      </c>
      <c r="I6" s="138">
        <v>3</v>
      </c>
    </row>
    <row r="7" spans="1:9" x14ac:dyDescent="0.25">
      <c r="A7" s="125" t="s">
        <v>30</v>
      </c>
      <c r="B7" s="124">
        <f>B6*$G$6</f>
        <v>3</v>
      </c>
      <c r="C7" s="124">
        <f>C6*$H$6</f>
        <v>6</v>
      </c>
      <c r="D7" s="124">
        <f>D6*$I$6</f>
        <v>9</v>
      </c>
    </row>
    <row r="8" spans="1:9" x14ac:dyDescent="0.25">
      <c r="A8" s="126" t="s">
        <v>31</v>
      </c>
      <c r="B8" s="124">
        <f>B7*$G$6</f>
        <v>9</v>
      </c>
      <c r="C8" s="124">
        <f>C7*$H$6</f>
        <v>18</v>
      </c>
      <c r="D8" s="124">
        <f>D7*$I$6</f>
        <v>27</v>
      </c>
    </row>
    <row r="9" spans="1:9" x14ac:dyDescent="0.25">
      <c r="A9" s="127" t="s">
        <v>33</v>
      </c>
      <c r="B9" s="124">
        <f>B8*$G$6</f>
        <v>27</v>
      </c>
      <c r="C9" s="124">
        <f>C8*$H$6</f>
        <v>54</v>
      </c>
      <c r="D9" s="124">
        <f>D8*$I$6</f>
        <v>81</v>
      </c>
    </row>
    <row r="11" spans="1:9" x14ac:dyDescent="0.25">
      <c r="A11" s="121" t="s">
        <v>196</v>
      </c>
    </row>
    <row r="12" spans="1:9" x14ac:dyDescent="0.25">
      <c r="A12" s="122" t="s">
        <v>190</v>
      </c>
      <c r="B12" s="122" t="s">
        <v>191</v>
      </c>
      <c r="C12" s="122" t="s">
        <v>192</v>
      </c>
      <c r="D12" s="122" t="s">
        <v>193</v>
      </c>
    </row>
    <row r="13" spans="1:9" x14ac:dyDescent="0.25">
      <c r="A13" s="123" t="s">
        <v>26</v>
      </c>
      <c r="B13" s="128">
        <v>0.95</v>
      </c>
      <c r="C13" s="128">
        <v>0.95</v>
      </c>
      <c r="D13" s="128">
        <v>0.95</v>
      </c>
    </row>
    <row r="14" spans="1:9" x14ac:dyDescent="0.25">
      <c r="A14" s="125" t="s">
        <v>30</v>
      </c>
      <c r="B14" s="128">
        <v>0.05</v>
      </c>
      <c r="C14" s="128">
        <v>0.05</v>
      </c>
      <c r="D14" s="128">
        <v>0.05</v>
      </c>
    </row>
    <row r="15" spans="1:9" x14ac:dyDescent="0.25">
      <c r="A15" s="126" t="s">
        <v>31</v>
      </c>
      <c r="B15" s="128">
        <v>0</v>
      </c>
      <c r="C15" s="128">
        <v>0</v>
      </c>
      <c r="D15" s="128">
        <v>0</v>
      </c>
    </row>
    <row r="16" spans="1:9" x14ac:dyDescent="0.25">
      <c r="A16" s="127" t="s">
        <v>33</v>
      </c>
      <c r="B16" s="128">
        <v>0</v>
      </c>
      <c r="C16" s="128">
        <v>0</v>
      </c>
      <c r="D16" s="128">
        <v>0</v>
      </c>
    </row>
    <row r="17" spans="1:41" s="88" customFormat="1" x14ac:dyDescent="0.25">
      <c r="A17" s="63" t="s">
        <v>197</v>
      </c>
      <c r="B17" s="104">
        <f>SUM(B13:B16)</f>
        <v>1</v>
      </c>
      <c r="C17" s="104">
        <f>SUM(C13:C16)</f>
        <v>1</v>
      </c>
      <c r="D17" s="104">
        <f>SUM(D13:D16)</f>
        <v>1</v>
      </c>
    </row>
    <row r="19" spans="1:41" x14ac:dyDescent="0.25">
      <c r="A19" s="121" t="s">
        <v>198</v>
      </c>
    </row>
    <row r="20" spans="1:41" x14ac:dyDescent="0.25">
      <c r="A20" s="122" t="s">
        <v>190</v>
      </c>
      <c r="B20" s="122" t="s">
        <v>191</v>
      </c>
      <c r="C20" s="122" t="s">
        <v>192</v>
      </c>
      <c r="D20" s="122" t="s">
        <v>193</v>
      </c>
    </row>
    <row r="21" spans="1:41" x14ac:dyDescent="0.25">
      <c r="A21" s="123" t="s">
        <v>26</v>
      </c>
      <c r="B21" s="128">
        <v>0.5</v>
      </c>
      <c r="C21" s="128">
        <v>0.35</v>
      </c>
      <c r="D21" s="128">
        <v>0.3</v>
      </c>
      <c r="G21" s="131">
        <v>10</v>
      </c>
    </row>
    <row r="22" spans="1:41" x14ac:dyDescent="0.25">
      <c r="A22" s="125" t="s">
        <v>30</v>
      </c>
      <c r="B22" s="128">
        <v>0.41</v>
      </c>
      <c r="C22" s="128">
        <v>0.48</v>
      </c>
      <c r="D22" s="128">
        <v>0.4</v>
      </c>
      <c r="G22" s="131">
        <v>20</v>
      </c>
    </row>
    <row r="23" spans="1:41" x14ac:dyDescent="0.25">
      <c r="A23" s="126" t="s">
        <v>31</v>
      </c>
      <c r="B23" s="128">
        <v>0.06</v>
      </c>
      <c r="C23" s="128">
        <v>0.1</v>
      </c>
      <c r="D23" s="128">
        <v>0.2</v>
      </c>
      <c r="G23" s="131">
        <v>50</v>
      </c>
    </row>
    <row r="24" spans="1:41" x14ac:dyDescent="0.25">
      <c r="A24" s="127" t="s">
        <v>33</v>
      </c>
      <c r="B24" s="128">
        <v>0.03</v>
      </c>
      <c r="C24" s="128">
        <v>7.0000000000000007E-2</v>
      </c>
      <c r="D24" s="128">
        <v>0.1</v>
      </c>
      <c r="G24" s="131">
        <v>100</v>
      </c>
    </row>
    <row r="25" spans="1:41" x14ac:dyDescent="0.25">
      <c r="A25" s="63" t="s">
        <v>197</v>
      </c>
      <c r="B25" s="104">
        <f>SUM(B21:B24)</f>
        <v>1</v>
      </c>
      <c r="C25" s="104">
        <f>SUM(C21:C24)</f>
        <v>1</v>
      </c>
      <c r="D25" s="104">
        <f>SUM(D21:D24)</f>
        <v>0.99999999999999989</v>
      </c>
    </row>
    <row r="27" spans="1:41" x14ac:dyDescent="0.25">
      <c r="A27" s="135" t="s">
        <v>199</v>
      </c>
    </row>
    <row r="28" spans="1:41" s="88" customFormat="1" x14ac:dyDescent="0.25">
      <c r="A28" s="89" t="s">
        <v>191</v>
      </c>
      <c r="O28" s="136" t="s">
        <v>192</v>
      </c>
      <c r="AC28" s="136" t="s">
        <v>193</v>
      </c>
    </row>
    <row r="29" spans="1:41" x14ac:dyDescent="0.25">
      <c r="A29" s="122" t="s">
        <v>190</v>
      </c>
      <c r="B29" s="122" t="s">
        <v>156</v>
      </c>
      <c r="C29" s="122" t="s">
        <v>157</v>
      </c>
      <c r="D29" s="122" t="s">
        <v>158</v>
      </c>
      <c r="E29" s="122" t="s">
        <v>159</v>
      </c>
      <c r="F29" s="122" t="s">
        <v>160</v>
      </c>
      <c r="G29" s="122" t="s">
        <v>161</v>
      </c>
      <c r="H29" s="122" t="s">
        <v>162</v>
      </c>
      <c r="I29" s="122" t="s">
        <v>163</v>
      </c>
      <c r="J29" s="122" t="s">
        <v>164</v>
      </c>
      <c r="K29" s="122" t="s">
        <v>165</v>
      </c>
      <c r="L29" s="122" t="s">
        <v>166</v>
      </c>
      <c r="M29" s="122" t="s">
        <v>167</v>
      </c>
      <c r="O29" s="122" t="s">
        <v>190</v>
      </c>
      <c r="P29" s="122" t="s">
        <v>156</v>
      </c>
      <c r="Q29" s="122" t="s">
        <v>157</v>
      </c>
      <c r="R29" s="122" t="s">
        <v>158</v>
      </c>
      <c r="S29" s="122" t="s">
        <v>159</v>
      </c>
      <c r="T29" s="122" t="s">
        <v>160</v>
      </c>
      <c r="U29" s="122" t="s">
        <v>161</v>
      </c>
      <c r="V29" s="122" t="s">
        <v>162</v>
      </c>
      <c r="W29" s="122" t="s">
        <v>163</v>
      </c>
      <c r="X29" s="122" t="s">
        <v>164</v>
      </c>
      <c r="Y29" s="122" t="s">
        <v>165</v>
      </c>
      <c r="Z29" s="122" t="s">
        <v>166</v>
      </c>
      <c r="AA29" s="122" t="s">
        <v>167</v>
      </c>
      <c r="AC29" s="122" t="s">
        <v>190</v>
      </c>
      <c r="AD29" s="122" t="s">
        <v>156</v>
      </c>
      <c r="AE29" s="122" t="s">
        <v>157</v>
      </c>
      <c r="AF29" s="122" t="s">
        <v>158</v>
      </c>
      <c r="AG29" s="122" t="s">
        <v>159</v>
      </c>
      <c r="AH29" s="122" t="s">
        <v>160</v>
      </c>
      <c r="AI29" s="122" t="s">
        <v>161</v>
      </c>
      <c r="AJ29" s="122" t="s">
        <v>162</v>
      </c>
      <c r="AK29" s="122" t="s">
        <v>163</v>
      </c>
      <c r="AL29" s="122" t="s">
        <v>164</v>
      </c>
      <c r="AM29" s="122" t="s">
        <v>165</v>
      </c>
      <c r="AN29" s="122" t="s">
        <v>166</v>
      </c>
      <c r="AO29" s="122" t="s">
        <v>167</v>
      </c>
    </row>
    <row r="30" spans="1:41" x14ac:dyDescent="0.25">
      <c r="A30" s="123" t="s">
        <v>26</v>
      </c>
      <c r="B30" s="133">
        <f>$B$13</f>
        <v>0.95</v>
      </c>
      <c r="C30" s="133">
        <f>$B$13+($B$21-$B$13)*1/11</f>
        <v>0.90909090909090906</v>
      </c>
      <c r="D30" s="133">
        <f>$B$13+($B$21-$B$13)*2/11</f>
        <v>0.86818181818181817</v>
      </c>
      <c r="E30" s="133">
        <f>$B$13+($B$21-$B$13)*3/11</f>
        <v>0.82727272727272727</v>
      </c>
      <c r="F30" s="133">
        <f>$B$13+($B$21-$B$13)*4/11</f>
        <v>0.78636363636363638</v>
      </c>
      <c r="G30" s="133">
        <f>$B$13+($B$21-$B$13)*5/11</f>
        <v>0.74545454545454537</v>
      </c>
      <c r="H30" s="133">
        <f>$B$13+($B$21-$B$13)*6/11</f>
        <v>0.70454545454545459</v>
      </c>
      <c r="I30" s="133">
        <f>$B$13+($B$21-$B$13)*7/11</f>
        <v>0.66363636363636358</v>
      </c>
      <c r="J30" s="133">
        <f>$B$13+($B$21-$B$13)*8/11</f>
        <v>0.6227272727272728</v>
      </c>
      <c r="K30" s="133">
        <f>$B$13+($B$21-$B$13)*9/11</f>
        <v>0.58181818181818179</v>
      </c>
      <c r="L30" s="133">
        <f>$B$13+($B$21-$B$13)*10/11</f>
        <v>0.54090909090909078</v>
      </c>
      <c r="M30" s="133">
        <f>$B$21</f>
        <v>0.5</v>
      </c>
      <c r="O30" s="123" t="s">
        <v>26</v>
      </c>
      <c r="P30" s="133">
        <f>$C$13</f>
        <v>0.95</v>
      </c>
      <c r="Q30" s="133">
        <f>$C$13+($C$21-$C$13)*1/11</f>
        <v>0.89545454545454539</v>
      </c>
      <c r="R30" s="133">
        <f>$C$13+($C$21-$C$13)*2/11</f>
        <v>0.84090909090909083</v>
      </c>
      <c r="S30" s="133">
        <f>$C$13+($C$21-$C$13)*3/11</f>
        <v>0.78636363636363638</v>
      </c>
      <c r="T30" s="133">
        <f>$C$13+($C$21-$C$13)*4/11</f>
        <v>0.73181818181818181</v>
      </c>
      <c r="U30" s="133">
        <f>$C$13+($C$21-$C$13)*5/11</f>
        <v>0.67727272727272725</v>
      </c>
      <c r="V30" s="133">
        <f>$C$13+($C$21-$C$13)*6/11</f>
        <v>0.6227272727272728</v>
      </c>
      <c r="W30" s="133">
        <f>$C$13+($C$21-$C$13)*7/11</f>
        <v>0.56818181818181812</v>
      </c>
      <c r="X30" s="133">
        <f>$C$13+($C$21-$C$13)*8/11</f>
        <v>0.51363636363636367</v>
      </c>
      <c r="Y30" s="133">
        <f>$C$13+($C$21-$C$13)*9/11</f>
        <v>0.45909090909090911</v>
      </c>
      <c r="Z30" s="133">
        <f>$C$13+($C$21-$C$13)*10/11</f>
        <v>0.40454545454545454</v>
      </c>
      <c r="AA30" s="133">
        <f>$C$21</f>
        <v>0.35</v>
      </c>
      <c r="AC30" s="123" t="s">
        <v>26</v>
      </c>
      <c r="AD30" s="133">
        <f>$D$13</f>
        <v>0.95</v>
      </c>
      <c r="AE30" s="133">
        <f>$D$13+($D$21-$D$13)*1/11</f>
        <v>0.89090909090909087</v>
      </c>
      <c r="AF30" s="133">
        <f>$D$13+($D$21-$D$13)*2/11</f>
        <v>0.83181818181818179</v>
      </c>
      <c r="AG30" s="133">
        <f>$D$13+($D$21-$D$13)*3/11</f>
        <v>0.77272727272727271</v>
      </c>
      <c r="AH30" s="133">
        <f>$D$13+($D$21-$D$13)*4/11</f>
        <v>0.71363636363636362</v>
      </c>
      <c r="AI30" s="133">
        <f>$D$13+($D$21-$D$13)*5/11</f>
        <v>0.65454545454545454</v>
      </c>
      <c r="AJ30" s="133">
        <f>$D$13+($D$21-$D$13)*6/11</f>
        <v>0.59545454545454546</v>
      </c>
      <c r="AK30" s="133">
        <f>$D$13+($D$21-$D$13)*7/11</f>
        <v>0.53636363636363638</v>
      </c>
      <c r="AL30" s="133">
        <f>$D$13+($D$21-$D$13)*8/11</f>
        <v>0.47727272727272729</v>
      </c>
      <c r="AM30" s="133">
        <f>$D$13+($D$21-$D$13)*9/11</f>
        <v>0.41818181818181821</v>
      </c>
      <c r="AN30" s="133">
        <f>$D$13+($D$21-$D$13)*10/11</f>
        <v>0.35909090909090913</v>
      </c>
      <c r="AO30" s="133">
        <f>$D$21</f>
        <v>0.3</v>
      </c>
    </row>
    <row r="31" spans="1:41" x14ac:dyDescent="0.25">
      <c r="A31" s="125" t="s">
        <v>30</v>
      </c>
      <c r="B31" s="133">
        <f>$B$14</f>
        <v>0.05</v>
      </c>
      <c r="C31" s="133">
        <f>$B$14+($B$22-$B$14)*1/11</f>
        <v>8.2727272727272733E-2</v>
      </c>
      <c r="D31" s="133">
        <f>$B$14+($B$22-$B$14)*2/11</f>
        <v>0.11545454545454545</v>
      </c>
      <c r="E31" s="133">
        <f>$B$14+($B$22-$B$14)*3/11</f>
        <v>0.14818181818181819</v>
      </c>
      <c r="F31" s="133">
        <f>$B$14+($B$22-$B$14)*4/11</f>
        <v>0.18090909090909091</v>
      </c>
      <c r="G31" s="133">
        <f>$B$14+($B$22-$B$14)*5/11</f>
        <v>0.21363636363636362</v>
      </c>
      <c r="H31" s="133">
        <f>$B$14+($B$22-$B$14)*6/11</f>
        <v>0.2463636363636364</v>
      </c>
      <c r="I31" s="133">
        <f>$B$14+($B$22-$B$14)*7/11</f>
        <v>0.27909090909090911</v>
      </c>
      <c r="J31" s="133">
        <f>$B$14+($B$22-$B$14)*8/11</f>
        <v>0.31181818181818177</v>
      </c>
      <c r="K31" s="133">
        <f>$B$14+($B$22-$B$14)*9/11</f>
        <v>0.34454545454545449</v>
      </c>
      <c r="L31" s="133">
        <f>$B$14+($B$22-$B$14)*10/11</f>
        <v>0.3772727272727272</v>
      </c>
      <c r="M31" s="133">
        <f>$B$22</f>
        <v>0.41</v>
      </c>
      <c r="O31" s="125" t="s">
        <v>30</v>
      </c>
      <c r="P31" s="133">
        <f>$C$14</f>
        <v>0.05</v>
      </c>
      <c r="Q31" s="133">
        <f>$C$14+($C$22-$C$14)*1/11</f>
        <v>8.9090909090909096E-2</v>
      </c>
      <c r="R31" s="133">
        <f>$C$14+($C$22-$C$14)*2/11</f>
        <v>0.12818181818181817</v>
      </c>
      <c r="S31" s="133">
        <f>$C$14+($C$22-$C$14)*3/11</f>
        <v>0.1672727272727273</v>
      </c>
      <c r="T31" s="133">
        <f>$C$14+($C$22-$C$14)*4/11</f>
        <v>0.20636363636363636</v>
      </c>
      <c r="U31" s="133">
        <f>$C$14+($C$22-$C$14)*5/11</f>
        <v>0.24545454545454543</v>
      </c>
      <c r="V31" s="133">
        <f>$C$14+($C$22-$C$14)*6/11</f>
        <v>0.28454545454545455</v>
      </c>
      <c r="W31" s="133">
        <f>$C$14+($C$22-$C$14)*7/11</f>
        <v>0.32363636363636361</v>
      </c>
      <c r="X31" s="133">
        <f>$C$14+($C$22-$C$14)*8/11</f>
        <v>0.36272727272727273</v>
      </c>
      <c r="Y31" s="133">
        <f>$C$14+($C$22-$C$14)*9/11</f>
        <v>0.4018181818181818</v>
      </c>
      <c r="Z31" s="133">
        <f>$C$14+($C$22-$C$14)*10/11</f>
        <v>0.44090909090909086</v>
      </c>
      <c r="AA31" s="133">
        <f>$C$22</f>
        <v>0.48</v>
      </c>
      <c r="AC31" s="125" t="s">
        <v>30</v>
      </c>
      <c r="AD31" s="133">
        <f>$D$14</f>
        <v>0.05</v>
      </c>
      <c r="AE31" s="133">
        <f>$D$14+($D$22-$D$14)*1/11</f>
        <v>8.1818181818181818E-2</v>
      </c>
      <c r="AF31" s="133">
        <f>$D$14+($D$22-$D$14)*2/11</f>
        <v>0.11363636363636365</v>
      </c>
      <c r="AG31" s="133">
        <f>$D$14+($D$22-$D$14)*3/11</f>
        <v>0.14545454545454545</v>
      </c>
      <c r="AH31" s="133">
        <f>$D$14+($D$22-$D$14)*4/11</f>
        <v>0.1772727272727273</v>
      </c>
      <c r="AI31" s="133">
        <f>$D$14+($D$22-$D$14)*5/11</f>
        <v>0.20909090909090911</v>
      </c>
      <c r="AJ31" s="133">
        <f>$D$14+($D$22-$D$14)*6/11</f>
        <v>0.24090909090909091</v>
      </c>
      <c r="AK31" s="133">
        <f>$D$14+($D$22-$D$14)*7/11</f>
        <v>0.27272727272727276</v>
      </c>
      <c r="AL31" s="133">
        <f>$D$14+($D$22-$D$14)*8/11</f>
        <v>0.30454545454545456</v>
      </c>
      <c r="AM31" s="133">
        <f>$D$14+($D$22-$D$14)*9/11</f>
        <v>0.33636363636363636</v>
      </c>
      <c r="AN31" s="133">
        <f>$D$14+($D$22-$D$14)*10/11</f>
        <v>0.36818181818181822</v>
      </c>
      <c r="AO31" s="133">
        <f>$D$22</f>
        <v>0.4</v>
      </c>
    </row>
    <row r="32" spans="1:41" x14ac:dyDescent="0.25">
      <c r="A32" s="126" t="s">
        <v>31</v>
      </c>
      <c r="B32" s="133">
        <f>$B$15</f>
        <v>0</v>
      </c>
      <c r="C32" s="133">
        <f>$B$15+($B$23-$B$15)*1/11</f>
        <v>5.4545454545454541E-3</v>
      </c>
      <c r="D32" s="133">
        <f>$B$15+($B$23-$B$15)*2/11</f>
        <v>1.0909090909090908E-2</v>
      </c>
      <c r="E32" s="133">
        <f>$B$15+($B$23-$B$15)*3/11</f>
        <v>1.6363636363636361E-2</v>
      </c>
      <c r="F32" s="133">
        <f>$B$15+($B$23-$B$15)*4/11</f>
        <v>2.1818181818181816E-2</v>
      </c>
      <c r="G32" s="133">
        <f>$B$15+($B$23-$B$15)*5/11</f>
        <v>2.7272727272727271E-2</v>
      </c>
      <c r="H32" s="133">
        <f>$B$15+($B$23-$B$15)*6/11</f>
        <v>3.2727272727272723E-2</v>
      </c>
      <c r="I32" s="133">
        <f>$B$15+($B$23-$B$15)*7/11</f>
        <v>3.8181818181818178E-2</v>
      </c>
      <c r="J32" s="133">
        <f>$B$15+($B$23-$B$15)*8/11</f>
        <v>4.3636363636363633E-2</v>
      </c>
      <c r="K32" s="133">
        <f>$B$15+($B$23-$B$15)*9/11</f>
        <v>4.9090909090909095E-2</v>
      </c>
      <c r="L32" s="133">
        <f>$B$15+($B$23-$B$15)*10/11</f>
        <v>5.4545454545454543E-2</v>
      </c>
      <c r="M32" s="133">
        <f>$B$23</f>
        <v>0.06</v>
      </c>
      <c r="O32" s="126" t="s">
        <v>31</v>
      </c>
      <c r="P32" s="133">
        <f>$C$15</f>
        <v>0</v>
      </c>
      <c r="Q32" s="133">
        <f>$C$15+($C$23-$C$15)*1/11</f>
        <v>9.0909090909090922E-3</v>
      </c>
      <c r="R32" s="133">
        <f>$C$15+($C$23-$C$15)*2/11</f>
        <v>1.8181818181818184E-2</v>
      </c>
      <c r="S32" s="133">
        <f>$C$15+($C$23-$C$15)*3/11</f>
        <v>2.7272727272727278E-2</v>
      </c>
      <c r="T32" s="133">
        <f>$C$15+($C$23-$C$15)*4/11</f>
        <v>3.6363636363636369E-2</v>
      </c>
      <c r="U32" s="133">
        <f>$C$15+($C$23-$C$15)*5/11</f>
        <v>4.5454545454545456E-2</v>
      </c>
      <c r="V32" s="133">
        <f>$C$15+($C$23-$C$15)*6/11</f>
        <v>5.4545454545454557E-2</v>
      </c>
      <c r="W32" s="133">
        <f>$C$15+($C$23-$C$15)*7/11</f>
        <v>6.3636363636363644E-2</v>
      </c>
      <c r="X32" s="133">
        <f>$C$15+($C$23-$C$15)*8/11</f>
        <v>7.2727272727272738E-2</v>
      </c>
      <c r="Y32" s="133">
        <f>$C$15+($C$23-$C$15)*9/11</f>
        <v>8.1818181818181818E-2</v>
      </c>
      <c r="Z32" s="133">
        <f>$C$15+($C$23-$C$15)*10/11</f>
        <v>9.0909090909090912E-2</v>
      </c>
      <c r="AA32" s="133">
        <f>$C$23</f>
        <v>0.1</v>
      </c>
      <c r="AC32" s="126" t="s">
        <v>31</v>
      </c>
      <c r="AD32" s="133">
        <f>$D$15</f>
        <v>0</v>
      </c>
      <c r="AE32" s="133">
        <f>$D$15+($D$23-$D$15)*1/11</f>
        <v>1.8181818181818184E-2</v>
      </c>
      <c r="AF32" s="133">
        <f>$D$15+($D$23-$D$15)*2/11</f>
        <v>3.6363636363636369E-2</v>
      </c>
      <c r="AG32" s="133">
        <f>$D$15+($D$23-$D$15)*3/11</f>
        <v>5.4545454545454557E-2</v>
      </c>
      <c r="AH32" s="133">
        <f>$D$15+($D$23-$D$15)*4/11</f>
        <v>7.2727272727272738E-2</v>
      </c>
      <c r="AI32" s="133">
        <f>$D$15+($D$23-$D$15)*5/11</f>
        <v>9.0909090909090912E-2</v>
      </c>
      <c r="AJ32" s="133">
        <f>$D$15+($D$23-$D$15)*6/11</f>
        <v>0.10909090909090911</v>
      </c>
      <c r="AK32" s="133">
        <f>$D$15+($D$23-$D$15)*7/11</f>
        <v>0.12727272727272729</v>
      </c>
      <c r="AL32" s="133">
        <f>$D$15+($D$23-$D$15)*8/11</f>
        <v>0.14545454545454548</v>
      </c>
      <c r="AM32" s="133">
        <f>$D$15+($D$23-$D$15)*9/11</f>
        <v>0.16363636363636364</v>
      </c>
      <c r="AN32" s="133">
        <f>$D$15+($D$23-$D$15)*10/11</f>
        <v>0.18181818181818182</v>
      </c>
      <c r="AO32" s="133">
        <f>$D$23</f>
        <v>0.2</v>
      </c>
    </row>
    <row r="33" spans="1:41" x14ac:dyDescent="0.25">
      <c r="A33" s="127" t="s">
        <v>33</v>
      </c>
      <c r="B33" s="133">
        <f>$B$16</f>
        <v>0</v>
      </c>
      <c r="C33" s="133">
        <f>$B$16+($B$24-$B$16)*1/11</f>
        <v>2.7272727272727271E-3</v>
      </c>
      <c r="D33" s="133">
        <f>$B$16+($B$24-$B$16)*2/11</f>
        <v>5.4545454545454541E-3</v>
      </c>
      <c r="E33" s="133">
        <f>$B$16+($B$24-$B$16)*3/11</f>
        <v>8.1818181818181807E-3</v>
      </c>
      <c r="F33" s="133">
        <f>$B$16+($B$24-$B$16)*4/11</f>
        <v>1.0909090909090908E-2</v>
      </c>
      <c r="G33" s="133">
        <f>$B$16+($B$24-$B$16)*5/11</f>
        <v>1.3636363636363636E-2</v>
      </c>
      <c r="H33" s="133">
        <f>$B$16+($B$24-$B$16)*6/11</f>
        <v>1.6363636363636361E-2</v>
      </c>
      <c r="I33" s="133">
        <f>$B$16+($B$24-$B$16)*7/11</f>
        <v>1.9090909090909089E-2</v>
      </c>
      <c r="J33" s="133">
        <f>$B$16+($B$24-$B$16)*8/11</f>
        <v>2.1818181818181816E-2</v>
      </c>
      <c r="K33" s="133">
        <f>$B$16+($B$24-$B$16)*9/11</f>
        <v>2.4545454545454547E-2</v>
      </c>
      <c r="L33" s="133">
        <f>$B$16+($B$24-$B$16)*10/11</f>
        <v>2.7272727272727271E-2</v>
      </c>
      <c r="M33" s="133">
        <f>$B$24</f>
        <v>0.03</v>
      </c>
      <c r="O33" s="127" t="s">
        <v>33</v>
      </c>
      <c r="P33" s="133">
        <f>$C$16</f>
        <v>0</v>
      </c>
      <c r="Q33" s="133">
        <f>$C$16+($C$24-$C$16)*1/11</f>
        <v>6.3636363636363638E-3</v>
      </c>
      <c r="R33" s="133">
        <f>$C$16+($C$24-$C$16)*2/11</f>
        <v>1.2727272727272728E-2</v>
      </c>
      <c r="S33" s="133">
        <f>$C$16+($C$24-$C$16)*3/11</f>
        <v>1.9090909090909092E-2</v>
      </c>
      <c r="T33" s="133">
        <f>$C$16+($C$24-$C$16)*4/11</f>
        <v>2.5454545454545455E-2</v>
      </c>
      <c r="U33" s="133">
        <f>$C$16+($C$24-$C$16)*5/11</f>
        <v>3.1818181818181822E-2</v>
      </c>
      <c r="V33" s="133">
        <f>$C$16+($C$24-$C$16)*6/11</f>
        <v>3.8181818181818185E-2</v>
      </c>
      <c r="W33" s="133">
        <f>$C$16+($C$24-$C$16)*7/11</f>
        <v>4.4545454545454548E-2</v>
      </c>
      <c r="X33" s="133">
        <f>$C$16+($C$24-$C$16)*8/11</f>
        <v>5.0909090909090911E-2</v>
      </c>
      <c r="Y33" s="133">
        <f>$C$16+($C$24-$C$16)*9/11</f>
        <v>5.7272727272727281E-2</v>
      </c>
      <c r="Z33" s="133">
        <f>$C$16+($C$24-$C$16)*10/11</f>
        <v>6.3636363636363644E-2</v>
      </c>
      <c r="AA33" s="133">
        <f>$C$24</f>
        <v>7.0000000000000007E-2</v>
      </c>
      <c r="AC33" s="127" t="s">
        <v>33</v>
      </c>
      <c r="AD33" s="133">
        <f>$D$16</f>
        <v>0</v>
      </c>
      <c r="AE33" s="133">
        <f>$D$16+($D$24-$D$16)*1/11</f>
        <v>9.0909090909090922E-3</v>
      </c>
      <c r="AF33" s="133">
        <f>$D$16+($D$24-$D$16)*2/11</f>
        <v>1.8181818181818184E-2</v>
      </c>
      <c r="AG33" s="133">
        <f>$D$16+($D$24-$D$16)*3/11</f>
        <v>2.7272727272727278E-2</v>
      </c>
      <c r="AH33" s="133">
        <f>$D$16+($D$24-$D$16)*4/11</f>
        <v>3.6363636363636369E-2</v>
      </c>
      <c r="AI33" s="133">
        <f>$D$16+($D$24-$D$16)*5/11</f>
        <v>4.5454545454545456E-2</v>
      </c>
      <c r="AJ33" s="133">
        <f>$D$16+($D$24-$D$16)*6/11</f>
        <v>5.4545454545454557E-2</v>
      </c>
      <c r="AK33" s="133">
        <f>$D$16+($D$24-$D$16)*7/11</f>
        <v>6.3636363636363644E-2</v>
      </c>
      <c r="AL33" s="133">
        <f>$D$16+($D$24-$D$16)*8/11</f>
        <v>7.2727272727272738E-2</v>
      </c>
      <c r="AM33" s="133">
        <f>$D$16+($D$24-$D$16)*9/11</f>
        <v>8.1818181818181818E-2</v>
      </c>
      <c r="AN33" s="133">
        <f>$D$16+($D$24-$D$16)*10/11</f>
        <v>9.0909090909090912E-2</v>
      </c>
      <c r="AO33" s="133">
        <f>$D$24</f>
        <v>0.1</v>
      </c>
    </row>
    <row r="34" spans="1:41" x14ac:dyDescent="0.25">
      <c r="A34" s="129" t="s">
        <v>200</v>
      </c>
      <c r="B34" s="130">
        <f t="shared" ref="B34:M34" si="0">SUM(B30:B33)</f>
        <v>1</v>
      </c>
      <c r="C34" s="130">
        <f t="shared" si="0"/>
        <v>1</v>
      </c>
      <c r="D34" s="130">
        <f t="shared" si="0"/>
        <v>1</v>
      </c>
      <c r="E34" s="130">
        <f t="shared" si="0"/>
        <v>1</v>
      </c>
      <c r="F34" s="130">
        <f t="shared" si="0"/>
        <v>1</v>
      </c>
      <c r="G34" s="130">
        <f t="shared" si="0"/>
        <v>0.99999999999999989</v>
      </c>
      <c r="H34" s="130">
        <f t="shared" si="0"/>
        <v>1</v>
      </c>
      <c r="I34" s="130">
        <f t="shared" si="0"/>
        <v>0.99999999999999989</v>
      </c>
      <c r="J34" s="130">
        <f t="shared" si="0"/>
        <v>1</v>
      </c>
      <c r="K34" s="130">
        <f t="shared" si="0"/>
        <v>0.99999999999999989</v>
      </c>
      <c r="L34" s="130">
        <f t="shared" si="0"/>
        <v>0.99999999999999978</v>
      </c>
      <c r="M34" s="130">
        <f t="shared" si="0"/>
        <v>1</v>
      </c>
      <c r="O34" s="129" t="s">
        <v>200</v>
      </c>
      <c r="P34" s="130">
        <f t="shared" ref="P34:AA34" si="1">SUM(P30:P33)</f>
        <v>1</v>
      </c>
      <c r="Q34" s="130">
        <f t="shared" si="1"/>
        <v>0.99999999999999989</v>
      </c>
      <c r="R34" s="130">
        <f t="shared" si="1"/>
        <v>0.99999999999999989</v>
      </c>
      <c r="S34" s="130">
        <f t="shared" si="1"/>
        <v>0.99999999999999989</v>
      </c>
      <c r="T34" s="130">
        <f t="shared" si="1"/>
        <v>1</v>
      </c>
      <c r="U34" s="130">
        <f t="shared" si="1"/>
        <v>0.99999999999999989</v>
      </c>
      <c r="V34" s="130">
        <f t="shared" si="1"/>
        <v>1</v>
      </c>
      <c r="W34" s="130">
        <f t="shared" si="1"/>
        <v>0.99999999999999989</v>
      </c>
      <c r="X34" s="130">
        <f t="shared" si="1"/>
        <v>1.0000000000000002</v>
      </c>
      <c r="Y34" s="130">
        <f t="shared" si="1"/>
        <v>0.99999999999999989</v>
      </c>
      <c r="Z34" s="130">
        <f t="shared" si="1"/>
        <v>1</v>
      </c>
      <c r="AA34" s="130">
        <f t="shared" si="1"/>
        <v>1</v>
      </c>
      <c r="AC34" s="129" t="s">
        <v>200</v>
      </c>
      <c r="AD34" s="130">
        <f t="shared" ref="AD34:AO34" si="2">SUM(AD30:AD33)</f>
        <v>1</v>
      </c>
      <c r="AE34" s="130">
        <f t="shared" si="2"/>
        <v>0.99999999999999989</v>
      </c>
      <c r="AF34" s="130">
        <f t="shared" si="2"/>
        <v>1</v>
      </c>
      <c r="AG34" s="130">
        <f t="shared" si="2"/>
        <v>1</v>
      </c>
      <c r="AH34" s="130">
        <f t="shared" si="2"/>
        <v>1</v>
      </c>
      <c r="AI34" s="130">
        <f t="shared" si="2"/>
        <v>1</v>
      </c>
      <c r="AJ34" s="130">
        <f t="shared" si="2"/>
        <v>1</v>
      </c>
      <c r="AK34" s="130">
        <f t="shared" si="2"/>
        <v>1</v>
      </c>
      <c r="AL34" s="130">
        <f t="shared" si="2"/>
        <v>1</v>
      </c>
      <c r="AM34" s="130">
        <f t="shared" si="2"/>
        <v>1</v>
      </c>
      <c r="AN34" s="130">
        <f t="shared" si="2"/>
        <v>1</v>
      </c>
      <c r="AO34" s="130">
        <f t="shared" si="2"/>
        <v>0.99999999999999989</v>
      </c>
    </row>
    <row r="36" spans="1:41" x14ac:dyDescent="0.25">
      <c r="A36" s="121" t="s">
        <v>201</v>
      </c>
    </row>
    <row r="37" spans="1:41" x14ac:dyDescent="0.25">
      <c r="A37" s="122" t="s">
        <v>190</v>
      </c>
      <c r="B37" s="122" t="s">
        <v>79</v>
      </c>
      <c r="C37" s="122" t="s">
        <v>202</v>
      </c>
      <c r="D37" s="122" t="s">
        <v>203</v>
      </c>
      <c r="E37" s="122" t="s">
        <v>204</v>
      </c>
    </row>
    <row r="38" spans="1:41" x14ac:dyDescent="0.25">
      <c r="A38" s="123" t="s">
        <v>26</v>
      </c>
      <c r="B38" s="131">
        <v>10</v>
      </c>
      <c r="C38" s="131" t="s">
        <v>88</v>
      </c>
      <c r="D38" s="134">
        <v>20</v>
      </c>
      <c r="E38" s="128">
        <v>0.25</v>
      </c>
    </row>
    <row r="39" spans="1:41" x14ac:dyDescent="0.25">
      <c r="A39" s="125" t="s">
        <v>30</v>
      </c>
      <c r="B39" s="131">
        <v>20</v>
      </c>
      <c r="C39" s="131" t="s">
        <v>94</v>
      </c>
      <c r="D39" s="134">
        <v>50</v>
      </c>
      <c r="E39" s="128">
        <v>0</v>
      </c>
    </row>
    <row r="40" spans="1:41" x14ac:dyDescent="0.25">
      <c r="A40" s="126" t="s">
        <v>31</v>
      </c>
      <c r="B40" s="131">
        <v>50</v>
      </c>
      <c r="C40" s="131" t="s">
        <v>94</v>
      </c>
      <c r="D40" s="134">
        <v>100</v>
      </c>
      <c r="E40" s="128">
        <v>0</v>
      </c>
    </row>
    <row r="41" spans="1:41" x14ac:dyDescent="0.25">
      <c r="A41" s="127" t="s">
        <v>33</v>
      </c>
      <c r="B41" s="131">
        <v>100</v>
      </c>
      <c r="C41" s="131" t="s">
        <v>94</v>
      </c>
      <c r="D41" s="134">
        <v>200</v>
      </c>
      <c r="E41" s="128">
        <v>0</v>
      </c>
    </row>
    <row r="43" spans="1:41" x14ac:dyDescent="0.25">
      <c r="A43" s="121" t="s">
        <v>205</v>
      </c>
    </row>
    <row r="44" spans="1:41" x14ac:dyDescent="0.25">
      <c r="A44" s="122" t="s">
        <v>190</v>
      </c>
      <c r="B44" s="122" t="s">
        <v>191</v>
      </c>
      <c r="C44" s="122" t="s">
        <v>192</v>
      </c>
      <c r="D44" s="122" t="s">
        <v>193</v>
      </c>
    </row>
    <row r="45" spans="1:41" x14ac:dyDescent="0.25">
      <c r="A45" s="123" t="s">
        <v>26</v>
      </c>
      <c r="B45" s="132">
        <f>MIN(1,IF($C$38="One-time",($B$6*12/$B$38)*$E$38*0.5,($B$6/$B$38)*0.5))</f>
        <v>0.15</v>
      </c>
      <c r="C45" s="132">
        <f>MIN(1,IF($C$38="One-time",($C$6*12/$B$38)*$E$38*0.5,($C$6/$B$38)*0.5))</f>
        <v>0.3</v>
      </c>
      <c r="D45" s="132">
        <f>MIN(1,IF($C$38="One-time",($D$6*12/$B$38)*$E$38*0.5,($D$6/$B$38)*0.5))</f>
        <v>0.45</v>
      </c>
    </row>
    <row r="46" spans="1:41" x14ac:dyDescent="0.25">
      <c r="A46" s="125" t="s">
        <v>30</v>
      </c>
      <c r="B46" s="132">
        <f>MIN(1,IF($C$39="One-time",($B$7*12/$B$39)*$E$38*0.5,($B$7/$B$39)*0.5))</f>
        <v>7.4999999999999997E-2</v>
      </c>
      <c r="C46" s="132">
        <f>MIN(1,IF($C$39="One-time",($C$7*12/$B$39)*$E$38*0.5,($C$7/$B$39)*0.5))</f>
        <v>0.15</v>
      </c>
      <c r="D46" s="132">
        <f>MIN(1,IF($C$39="One-time",($D$7*12/$B$39)*$E$38*0.5,($D$7/$B$39)*0.5))</f>
        <v>0.22500000000000001</v>
      </c>
    </row>
    <row r="47" spans="1:41" x14ac:dyDescent="0.25">
      <c r="A47" s="126" t="s">
        <v>31</v>
      </c>
      <c r="B47" s="132">
        <f>MIN(1,IF($C$40="One-time",($B$8*12/$B$40)*$E$38*0.5,($B$8/$B$40)*0.5))</f>
        <v>0.09</v>
      </c>
      <c r="C47" s="132">
        <f>MIN(1,IF($C$40="One-time",($C$8*12/$B$40)*$E$38*0.5,($C$8/$B$40)*0.5))</f>
        <v>0.18</v>
      </c>
      <c r="D47" s="132">
        <f>MIN(1,IF($C$40="One-time",($D$8*12/$B$40)*$E$38*0.5,($D$8/$B$40)*0.5))</f>
        <v>0.27</v>
      </c>
    </row>
    <row r="48" spans="1:41" x14ac:dyDescent="0.25">
      <c r="A48" s="127" t="s">
        <v>33</v>
      </c>
      <c r="B48" s="132">
        <f>MIN(1,IF($C$41="One-time",($B$9*12/$B$41)*$E$38*0.5,($B$9/$B$41)*0.5))</f>
        <v>0.13500000000000001</v>
      </c>
      <c r="C48" s="132">
        <f>MIN(1,IF($C$41="One-time",($C$9*12/$B$41)*$E$38*0.5,($C$9/$B$41)*0.5))</f>
        <v>0.27</v>
      </c>
      <c r="D48" s="132">
        <f>MIN(1,IF($C$41="One-time",($D$9*12/$B$41)*$E$38*0.5,($D$9/$B$41)*0.5))</f>
        <v>0.40500000000000003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Inputs</vt:lpstr>
      <vt:lpstr>VIP Levels</vt:lpstr>
      <vt:lpstr>Missions</vt:lpstr>
      <vt:lpstr>Affiliate Projection</vt:lpstr>
      <vt:lpstr>Revenue</vt:lpstr>
      <vt:lpstr>Costs</vt:lpstr>
      <vt:lpstr>Summary</vt:lpstr>
      <vt:lpstr>Scenarios (Sc)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2025-12-23T12:01:28Z</dcterms:modified>
</cp:coreProperties>
</file>