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\\wsl$\Ubuntu\home\jorge\Loyalty\Rumi\"/>
    </mc:Choice>
  </mc:AlternateContent>
  <xr:revisionPtr revIDLastSave="0" documentId="13_ncr:1_{E792F5B7-61E1-4E70-BBC6-0D8B60A38571}" xr6:coauthVersionLast="47" xr6:coauthVersionMax="47" xr10:uidLastSave="{00000000-0000-0000-0000-000000000000}"/>
  <bookViews>
    <workbookView xWindow="-120" yWindow="-120" windowWidth="29040" windowHeight="15720" activeTab="8" xr2:uid="{00000000-000D-0000-FFFF-FFFF00000000}"/>
  </bookViews>
  <sheets>
    <sheet name="Walkthrough" sheetId="1" r:id="rId1"/>
    <sheet name="Inputs" sheetId="2" r:id="rId2"/>
    <sheet name="VIP Levels" sheetId="3" r:id="rId3"/>
    <sheet name="Missions" sheetId="4" r:id="rId4"/>
    <sheet name="Affiliate Projection" sheetId="5" r:id="rId5"/>
    <sheet name="Revenue" sheetId="6" r:id="rId6"/>
    <sheet name="Affiliate Costs" sheetId="7" r:id="rId7"/>
    <sheet name="Summary" sheetId="8" r:id="rId8"/>
    <sheet name="Scenarios (Sc)" sheetId="9" r:id="rId9"/>
    <sheet name="TestSc" sheetId="10" r:id="rId10"/>
  </sheets>
  <definedNames>
    <definedName name="AffAttrition">Inputs!$B$11</definedName>
    <definedName name="SampleAffConv">Inputs!$B$7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5" i="9" l="1"/>
  <c r="E69" i="9"/>
  <c r="B69" i="9"/>
  <c r="B61" i="9"/>
  <c r="E61" i="9"/>
  <c r="D45" i="10"/>
  <c r="C45" i="10"/>
  <c r="B45" i="10"/>
  <c r="P34" i="10"/>
  <c r="AO33" i="10"/>
  <c r="AN33" i="10"/>
  <c r="AM33" i="10"/>
  <c r="AL33" i="10"/>
  <c r="AK33" i="10"/>
  <c r="AJ33" i="10"/>
  <c r="AI33" i="10"/>
  <c r="AH33" i="10"/>
  <c r="AG33" i="10"/>
  <c r="AF33" i="10"/>
  <c r="AE33" i="10"/>
  <c r="AD33" i="10"/>
  <c r="AA33" i="10"/>
  <c r="Z33" i="10"/>
  <c r="Y33" i="10"/>
  <c r="X33" i="10"/>
  <c r="W33" i="10"/>
  <c r="V33" i="10"/>
  <c r="U33" i="10"/>
  <c r="T33" i="10"/>
  <c r="S33" i="10"/>
  <c r="R33" i="10"/>
  <c r="Q33" i="10"/>
  <c r="P33" i="10"/>
  <c r="M33" i="10"/>
  <c r="L33" i="10"/>
  <c r="K33" i="10"/>
  <c r="J33" i="10"/>
  <c r="I33" i="10"/>
  <c r="H33" i="10"/>
  <c r="G33" i="10"/>
  <c r="F33" i="10"/>
  <c r="E33" i="10"/>
  <c r="D33" i="10"/>
  <c r="C33" i="10"/>
  <c r="B33" i="10"/>
  <c r="AO32" i="10"/>
  <c r="AN32" i="10"/>
  <c r="AM32" i="10"/>
  <c r="AL32" i="10"/>
  <c r="AK32" i="10"/>
  <c r="AJ32" i="10"/>
  <c r="AI32" i="10"/>
  <c r="AH32" i="10"/>
  <c r="AG32" i="10"/>
  <c r="AF32" i="10"/>
  <c r="AE32" i="10"/>
  <c r="AD32" i="10"/>
  <c r="AA32" i="10"/>
  <c r="Z32" i="10"/>
  <c r="Y32" i="10"/>
  <c r="X32" i="10"/>
  <c r="W32" i="10"/>
  <c r="V32" i="10"/>
  <c r="U32" i="10"/>
  <c r="T32" i="10"/>
  <c r="S32" i="10"/>
  <c r="S34" i="10" s="1"/>
  <c r="R32" i="10"/>
  <c r="R34" i="10" s="1"/>
  <c r="Q32" i="10"/>
  <c r="Q34" i="10" s="1"/>
  <c r="P32" i="10"/>
  <c r="M32" i="10"/>
  <c r="L32" i="10"/>
  <c r="K32" i="10"/>
  <c r="J32" i="10"/>
  <c r="I32" i="10"/>
  <c r="H32" i="10"/>
  <c r="G32" i="10"/>
  <c r="F32" i="10"/>
  <c r="E32" i="10"/>
  <c r="D32" i="10"/>
  <c r="C32" i="10"/>
  <c r="B32" i="10"/>
  <c r="AO31" i="10"/>
  <c r="AO34" i="10" s="1"/>
  <c r="AN31" i="10"/>
  <c r="AN34" i="10" s="1"/>
  <c r="AM31" i="10"/>
  <c r="AM34" i="10" s="1"/>
  <c r="AL31" i="10"/>
  <c r="AL34" i="10" s="1"/>
  <c r="AK31" i="10"/>
  <c r="AK34" i="10" s="1"/>
  <c r="AJ31" i="10"/>
  <c r="AJ34" i="10" s="1"/>
  <c r="AI31" i="10"/>
  <c r="AI34" i="10" s="1"/>
  <c r="AH31" i="10"/>
  <c r="AH34" i="10" s="1"/>
  <c r="AG31" i="10"/>
  <c r="AG34" i="10" s="1"/>
  <c r="AF31" i="10"/>
  <c r="AF34" i="10" s="1"/>
  <c r="AE31" i="10"/>
  <c r="AD31" i="10"/>
  <c r="AA31" i="10"/>
  <c r="Z31" i="10"/>
  <c r="Y31" i="10"/>
  <c r="X31" i="10"/>
  <c r="W31" i="10"/>
  <c r="V31" i="10"/>
  <c r="U31" i="10"/>
  <c r="T31" i="10"/>
  <c r="S31" i="10"/>
  <c r="R31" i="10"/>
  <c r="Q31" i="10"/>
  <c r="P31" i="10"/>
  <c r="M31" i="10"/>
  <c r="L31" i="10"/>
  <c r="K31" i="10"/>
  <c r="J31" i="10"/>
  <c r="I31" i="10"/>
  <c r="H31" i="10"/>
  <c r="G31" i="10"/>
  <c r="F31" i="10"/>
  <c r="E31" i="10"/>
  <c r="D31" i="10"/>
  <c r="C31" i="10"/>
  <c r="B31" i="10"/>
  <c r="AO30" i="10"/>
  <c r="AN30" i="10"/>
  <c r="AM30" i="10"/>
  <c r="AL30" i="10"/>
  <c r="AK30" i="10"/>
  <c r="AJ30" i="10"/>
  <c r="AI30" i="10"/>
  <c r="AH30" i="10"/>
  <c r="AG30" i="10"/>
  <c r="AF30" i="10"/>
  <c r="AE30" i="10"/>
  <c r="AD30" i="10"/>
  <c r="AA30" i="10"/>
  <c r="Z30" i="10"/>
  <c r="Y30" i="10"/>
  <c r="Y34" i="10" s="1"/>
  <c r="X30" i="10"/>
  <c r="X34" i="10" s="1"/>
  <c r="W30" i="10"/>
  <c r="V30" i="10"/>
  <c r="U30" i="10"/>
  <c r="U34" i="10" s="1"/>
  <c r="T30" i="10"/>
  <c r="T34" i="10" s="1"/>
  <c r="S30" i="10"/>
  <c r="R30" i="10"/>
  <c r="Q30" i="10"/>
  <c r="P30" i="10"/>
  <c r="M30" i="10"/>
  <c r="M34" i="10" s="1"/>
  <c r="L30" i="10"/>
  <c r="L34" i="10" s="1"/>
  <c r="K30" i="10"/>
  <c r="K34" i="10" s="1"/>
  <c r="J30" i="10"/>
  <c r="J34" i="10" s="1"/>
  <c r="I30" i="10"/>
  <c r="H30" i="10"/>
  <c r="G30" i="10"/>
  <c r="G34" i="10" s="1"/>
  <c r="F30" i="10"/>
  <c r="F34" i="10" s="1"/>
  <c r="E30" i="10"/>
  <c r="D30" i="10"/>
  <c r="C30" i="10"/>
  <c r="B30" i="10"/>
  <c r="D25" i="10"/>
  <c r="C25" i="10"/>
  <c r="B25" i="10"/>
  <c r="D17" i="10"/>
  <c r="C17" i="10"/>
  <c r="B17" i="10"/>
  <c r="C8" i="10"/>
  <c r="C9" i="10" s="1"/>
  <c r="C48" i="10" s="1"/>
  <c r="D7" i="10"/>
  <c r="D8" i="10" s="1"/>
  <c r="C7" i="10"/>
  <c r="C46" i="10" s="1"/>
  <c r="B7" i="10"/>
  <c r="B8" i="10" s="1"/>
  <c r="E72" i="9"/>
  <c r="B72" i="9"/>
  <c r="F62" i="9"/>
  <c r="E60" i="9"/>
  <c r="B60" i="9"/>
  <c r="F59" i="9"/>
  <c r="F58" i="9"/>
  <c r="F55" i="9"/>
  <c r="N47" i="9"/>
  <c r="N46" i="9"/>
  <c r="N45" i="9"/>
  <c r="N44" i="9"/>
  <c r="B39" i="9"/>
  <c r="B12" i="9" s="1"/>
  <c r="N37" i="9"/>
  <c r="N36" i="9"/>
  <c r="N35" i="9"/>
  <c r="N34" i="9"/>
  <c r="B29" i="9"/>
  <c r="N27" i="9"/>
  <c r="N26" i="9"/>
  <c r="M10" i="9"/>
  <c r="L10" i="9"/>
  <c r="K10" i="9"/>
  <c r="J10" i="9"/>
  <c r="I10" i="9"/>
  <c r="H10" i="9"/>
  <c r="G10" i="9"/>
  <c r="F10" i="9"/>
  <c r="E10" i="9"/>
  <c r="D10" i="9"/>
  <c r="C10" i="9"/>
  <c r="B10" i="9"/>
  <c r="C9" i="9"/>
  <c r="M8" i="9"/>
  <c r="M9" i="9" s="1"/>
  <c r="L8" i="9"/>
  <c r="L9" i="9" s="1"/>
  <c r="K8" i="9"/>
  <c r="K9" i="9" s="1"/>
  <c r="J8" i="9"/>
  <c r="J9" i="9" s="1"/>
  <c r="I8" i="9"/>
  <c r="I9" i="9" s="1"/>
  <c r="H8" i="9"/>
  <c r="H9" i="9" s="1"/>
  <c r="G8" i="9"/>
  <c r="G9" i="9" s="1"/>
  <c r="F8" i="9"/>
  <c r="F9" i="9" s="1"/>
  <c r="E8" i="9"/>
  <c r="E9" i="9" s="1"/>
  <c r="D8" i="9"/>
  <c r="C8" i="9"/>
  <c r="B8" i="9"/>
  <c r="B9" i="9" s="1"/>
  <c r="M6" i="9"/>
  <c r="M7" i="9" s="1"/>
  <c r="L6" i="9"/>
  <c r="L7" i="9" s="1"/>
  <c r="K6" i="9"/>
  <c r="K7" i="9" s="1"/>
  <c r="J6" i="9"/>
  <c r="J7" i="9" s="1"/>
  <c r="I6" i="9"/>
  <c r="I7" i="9" s="1"/>
  <c r="H6" i="9"/>
  <c r="H7" i="9" s="1"/>
  <c r="G6" i="9"/>
  <c r="G7" i="9" s="1"/>
  <c r="F6" i="9"/>
  <c r="F7" i="9" s="1"/>
  <c r="E6" i="9"/>
  <c r="E7" i="9" s="1"/>
  <c r="D6" i="9"/>
  <c r="D7" i="9" s="1"/>
  <c r="C6" i="9"/>
  <c r="C7" i="9" s="1"/>
  <c r="B6" i="9"/>
  <c r="J28" i="7"/>
  <c r="I28" i="7"/>
  <c r="H28" i="7"/>
  <c r="G28" i="7"/>
  <c r="E28" i="7"/>
  <c r="D28" i="7"/>
  <c r="C28" i="7"/>
  <c r="B28" i="7"/>
  <c r="B17" i="6"/>
  <c r="B18" i="6" s="1"/>
  <c r="B19" i="6" s="1"/>
  <c r="M5" i="6"/>
  <c r="L5" i="6"/>
  <c r="K5" i="6"/>
  <c r="J5" i="6"/>
  <c r="I5" i="6"/>
  <c r="H5" i="6"/>
  <c r="G5" i="6"/>
  <c r="F5" i="6"/>
  <c r="E5" i="6"/>
  <c r="D5" i="6"/>
  <c r="C5" i="6"/>
  <c r="B5" i="6"/>
  <c r="M6" i="5"/>
  <c r="L6" i="5"/>
  <c r="K6" i="5"/>
  <c r="J6" i="5"/>
  <c r="I6" i="5"/>
  <c r="H6" i="5"/>
  <c r="G6" i="5"/>
  <c r="F6" i="5"/>
  <c r="E6" i="5"/>
  <c r="D6" i="5"/>
  <c r="C6" i="5"/>
  <c r="B6" i="5"/>
  <c r="M4" i="5"/>
  <c r="M5" i="5" s="1"/>
  <c r="L4" i="5"/>
  <c r="L5" i="5" s="1"/>
  <c r="K4" i="5"/>
  <c r="K5" i="5" s="1"/>
  <c r="J4" i="5"/>
  <c r="J5" i="5" s="1"/>
  <c r="I4" i="5"/>
  <c r="I5" i="5" s="1"/>
  <c r="H4" i="5"/>
  <c r="H5" i="5" s="1"/>
  <c r="G4" i="5"/>
  <c r="G5" i="5" s="1"/>
  <c r="F4" i="5"/>
  <c r="F5" i="5" s="1"/>
  <c r="E4" i="5"/>
  <c r="E5" i="5" s="1"/>
  <c r="D4" i="5"/>
  <c r="D5" i="5" s="1"/>
  <c r="C4" i="5"/>
  <c r="C5" i="5" s="1"/>
  <c r="B4" i="5"/>
  <c r="B5" i="5" s="1" a="1"/>
  <c r="B5" i="5" s="1"/>
  <c r="J26" i="4"/>
  <c r="J25" i="4"/>
  <c r="J24" i="4"/>
  <c r="J23" i="4"/>
  <c r="J22" i="4"/>
  <c r="J21" i="4"/>
  <c r="J20" i="4"/>
  <c r="J19" i="4"/>
  <c r="J18" i="4"/>
  <c r="J17" i="4"/>
  <c r="J16" i="4"/>
  <c r="J14" i="4"/>
  <c r="J13" i="4"/>
  <c r="J11" i="4"/>
  <c r="J10" i="4"/>
  <c r="J8" i="4"/>
  <c r="J7" i="4"/>
  <c r="J5" i="4"/>
  <c r="M36" i="2"/>
  <c r="L36" i="2"/>
  <c r="K36" i="2"/>
  <c r="J36" i="2"/>
  <c r="I36" i="2"/>
  <c r="H36" i="2"/>
  <c r="G36" i="2"/>
  <c r="F36" i="2"/>
  <c r="E36" i="2"/>
  <c r="D36" i="2"/>
  <c r="C36" i="2"/>
  <c r="B36" i="2"/>
  <c r="M35" i="2"/>
  <c r="L35" i="2"/>
  <c r="K35" i="2"/>
  <c r="J35" i="2"/>
  <c r="I35" i="2"/>
  <c r="H35" i="2"/>
  <c r="G35" i="2"/>
  <c r="F35" i="2"/>
  <c r="E35" i="2"/>
  <c r="D35" i="2"/>
  <c r="C35" i="2"/>
  <c r="B35" i="2"/>
  <c r="M34" i="2"/>
  <c r="L34" i="2"/>
  <c r="K34" i="2"/>
  <c r="J34" i="2"/>
  <c r="I34" i="2"/>
  <c r="H34" i="2"/>
  <c r="G34" i="2"/>
  <c r="F34" i="2"/>
  <c r="E34" i="2"/>
  <c r="D34" i="2"/>
  <c r="C34" i="2"/>
  <c r="B34" i="2"/>
  <c r="M33" i="2"/>
  <c r="L33" i="2"/>
  <c r="K33" i="2"/>
  <c r="J33" i="2"/>
  <c r="I33" i="2"/>
  <c r="H33" i="2"/>
  <c r="G33" i="2"/>
  <c r="F33" i="2"/>
  <c r="E33" i="2"/>
  <c r="D33" i="2"/>
  <c r="C33" i="2"/>
  <c r="B33" i="2"/>
  <c r="M28" i="2"/>
  <c r="L28" i="2"/>
  <c r="K28" i="2"/>
  <c r="J28" i="2"/>
  <c r="I28" i="2"/>
  <c r="H28" i="2"/>
  <c r="G28" i="2"/>
  <c r="F28" i="2"/>
  <c r="E28" i="2"/>
  <c r="D28" i="2"/>
  <c r="C28" i="2"/>
  <c r="B28" i="2"/>
  <c r="I34" i="10" l="1"/>
  <c r="F61" i="9"/>
  <c r="F60" i="9"/>
  <c r="F28" i="7"/>
  <c r="K28" i="7"/>
  <c r="M28" i="7"/>
  <c r="D7" i="5"/>
  <c r="D19" i="5" s="1"/>
  <c r="C7" i="5"/>
  <c r="C19" i="5" s="1"/>
  <c r="J7" i="5"/>
  <c r="J19" i="5" s="1"/>
  <c r="L28" i="7"/>
  <c r="E56" i="9"/>
  <c r="L7" i="5"/>
  <c r="L19" i="5" s="1"/>
  <c r="K7" i="5"/>
  <c r="K19" i="5" s="1"/>
  <c r="M7" i="5"/>
  <c r="M19" i="5" s="1"/>
  <c r="E16" i="9"/>
  <c r="D9" i="9"/>
  <c r="E17" i="9" s="1"/>
  <c r="F7" i="5"/>
  <c r="F19" i="5" s="1"/>
  <c r="H34" i="10"/>
  <c r="V34" i="10"/>
  <c r="M7" i="6"/>
  <c r="L7" i="6"/>
  <c r="H7" i="6"/>
  <c r="K7" i="6"/>
  <c r="J7" i="6"/>
  <c r="I7" i="6"/>
  <c r="G7" i="6"/>
  <c r="F7" i="6"/>
  <c r="D7" i="6"/>
  <c r="B7" i="6"/>
  <c r="E7" i="6"/>
  <c r="C7" i="6"/>
  <c r="W34" i="10"/>
  <c r="H7" i="5"/>
  <c r="H19" i="5" s="1"/>
  <c r="AA34" i="10"/>
  <c r="AD34" i="10"/>
  <c r="Z34" i="10"/>
  <c r="C34" i="10"/>
  <c r="AE34" i="10"/>
  <c r="E13" i="9"/>
  <c r="B7" i="5"/>
  <c r="B56" i="9"/>
  <c r="B47" i="10"/>
  <c r="B9" i="10"/>
  <c r="B48" i="10" s="1"/>
  <c r="E7" i="5"/>
  <c r="E19" i="5" s="1"/>
  <c r="D34" i="10"/>
  <c r="E34" i="10"/>
  <c r="I7" i="5"/>
  <c r="I19" i="5" s="1"/>
  <c r="D9" i="10"/>
  <c r="D48" i="10" s="1"/>
  <c r="D47" i="10"/>
  <c r="B34" i="10"/>
  <c r="G7" i="5"/>
  <c r="G19" i="5" s="1"/>
  <c r="B46" i="10"/>
  <c r="D46" i="10"/>
  <c r="C47" i="10"/>
  <c r="F56" i="9" l="1"/>
  <c r="E57" i="9"/>
  <c r="B57" i="9"/>
  <c r="B8" i="5"/>
  <c r="B19" i="5"/>
  <c r="J15" i="4"/>
  <c r="J12" i="4"/>
  <c r="J9" i="4"/>
  <c r="B73" i="9"/>
  <c r="B75" i="9" s="1"/>
  <c r="B76" i="9" s="1"/>
  <c r="E15" i="9"/>
  <c r="E14" i="9"/>
  <c r="B14" i="7" l="1" a="1"/>
  <c r="B14" i="5"/>
  <c r="B20" i="5" s="1"/>
  <c r="B17" i="5"/>
  <c r="B23" i="5" s="1"/>
  <c r="C8" i="5"/>
  <c r="B4" i="8"/>
  <c r="B16" i="5"/>
  <c r="B22" i="5" s="1"/>
  <c r="B13" i="5"/>
  <c r="B15" i="5"/>
  <c r="B21" i="5" s="1"/>
  <c r="F57" i="9"/>
  <c r="E65" i="9"/>
  <c r="B14" i="7" l="1"/>
  <c r="B13" i="8" s="1"/>
  <c r="B26" i="7"/>
  <c r="B10" i="5"/>
  <c r="C14" i="5"/>
  <c r="C20" i="5" s="1"/>
  <c r="D8" i="5"/>
  <c r="C4" i="8"/>
  <c r="C17" i="5"/>
  <c r="C23" i="5" s="1"/>
  <c r="C13" i="5"/>
  <c r="C16" i="5"/>
  <c r="C22" i="5" s="1"/>
  <c r="C15" i="5"/>
  <c r="C21" i="5" s="1"/>
  <c r="B8" i="7"/>
  <c r="B18" i="8" s="1"/>
  <c r="B7" i="7" a="1"/>
  <c r="B7" i="7" s="1"/>
  <c r="B11" i="8" s="1"/>
  <c r="B24" i="7"/>
  <c r="B29" i="7" s="1"/>
  <c r="B6" i="7"/>
  <c r="B10" i="8" s="1"/>
  <c r="B13" i="7"/>
  <c r="B25" i="7"/>
  <c r="B27" i="7"/>
  <c r="B11" i="5"/>
  <c r="E73" i="9"/>
  <c r="E75" i="9" s="1"/>
  <c r="E76" i="9" s="1"/>
  <c r="F65" i="9"/>
  <c r="B9" i="7" a="1"/>
  <c r="B9" i="7" s="1"/>
  <c r="B19" i="8" s="1"/>
  <c r="D17" i="5" l="1"/>
  <c r="D23" i="5" s="1"/>
  <c r="D4" i="8"/>
  <c r="E8" i="5"/>
  <c r="D14" i="5"/>
  <c r="D20" i="5" s="1"/>
  <c r="D13" i="5"/>
  <c r="D16" i="5"/>
  <c r="D22" i="5" s="1"/>
  <c r="D15" i="5"/>
  <c r="D21" i="5" s="1"/>
  <c r="B12" i="8"/>
  <c r="B15" i="7"/>
  <c r="B16" i="7" s="1"/>
  <c r="C10" i="5"/>
  <c r="C25" i="7"/>
  <c r="C14" i="7"/>
  <c r="C13" i="8" s="1"/>
  <c r="C7" i="7"/>
  <c r="C11" i="8" s="1"/>
  <c r="C9" i="7"/>
  <c r="C19" i="8" s="1"/>
  <c r="C13" i="7"/>
  <c r="C8" i="7"/>
  <c r="C18" i="8" s="1"/>
  <c r="C24" i="7"/>
  <c r="C29" i="7" s="1"/>
  <c r="C6" i="7"/>
  <c r="C10" i="8" s="1"/>
  <c r="C27" i="7"/>
  <c r="C11" i="5"/>
  <c r="C26" i="7"/>
  <c r="B9" i="5"/>
  <c r="C12" i="8" l="1"/>
  <c r="C15" i="7"/>
  <c r="C16" i="7" s="1"/>
  <c r="B4" i="6"/>
  <c r="B5" i="8"/>
  <c r="E17" i="5"/>
  <c r="E23" i="5" s="1"/>
  <c r="F8" i="5"/>
  <c r="E14" i="5"/>
  <c r="E20" i="5" s="1"/>
  <c r="E16" i="5"/>
  <c r="E22" i="5" s="1"/>
  <c r="E13" i="5"/>
  <c r="E15" i="5"/>
  <c r="E21" i="5" s="1"/>
  <c r="E4" i="8"/>
  <c r="D10" i="5"/>
  <c r="D25" i="7"/>
  <c r="D9" i="7"/>
  <c r="D19" i="8" s="1"/>
  <c r="D14" i="7"/>
  <c r="D13" i="8" s="1"/>
  <c r="D7" i="7"/>
  <c r="D11" i="8" s="1"/>
  <c r="D13" i="7"/>
  <c r="D8" i="7"/>
  <c r="D18" i="8" s="1"/>
  <c r="D26" i="7"/>
  <c r="D27" i="7"/>
  <c r="D24" i="7"/>
  <c r="D29" i="7" s="1"/>
  <c r="D11" i="5"/>
  <c r="D6" i="7"/>
  <c r="D10" i="8" s="1"/>
  <c r="C9" i="5"/>
  <c r="D12" i="8" l="1"/>
  <c r="D15" i="7"/>
  <c r="D16" i="7" s="1"/>
  <c r="F17" i="5"/>
  <c r="F23" i="5" s="1"/>
  <c r="F15" i="5"/>
  <c r="F21" i="5" s="1"/>
  <c r="F13" i="5"/>
  <c r="F14" i="5"/>
  <c r="F20" i="5" s="1"/>
  <c r="F16" i="5"/>
  <c r="F22" i="5" s="1"/>
  <c r="F4" i="8"/>
  <c r="G8" i="5"/>
  <c r="B6" i="6"/>
  <c r="B8" i="6"/>
  <c r="D9" i="5"/>
  <c r="E10" i="5"/>
  <c r="E25" i="7"/>
  <c r="E9" i="7"/>
  <c r="E19" i="8" s="1"/>
  <c r="E14" i="7"/>
  <c r="E13" i="8" s="1"/>
  <c r="E7" i="7"/>
  <c r="E11" i="8" s="1"/>
  <c r="E24" i="7"/>
  <c r="E29" i="7" s="1"/>
  <c r="E11" i="5"/>
  <c r="E27" i="7"/>
  <c r="E8" i="7"/>
  <c r="E18" i="8" s="1"/>
  <c r="E13" i="7"/>
  <c r="E26" i="7"/>
  <c r="E6" i="7"/>
  <c r="E10" i="8" s="1"/>
  <c r="B14" i="8"/>
  <c r="B15" i="8" s="1"/>
  <c r="B20" i="8"/>
  <c r="B21" i="8" s="1"/>
  <c r="C4" i="6"/>
  <c r="C5" i="8"/>
  <c r="E12" i="8" l="1"/>
  <c r="E15" i="7"/>
  <c r="E16" i="7" s="1"/>
  <c r="F27" i="7"/>
  <c r="F26" i="7"/>
  <c r="F6" i="7"/>
  <c r="F10" i="8" s="1"/>
  <c r="F13" i="7"/>
  <c r="F24" i="7"/>
  <c r="F29" i="7" s="1"/>
  <c r="F8" i="7"/>
  <c r="F18" i="8" s="1"/>
  <c r="F11" i="5"/>
  <c r="B5" i="7"/>
  <c r="B6" i="8"/>
  <c r="C14" i="8"/>
  <c r="C15" i="8" s="1"/>
  <c r="C20" i="8"/>
  <c r="C21" i="8" s="1"/>
  <c r="C6" i="6"/>
  <c r="C8" i="6"/>
  <c r="F10" i="5"/>
  <c r="F7" i="7"/>
  <c r="F11" i="8" s="1"/>
  <c r="F9" i="7"/>
  <c r="F19" i="8" s="1"/>
  <c r="F25" i="7"/>
  <c r="F14" i="7"/>
  <c r="F13" i="8" s="1"/>
  <c r="E9" i="5"/>
  <c r="D5" i="8"/>
  <c r="D4" i="6"/>
  <c r="G17" i="5"/>
  <c r="G23" i="5" s="1"/>
  <c r="G15" i="5"/>
  <c r="G21" i="5" s="1"/>
  <c r="G13" i="5"/>
  <c r="G14" i="5"/>
  <c r="G20" i="5" s="1"/>
  <c r="G16" i="5"/>
  <c r="G22" i="5" s="1"/>
  <c r="G4" i="8"/>
  <c r="H8" i="5"/>
  <c r="E4" i="6" l="1"/>
  <c r="E5" i="8"/>
  <c r="G24" i="7"/>
  <c r="G29" i="7" s="1"/>
  <c r="G8" i="7"/>
  <c r="G18" i="8" s="1"/>
  <c r="G26" i="7"/>
  <c r="G13" i="7"/>
  <c r="G11" i="5"/>
  <c r="G27" i="7"/>
  <c r="G6" i="7"/>
  <c r="G10" i="8" s="1"/>
  <c r="F9" i="5"/>
  <c r="B10" i="7"/>
  <c r="B21" i="7" s="1"/>
  <c r="B24" i="8"/>
  <c r="B7" i="8" s="1"/>
  <c r="H17" i="5"/>
  <c r="H23" i="5" s="1"/>
  <c r="H13" i="5"/>
  <c r="H14" i="5"/>
  <c r="H20" i="5" s="1"/>
  <c r="H16" i="5"/>
  <c r="H22" i="5" s="1"/>
  <c r="H15" i="5"/>
  <c r="H21" i="5" s="1"/>
  <c r="H4" i="8"/>
  <c r="I8" i="5"/>
  <c r="G10" i="5"/>
  <c r="G7" i="7"/>
  <c r="G11" i="8" s="1"/>
  <c r="G9" i="7"/>
  <c r="G19" i="8" s="1"/>
  <c r="G14" i="7"/>
  <c r="G13" i="8" s="1"/>
  <c r="G25" i="7"/>
  <c r="D6" i="6"/>
  <c r="D8" i="6"/>
  <c r="C5" i="7"/>
  <c r="C6" i="8"/>
  <c r="F15" i="7"/>
  <c r="F16" i="7" s="1"/>
  <c r="F12" i="8"/>
  <c r="D20" i="8"/>
  <c r="D21" i="8" s="1"/>
  <c r="D14" i="8"/>
  <c r="D15" i="8" s="1"/>
  <c r="G9" i="5" l="1"/>
  <c r="I15" i="5"/>
  <c r="I21" i="5" s="1"/>
  <c r="I17" i="5"/>
  <c r="I23" i="5" s="1"/>
  <c r="I13" i="5"/>
  <c r="I16" i="5"/>
  <c r="I22" i="5" s="1"/>
  <c r="I14" i="5"/>
  <c r="I20" i="5" s="1"/>
  <c r="I4" i="8"/>
  <c r="J8" i="5"/>
  <c r="H6" i="7"/>
  <c r="H10" i="8" s="1"/>
  <c r="H26" i="7"/>
  <c r="H27" i="7"/>
  <c r="H24" i="7"/>
  <c r="H29" i="7" s="1"/>
  <c r="H13" i="7"/>
  <c r="H11" i="5"/>
  <c r="H8" i="7"/>
  <c r="H18" i="8" s="1"/>
  <c r="H10" i="5"/>
  <c r="H14" i="7"/>
  <c r="H13" i="8" s="1"/>
  <c r="H25" i="7"/>
  <c r="H7" i="7"/>
  <c r="H11" i="8" s="1"/>
  <c r="H9" i="7"/>
  <c r="H19" i="8" s="1"/>
  <c r="B26" i="8"/>
  <c r="B25" i="8"/>
  <c r="F5" i="8"/>
  <c r="F4" i="6"/>
  <c r="G12" i="8"/>
  <c r="G15" i="7"/>
  <c r="G16" i="7" s="1"/>
  <c r="C10" i="7"/>
  <c r="C21" i="7" s="1"/>
  <c r="C24" i="8"/>
  <c r="C7" i="8" s="1"/>
  <c r="D5" i="7"/>
  <c r="D6" i="8"/>
  <c r="E20" i="8"/>
  <c r="E21" i="8" s="1"/>
  <c r="E14" i="8"/>
  <c r="E15" i="8" s="1"/>
  <c r="E6" i="6"/>
  <c r="E8" i="6"/>
  <c r="H9" i="5" l="1"/>
  <c r="E5" i="7"/>
  <c r="E6" i="8"/>
  <c r="C26" i="8"/>
  <c r="C25" i="8"/>
  <c r="D24" i="8"/>
  <c r="D7" i="8" s="1"/>
  <c r="D10" i="7"/>
  <c r="D21" i="7" s="1"/>
  <c r="I13" i="7"/>
  <c r="I24" i="7"/>
  <c r="I29" i="7" s="1"/>
  <c r="I26" i="7"/>
  <c r="I11" i="5"/>
  <c r="I27" i="7"/>
  <c r="I6" i="7"/>
  <c r="I10" i="8" s="1"/>
  <c r="I8" i="7"/>
  <c r="I18" i="8" s="1"/>
  <c r="I10" i="5"/>
  <c r="I25" i="7"/>
  <c r="I14" i="7"/>
  <c r="I13" i="8" s="1"/>
  <c r="I7" i="7"/>
  <c r="I11" i="8" s="1"/>
  <c r="I9" i="7"/>
  <c r="I19" i="8" s="1"/>
  <c r="F6" i="6"/>
  <c r="F8" i="6"/>
  <c r="H12" i="8"/>
  <c r="H15" i="7"/>
  <c r="H16" i="7" s="1"/>
  <c r="J17" i="5"/>
  <c r="J23" i="5" s="1"/>
  <c r="J15" i="5"/>
  <c r="J21" i="5" s="1"/>
  <c r="J4" i="8"/>
  <c r="J14" i="5"/>
  <c r="J20" i="5" s="1"/>
  <c r="J16" i="5"/>
  <c r="J22" i="5" s="1"/>
  <c r="J13" i="5"/>
  <c r="K8" i="5"/>
  <c r="F14" i="8"/>
  <c r="F15" i="8" s="1"/>
  <c r="F20" i="8"/>
  <c r="F21" i="8" s="1"/>
  <c r="G5" i="8"/>
  <c r="G4" i="6"/>
  <c r="F5" i="7" l="1"/>
  <c r="F6" i="8"/>
  <c r="I9" i="5"/>
  <c r="G6" i="6"/>
  <c r="G8" i="6"/>
  <c r="K17" i="5"/>
  <c r="K23" i="5" s="1"/>
  <c r="K13" i="5"/>
  <c r="K15" i="5"/>
  <c r="K21" i="5" s="1"/>
  <c r="L8" i="5"/>
  <c r="K14" i="5"/>
  <c r="K20" i="5" s="1"/>
  <c r="K16" i="5"/>
  <c r="K22" i="5" s="1"/>
  <c r="K4" i="8"/>
  <c r="J10" i="5"/>
  <c r="J25" i="7"/>
  <c r="J14" i="7"/>
  <c r="J13" i="8" s="1"/>
  <c r="J9" i="7"/>
  <c r="J19" i="8" s="1"/>
  <c r="J7" i="7"/>
  <c r="J11" i="8" s="1"/>
  <c r="D26" i="8"/>
  <c r="D25" i="8"/>
  <c r="J24" i="7"/>
  <c r="J29" i="7" s="1"/>
  <c r="J11" i="5"/>
  <c r="J6" i="7"/>
  <c r="J10" i="8" s="1"/>
  <c r="J8" i="7"/>
  <c r="J18" i="8" s="1"/>
  <c r="J26" i="7"/>
  <c r="J27" i="7"/>
  <c r="J13" i="7"/>
  <c r="G14" i="8"/>
  <c r="G15" i="8" s="1"/>
  <c r="G20" i="8"/>
  <c r="G21" i="8" s="1"/>
  <c r="I12" i="8"/>
  <c r="I15" i="7"/>
  <c r="I16" i="7" s="1"/>
  <c r="E10" i="7"/>
  <c r="E21" i="7" s="1"/>
  <c r="E24" i="8"/>
  <c r="E7" i="8" s="1"/>
  <c r="H5" i="8"/>
  <c r="H4" i="6"/>
  <c r="H6" i="6" l="1"/>
  <c r="H8" i="6"/>
  <c r="L15" i="5"/>
  <c r="L21" i="5" s="1"/>
  <c r="L13" i="5"/>
  <c r="M8" i="5"/>
  <c r="L17" i="5"/>
  <c r="L23" i="5" s="1"/>
  <c r="L16" i="5"/>
  <c r="L22" i="5" s="1"/>
  <c r="L4" i="8"/>
  <c r="L14" i="5"/>
  <c r="L20" i="5" s="1"/>
  <c r="K10" i="5"/>
  <c r="K14" i="7"/>
  <c r="K13" i="8" s="1"/>
  <c r="K9" i="7"/>
  <c r="K19" i="8" s="1"/>
  <c r="K7" i="7"/>
  <c r="K11" i="8" s="1"/>
  <c r="K25" i="7"/>
  <c r="G5" i="7"/>
  <c r="G6" i="8"/>
  <c r="J12" i="8"/>
  <c r="J15" i="7"/>
  <c r="J16" i="7" s="1"/>
  <c r="I5" i="8"/>
  <c r="I4" i="6"/>
  <c r="J9" i="5"/>
  <c r="H20" i="8"/>
  <c r="H21" i="8" s="1"/>
  <c r="H14" i="8"/>
  <c r="H15" i="8" s="1"/>
  <c r="E26" i="8"/>
  <c r="E25" i="8"/>
  <c r="K24" i="7"/>
  <c r="K29" i="7" s="1"/>
  <c r="K13" i="7"/>
  <c r="K11" i="5"/>
  <c r="K8" i="7"/>
  <c r="K18" i="8" s="1"/>
  <c r="K27" i="7"/>
  <c r="K26" i="7"/>
  <c r="K6" i="7"/>
  <c r="K10" i="8" s="1"/>
  <c r="F10" i="7"/>
  <c r="F21" i="7" s="1"/>
  <c r="F24" i="8"/>
  <c r="F7" i="8" s="1"/>
  <c r="J5" i="8" l="1"/>
  <c r="J4" i="6"/>
  <c r="I8" i="6"/>
  <c r="I6" i="6"/>
  <c r="I20" i="8"/>
  <c r="I21" i="8" s="1"/>
  <c r="I14" i="8"/>
  <c r="I15" i="8" s="1"/>
  <c r="K9" i="5"/>
  <c r="K12" i="8"/>
  <c r="K15" i="7"/>
  <c r="K16" i="7" s="1"/>
  <c r="L10" i="5"/>
  <c r="L25" i="7"/>
  <c r="L14" i="7"/>
  <c r="L13" i="8" s="1"/>
  <c r="L7" i="7"/>
  <c r="L11" i="8" s="1"/>
  <c r="L9" i="7"/>
  <c r="L19" i="8" s="1"/>
  <c r="G10" i="7"/>
  <c r="G21" i="7" s="1"/>
  <c r="G24" i="8"/>
  <c r="G7" i="8" s="1"/>
  <c r="F26" i="8"/>
  <c r="F25" i="8"/>
  <c r="L24" i="7"/>
  <c r="L29" i="7" s="1"/>
  <c r="L6" i="7"/>
  <c r="L10" i="8" s="1"/>
  <c r="L11" i="5"/>
  <c r="L26" i="7"/>
  <c r="L27" i="7"/>
  <c r="L13" i="7"/>
  <c r="L8" i="7"/>
  <c r="L18" i="8" s="1"/>
  <c r="H5" i="7"/>
  <c r="H6" i="8"/>
  <c r="M15" i="5"/>
  <c r="M21" i="5" s="1"/>
  <c r="M13" i="5"/>
  <c r="M16" i="5"/>
  <c r="M22" i="5" s="1"/>
  <c r="M4" i="8"/>
  <c r="M14" i="5"/>
  <c r="M20" i="5" s="1"/>
  <c r="M17" i="5"/>
  <c r="M23" i="5" s="1"/>
  <c r="K5" i="8" l="1"/>
  <c r="K4" i="6"/>
  <c r="M24" i="7"/>
  <c r="M29" i="7" s="1"/>
  <c r="M13" i="7"/>
  <c r="M11" i="5"/>
  <c r="M8" i="7"/>
  <c r="M18" i="8" s="1"/>
  <c r="M27" i="7"/>
  <c r="M26" i="7"/>
  <c r="M6" i="7"/>
  <c r="M10" i="8" s="1"/>
  <c r="L9" i="5"/>
  <c r="L15" i="7"/>
  <c r="L16" i="7" s="1"/>
  <c r="L12" i="8"/>
  <c r="M10" i="5"/>
  <c r="M25" i="7"/>
  <c r="M14" i="7"/>
  <c r="M13" i="8" s="1"/>
  <c r="M9" i="7"/>
  <c r="M19" i="8" s="1"/>
  <c r="M7" i="7"/>
  <c r="M11" i="8" s="1"/>
  <c r="H10" i="7"/>
  <c r="H21" i="7" s="1"/>
  <c r="H24" i="8"/>
  <c r="H7" i="8" s="1"/>
  <c r="I6" i="8"/>
  <c r="I5" i="7"/>
  <c r="J8" i="6"/>
  <c r="J6" i="6"/>
  <c r="G26" i="8"/>
  <c r="G25" i="8"/>
  <c r="J14" i="8"/>
  <c r="J15" i="8" s="1"/>
  <c r="J20" i="8"/>
  <c r="J21" i="8" s="1"/>
  <c r="J6" i="8" l="1"/>
  <c r="J5" i="7"/>
  <c r="I10" i="7"/>
  <c r="I21" i="7" s="1"/>
  <c r="I24" i="8"/>
  <c r="I7" i="8" s="1"/>
  <c r="H26" i="8"/>
  <c r="H25" i="8"/>
  <c r="M9" i="5"/>
  <c r="L5" i="8"/>
  <c r="L4" i="6"/>
  <c r="M15" i="7"/>
  <c r="M16" i="7" s="1"/>
  <c r="M12" i="8"/>
  <c r="K8" i="6"/>
  <c r="K6" i="6"/>
  <c r="K14" i="8"/>
  <c r="K15" i="8" s="1"/>
  <c r="K20" i="8"/>
  <c r="K21" i="8" s="1"/>
  <c r="L8" i="6" l="1"/>
  <c r="L6" i="6"/>
  <c r="I26" i="8"/>
  <c r="I25" i="8"/>
  <c r="K6" i="8"/>
  <c r="K5" i="7"/>
  <c r="L20" i="8"/>
  <c r="L21" i="8" s="1"/>
  <c r="L14" i="8"/>
  <c r="L15" i="8" s="1"/>
  <c r="J10" i="7"/>
  <c r="J21" i="7" s="1"/>
  <c r="J24" i="8"/>
  <c r="J7" i="8" s="1"/>
  <c r="M5" i="8"/>
  <c r="M4" i="6"/>
  <c r="J26" i="8" l="1"/>
  <c r="J25" i="8"/>
  <c r="K10" i="7"/>
  <c r="K21" i="7" s="1"/>
  <c r="K24" i="8"/>
  <c r="K7" i="8" s="1"/>
  <c r="M8" i="6"/>
  <c r="M6" i="6"/>
  <c r="M20" i="8"/>
  <c r="M21" i="8" s="1"/>
  <c r="M14" i="8"/>
  <c r="M15" i="8" s="1"/>
  <c r="L6" i="8"/>
  <c r="L5" i="7"/>
  <c r="L10" i="7" l="1"/>
  <c r="L21" i="7" s="1"/>
  <c r="L24" i="8"/>
  <c r="L7" i="8" s="1"/>
  <c r="M6" i="8"/>
  <c r="M5" i="7"/>
  <c r="K26" i="8"/>
  <c r="K25" i="8"/>
  <c r="L26" i="8" l="1"/>
  <c r="L25" i="8"/>
  <c r="M24" i="8"/>
  <c r="M7" i="8" s="1"/>
  <c r="M10" i="7"/>
  <c r="M21" i="7" s="1"/>
  <c r="M26" i="8" l="1"/>
  <c r="M25" i="8"/>
</calcChain>
</file>

<file path=xl/sharedStrings.xml><?xml version="1.0" encoding="utf-8"?>
<sst xmlns="http://schemas.openxmlformats.org/spreadsheetml/2006/main" count="722" uniqueCount="312">
  <si>
    <t>LOYALTY PROGRAM MODEL - USER GUIDE</t>
  </si>
  <si>
    <t>1. TAB OVERVIEW</t>
  </si>
  <si>
    <t>Tab</t>
  </si>
  <si>
    <t>Purpose</t>
  </si>
  <si>
    <t>Inputs</t>
  </si>
  <si>
    <t>Core assumptions: samples sent, AOV, conversion rates</t>
  </si>
  <si>
    <t>VIP Levels</t>
  </si>
  <si>
    <t>Tier thresholds, avg sales/month per tier, commission rates, welcome rewards</t>
  </si>
  <si>
    <t>Missions</t>
  </si>
  <si>
    <t>Mission targets, completion rates, reward types and values</t>
  </si>
  <si>
    <t>Affiliate Projection</t>
  </si>
  <si>
    <t>Calculated: affiliate counts and sales by tier (12 months)</t>
  </si>
  <si>
    <t>Revenue</t>
  </si>
  <si>
    <t>Calculated: sales volume, AOV, flash sale impact, net revenue</t>
  </si>
  <si>
    <t>Affiliate Costs</t>
  </si>
  <si>
    <t>Calculated: commissions, boosts, discounts, gift cards</t>
  </si>
  <si>
    <t>Summary</t>
  </si>
  <si>
    <t>KEY OUTPUT: unit cost per sale, % of margin</t>
  </si>
  <si>
    <t>Scenarios (Sc)</t>
  </si>
  <si>
    <t>Side-by-side comparison: Conservative, Base, Optimistic</t>
  </si>
  <si>
    <t>TestSc</t>
  </si>
  <si>
    <t>Scenario inputs: avg sales/month assumptions, VIP distributions</t>
  </si>
  <si>
    <t>2. CELLS YOU CAN CHANGE</t>
  </si>
  <si>
    <t>Cell(s)</t>
  </si>
  <si>
    <t>What It Controls</t>
  </si>
  <si>
    <t>B5</t>
  </si>
  <si>
    <t>Samples sent in Month 1</t>
  </si>
  <si>
    <t>B6</t>
  </si>
  <si>
    <t>B7</t>
  </si>
  <si>
    <t>Sample growth rate Month 3+ (e.g., 0.7 = 70% of previous)</t>
  </si>
  <si>
    <t>B12</t>
  </si>
  <si>
    <t>Average Order Value (AOV)</t>
  </si>
  <si>
    <t>E5:E8</t>
  </si>
  <si>
    <t>Avg sales per month by tier</t>
  </si>
  <si>
    <t>Column E</t>
  </si>
  <si>
    <t>Completion rate for each mission (0 to 1)</t>
  </si>
  <si>
    <t>Column G</t>
  </si>
  <si>
    <t>Reward value for each mission</t>
  </si>
  <si>
    <t>Flash sale duration (hours)</t>
  </si>
  <si>
    <t>B13</t>
  </si>
  <si>
    <t>Flash sale discount %</t>
  </si>
  <si>
    <t>B14</t>
  </si>
  <si>
    <t>Number of flash sales per month</t>
  </si>
  <si>
    <t>3. WHERE TO SEE RESULTS</t>
  </si>
  <si>
    <t>What It Shows</t>
  </si>
  <si>
    <t>Loyalty Unit Cost (cost per sale)</t>
  </si>
  <si>
    <t>Loyalty Cost as % of AOV</t>
  </si>
  <si>
    <t>4. IMPORTANT DISCLAIMER</t>
  </si>
  <si>
    <t>This model is for planning purposes only.</t>
  </si>
  <si>
    <t>Key limitations:</t>
  </si>
  <si>
    <t>• Projections are based on assumptions, not guarantees</t>
  </si>
  <si>
    <t>• Actual results will vary based on affiliate behavior and market conditions</t>
  </si>
  <si>
    <t>Conservative assumptions used:</t>
  </si>
  <si>
    <t>• Affiliate churn not modeled (would reduce costs)</t>
  </si>
  <si>
    <t>• No referral/flywheel growth included</t>
  </si>
  <si>
    <t>LOYALTY PROGRAM FINANCIAL MODEL - INPUTS DASHBOARD</t>
  </si>
  <si>
    <t>ACQUISITION INPUTS</t>
  </si>
  <si>
    <t>MONTHLY LEVEL DISTRIBUTION</t>
  </si>
  <si>
    <t>Parameter</t>
  </si>
  <si>
    <t>Value</t>
  </si>
  <si>
    <t>Unit</t>
  </si>
  <si>
    <t>Description</t>
  </si>
  <si>
    <t>(% of affiliates at each level per month)</t>
  </si>
  <si>
    <t>Samples Sent - Month 1</t>
  </si>
  <si>
    <t>samples</t>
  </si>
  <si>
    <t>Initial month sample distribution</t>
  </si>
  <si>
    <t>Level</t>
  </si>
  <si>
    <t>Month 1</t>
  </si>
  <si>
    <t>Month 2</t>
  </si>
  <si>
    <t>Month 3</t>
  </si>
  <si>
    <t>Month 4</t>
  </si>
  <si>
    <t>Month 5</t>
  </si>
  <si>
    <t>Month 6</t>
  </si>
  <si>
    <t>Month 7</t>
  </si>
  <si>
    <t>Month 8</t>
  </si>
  <si>
    <t>Month 9</t>
  </si>
  <si>
    <t>Month 10</t>
  </si>
  <si>
    <t>Month 11</t>
  </si>
  <si>
    <t>Month 12</t>
  </si>
  <si>
    <t>Samples Sent - Month 2+</t>
  </si>
  <si>
    <t>Ongoing monthly sample distribution</t>
  </si>
  <si>
    <t>Bronze</t>
  </si>
  <si>
    <t>Sample-to-Affiliate Conversion Rate</t>
  </si>
  <si>
    <t>%</t>
  </si>
  <si>
    <t>Percentage of samples that convert to affiliates</t>
  </si>
  <si>
    <t>Silver</t>
  </si>
  <si>
    <t>Gold</t>
  </si>
  <si>
    <t>PERFORMANCE INPUTS</t>
  </si>
  <si>
    <t>Platinum</t>
  </si>
  <si>
    <t>Diamond</t>
  </si>
  <si>
    <t>Total (must = 100%)</t>
  </si>
  <si>
    <t>Gross AOV</t>
  </si>
  <si>
    <t>$</t>
  </si>
  <si>
    <t>Average order value before discounts</t>
  </si>
  <si>
    <t>Rolling Window Duration</t>
  </si>
  <si>
    <t>days</t>
  </si>
  <si>
    <t>Time period for VIP level qualification</t>
  </si>
  <si>
    <t>Incentive Avg Sales Multiplier</t>
  </si>
  <si>
    <t>x</t>
  </si>
  <si>
    <t>Multiplier for avg sales during Commission Boost/Discount periods</t>
  </si>
  <si>
    <t>(# of affiliates at each level per month)</t>
  </si>
  <si>
    <t>Total Affiliates</t>
  </si>
  <si>
    <t>Name</t>
  </si>
  <si>
    <t>Avg Sales/Month</t>
  </si>
  <si>
    <t>COST INPUTS</t>
  </si>
  <si>
    <t>Cost per Sample</t>
  </si>
  <si>
    <t>Cost of each sample sent (product + shipping)</t>
  </si>
  <si>
    <t>MONTHLY FLYWHEEL AFFILIATES</t>
  </si>
  <si>
    <t>(Organic inbound affiliates per month)</t>
  </si>
  <si>
    <t>Flywheel</t>
  </si>
  <si>
    <t>Affiliates</t>
  </si>
  <si>
    <t>VIP LEVEL CONFIGURATION</t>
  </si>
  <si>
    <t>LEVEL THRESHOLDS &amp; COMMISSION</t>
  </si>
  <si>
    <t>Welcome Gifts Overview</t>
  </si>
  <si>
    <t>Level #</t>
  </si>
  <si>
    <t>Sales Threshold</t>
  </si>
  <si>
    <t>Base Commission %</t>
  </si>
  <si>
    <t>Reward Type</t>
  </si>
  <si>
    <t>Quantity</t>
  </si>
  <si>
    <t>Reward</t>
  </si>
  <si>
    <t>Duration</t>
  </si>
  <si>
    <t>Commission</t>
  </si>
  <si>
    <t>Gift Card</t>
  </si>
  <si>
    <t>N/A</t>
  </si>
  <si>
    <t>Discount</t>
  </si>
  <si>
    <t>--- Commission Boost ---</t>
  </si>
  <si>
    <t>--- Gift Card ---</t>
  </si>
  <si>
    <t>Value %</t>
  </si>
  <si>
    <t>Duration (Days)</t>
  </si>
  <si>
    <t>Value $</t>
  </si>
  <si>
    <t>--- Follower Discount  ---</t>
  </si>
  <si>
    <t>--- Experience ---</t>
  </si>
  <si>
    <t>--- Physical Gift  ---</t>
  </si>
  <si>
    <t>Experience Qty</t>
  </si>
  <si>
    <t>Experience $</t>
  </si>
  <si>
    <t>--- Spark Ads ---</t>
  </si>
  <si>
    <t>Spark Ads Qty</t>
  </si>
  <si>
    <t>Spark Ads $</t>
  </si>
  <si>
    <t>MISSION CONFIGURATION</t>
  </si>
  <si>
    <t>MISSIONS BY VIP LEVEL</t>
  </si>
  <si>
    <t>VIP Level</t>
  </si>
  <si>
    <t>Mission Type</t>
  </si>
  <si>
    <t>Target</t>
  </si>
  <si>
    <t>Repeatability</t>
  </si>
  <si>
    <t>Completion Rate</t>
  </si>
  <si>
    <t>Reward Value</t>
  </si>
  <si>
    <t>Reward Duration</t>
  </si>
  <si>
    <t>Active?</t>
  </si>
  <si>
    <t>Cost per Completion</t>
  </si>
  <si>
    <t>Sales</t>
  </si>
  <si>
    <t>One-time</t>
  </si>
  <si>
    <t>Yes</t>
  </si>
  <si>
    <t>Videos</t>
  </si>
  <si>
    <t>Views</t>
  </si>
  <si>
    <t>Monthly</t>
  </si>
  <si>
    <t>Commission Boost</t>
  </si>
  <si>
    <t>Weekly</t>
  </si>
  <si>
    <t>AFFILIATE PROJECTION (12 MONTHS)</t>
  </si>
  <si>
    <t>Metric</t>
  </si>
  <si>
    <t>Samples Sent</t>
  </si>
  <si>
    <t>New Affiliates (from Samples)</t>
  </si>
  <si>
    <t>Flywheel Affiliates</t>
  </si>
  <si>
    <t>Total New Affiliates</t>
  </si>
  <si>
    <t>s</t>
  </si>
  <si>
    <t>Active Affiliates (End of Month)</t>
  </si>
  <si>
    <t>Total Sales</t>
  </si>
  <si>
    <t>Base Sales</t>
  </si>
  <si>
    <t>Incentive Sales</t>
  </si>
  <si>
    <t>--- Level Distribution ---</t>
  </si>
  <si>
    <t>Affiliates at Bronze</t>
  </si>
  <si>
    <t>Affiliates at Silver</t>
  </si>
  <si>
    <t>Affiliates at Gold</t>
  </si>
  <si>
    <t>Affiliates at Platinum</t>
  </si>
  <si>
    <t>Affiliates at Diamond</t>
  </si>
  <si>
    <t>--- New Tier Arrivals (for One-time Missions) ---</t>
  </si>
  <si>
    <t>New Arrivals at Bronze</t>
  </si>
  <si>
    <t>New Arrivals at Silver</t>
  </si>
  <si>
    <t>New Arrivals at Gold</t>
  </si>
  <si>
    <t>New Arrivals at Platinum</t>
  </si>
  <si>
    <t>New Arrivals at Diamond</t>
  </si>
  <si>
    <t>REVENUE PROJECTION (12 MONTHS)</t>
  </si>
  <si>
    <t>Total Sales Volume</t>
  </si>
  <si>
    <t>Gross Revenue</t>
  </si>
  <si>
    <t>Net AOV (weighted avg)</t>
  </si>
  <si>
    <t>Net Revenue</t>
  </si>
  <si>
    <t>FLASH SALE SETTINGS</t>
  </si>
  <si>
    <t>Duration (hours)</t>
  </si>
  <si>
    <t>Discount %</t>
  </si>
  <si>
    <t># per Month</t>
  </si>
  <si>
    <t>CALCULATION:</t>
  </si>
  <si>
    <t>Flash Time %</t>
  </si>
  <si>
    <t>Effective Discount</t>
  </si>
  <si>
    <t>Net AOV</t>
  </si>
  <si>
    <t>COST PROJECTION (12 MONTHS)</t>
  </si>
  <si>
    <t>--- CM1 COSTS (Per Sale) ---</t>
  </si>
  <si>
    <t>Base Commission Cost</t>
  </si>
  <si>
    <t>Commission Boost Cost (Welcome)</t>
  </si>
  <si>
    <t>Commission Boost Cost (Missions)</t>
  </si>
  <si>
    <t>Discount Cost (Welcome)</t>
  </si>
  <si>
    <t>Discount Cost (Missions)</t>
  </si>
  <si>
    <t>Total CM1 Costs</t>
  </si>
  <si>
    <t>--- LOYALTY PROGRAM COSTS ---</t>
  </si>
  <si>
    <t>Gift Card Cost (Welcome)</t>
  </si>
  <si>
    <t>Gift Card Cost (Missions)</t>
  </si>
  <si>
    <t>Total Gift Card Cost</t>
  </si>
  <si>
    <t>Total Loyalty Program Costs</t>
  </si>
  <si>
    <t>--- TOTALS ---</t>
  </si>
  <si>
    <t>Total Program Cost</t>
  </si>
  <si>
    <t>--- MARKETING OPEX ---</t>
  </si>
  <si>
    <t>Spark Ads Cost (Welcome)</t>
  </si>
  <si>
    <t>Spark Ads Cost (Missions)</t>
  </si>
  <si>
    <t>Physical Gift Cost</t>
  </si>
  <si>
    <t>Experience Cost</t>
  </si>
  <si>
    <t>Sample Cost</t>
  </si>
  <si>
    <t>Total Marketing OpEx</t>
  </si>
  <si>
    <t>--- Loyalty Cost per Unit ---</t>
  </si>
  <si>
    <t>--- Key Metrics ---</t>
  </si>
  <si>
    <t>M1</t>
  </si>
  <si>
    <t>M2</t>
  </si>
  <si>
    <t>M3</t>
  </si>
  <si>
    <t>M4</t>
  </si>
  <si>
    <t>M5</t>
  </si>
  <si>
    <t>M6</t>
  </si>
  <si>
    <t>M7</t>
  </si>
  <si>
    <t>M8</t>
  </si>
  <si>
    <t>M9</t>
  </si>
  <si>
    <t>M10</t>
  </si>
  <si>
    <t>M11</t>
  </si>
  <si>
    <t>M12</t>
  </si>
  <si>
    <t>Active Affiliates</t>
  </si>
  <si>
    <t>--- Loyalty Cost ---</t>
  </si>
  <si>
    <t>Cost per Sale (Unit Cost)</t>
  </si>
  <si>
    <t>% Margin</t>
  </si>
  <si>
    <t>--- Loyalty Discount Cost ---</t>
  </si>
  <si>
    <t>--- Affiliate Base Commission  ---</t>
  </si>
  <si>
    <t>SCENARIO COMPARISON</t>
  </si>
  <si>
    <t>AVERAGE FROM THREE SCENARIOS</t>
  </si>
  <si>
    <t>Loyalty Cost per Sale</t>
  </si>
  <si>
    <t>Loyalty Cost % Margin</t>
  </si>
  <si>
    <t>Discount Cost per Sale</t>
  </si>
  <si>
    <t>Discount Cost % Margin</t>
  </si>
  <si>
    <t>12M Net Revenue</t>
  </si>
  <si>
    <t>Aff. Base Commission %</t>
  </si>
  <si>
    <t>Aff. Loyalty %</t>
  </si>
  <si>
    <t>Aff. Base Commison Unit</t>
  </si>
  <si>
    <t>Aff. Loyalty Unit</t>
  </si>
  <si>
    <t>Discount Cost per Unit</t>
  </si>
  <si>
    <t>Aff. Discount %</t>
  </si>
  <si>
    <t>CONSERVATIVE - MONTHLY UNIT COST TRAJECTORY</t>
  </si>
  <si>
    <t>Average</t>
  </si>
  <si>
    <t>BASE - MONTHLY UNIT COST TRAJECTORY</t>
  </si>
  <si>
    <t>OPTIMISTIC - MONTHLY UNIT COST TRAJECTORY</t>
  </si>
  <si>
    <t>M4 - M12</t>
  </si>
  <si>
    <t>Costs as % of AOV</t>
  </si>
  <si>
    <t>Delta</t>
  </si>
  <si>
    <t>Excluding:</t>
  </si>
  <si>
    <t>Aff. Base Commision</t>
  </si>
  <si>
    <t>Aff.Loyalty</t>
  </si>
  <si>
    <t>Ad Spend</t>
  </si>
  <si>
    <t>$3.5K per Month</t>
  </si>
  <si>
    <t>Discount: Aff.</t>
  </si>
  <si>
    <t>Discount: Affiliates</t>
  </si>
  <si>
    <t>Discount: Flash Sale</t>
  </si>
  <si>
    <t>Assuming:</t>
  </si>
  <si>
    <t>TikTok Fees</t>
  </si>
  <si>
    <t xml:space="preserve">Gross AOV </t>
  </si>
  <si>
    <t>TikTok: Per Sale Fee</t>
  </si>
  <si>
    <t>COGS</t>
  </si>
  <si>
    <t>Shipping (TikTok Shipping)</t>
  </si>
  <si>
    <t>Shipping (FBT)</t>
  </si>
  <si>
    <t>Shipping</t>
  </si>
  <si>
    <t>Pick &amp; Pack</t>
  </si>
  <si>
    <t>Shipping FBT</t>
  </si>
  <si>
    <t>Total Variable Costs %</t>
  </si>
  <si>
    <t>Gross Margin</t>
  </si>
  <si>
    <t>Variable Operational Costs</t>
  </si>
  <si>
    <t>CM1 ($)</t>
  </si>
  <si>
    <t>CM (% of Revenue)</t>
  </si>
  <si>
    <t>SCENARIO CONFIGURATION (v2)</t>
  </si>
  <si>
    <t>Yellow = Input | Green = Derived</t>
  </si>
  <si>
    <t>1. AVG SALES/MO PER TIER</t>
  </si>
  <si>
    <t>Tier</t>
  </si>
  <si>
    <t>Conservative</t>
  </si>
  <si>
    <t>Base</t>
  </si>
  <si>
    <t>Optimistic</t>
  </si>
  <si>
    <t>Multiplier</t>
  </si>
  <si>
    <t>Cons</t>
  </si>
  <si>
    <t>2. M1 VIP DISTRIBUTION (Starting Point)</t>
  </si>
  <si>
    <t>Sum</t>
  </si>
  <si>
    <t>3. M12 VIP DISTRIBUTION (Target)</t>
  </si>
  <si>
    <t>4. DERIVED: MONTHLY VIP DISTRIBUTION</t>
  </si>
  <si>
    <t>Total</t>
  </si>
  <si>
    <t>5. MISSION CONFIG</t>
  </si>
  <si>
    <t>Frequency</t>
  </si>
  <si>
    <t>One-Time Factor</t>
  </si>
  <si>
    <t>6. DERIVED: MISSION COMPLETION RATES</t>
  </si>
  <si>
    <t>Samples sent in Month 2 onwards</t>
  </si>
  <si>
    <t>Row 13</t>
  </si>
  <si>
    <t>Row 14</t>
  </si>
  <si>
    <t>B23:M27</t>
  </si>
  <si>
    <t>VIP level Growth M0 - M12</t>
  </si>
  <si>
    <t>WELCOME REWARDS INPUT</t>
  </si>
  <si>
    <t>A14:H28</t>
  </si>
  <si>
    <t>Welcome Rewards Input</t>
  </si>
  <si>
    <t>Row 6</t>
  </si>
  <si>
    <t>Row 7</t>
  </si>
  <si>
    <t>Total Cost (Loyalty + Discount + Affiliate Base Cost</t>
  </si>
  <si>
    <t>Total Cost (Loyalty + Discount + Affiliate Base Cost)</t>
  </si>
  <si>
    <t>M1 150 units | M2+ 100 Units</t>
  </si>
  <si>
    <t xml:space="preserve"> </t>
  </si>
  <si>
    <t>Contribution Margin 1 (CM1) ($)</t>
  </si>
  <si>
    <t>M0 - M3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</si>
</sst>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(&quot;$&quot;* #,##0.00_);_(&quot;$&quot;* \(#,##0.00\);_(&quot;$&quot;* &quot;-&quot;??_);_(@_)"/>
    <numFmt numFmtId="164" formatCode="\$#,##0.00"/>
    <numFmt numFmtId="165" formatCode="\$#,##0"/>
    <numFmt numFmtId="166" formatCode="0.0"/>
    <numFmt numFmtId="167" formatCode="0.0%"/>
    <numFmt numFmtId="168" formatCode="\$#,##0.0"/>
    <numFmt numFmtId="169" formatCode="&quot;$&quot;#,##0.00"/>
  </numFmts>
  <fonts count="35" x14ac:knownFonts="1">
    <font>
      <sz val="11"/>
      <color theme="1"/>
      <name val="Calibri"/>
      <family val="2"/>
      <scheme val="minor"/>
    </font>
    <font>
      <b/>
      <sz val="16"/>
      <color rgb="FF4472C4"/>
      <name val="Calibri"/>
      <family val="2"/>
    </font>
    <font>
      <b/>
      <sz val="14"/>
      <color rgb="FF4472C4"/>
      <name val="Calibri"/>
      <family val="2"/>
    </font>
    <font>
      <b/>
      <sz val="12"/>
      <color rgb="FFFFFFFF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  <font>
      <b/>
      <sz val="12"/>
      <name val="Calibri"/>
      <family val="2"/>
    </font>
    <font>
      <i/>
      <sz val="11"/>
      <color rgb="FF666666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i/>
      <sz val="11"/>
      <color rgb="FF666666"/>
      <name val="Calibri"/>
      <family val="2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6"/>
      <name val="Calibri"/>
      <family val="2"/>
    </font>
    <font>
      <b/>
      <sz val="11"/>
      <color theme="0"/>
      <name val="Calibri"/>
      <family val="2"/>
    </font>
    <font>
      <sz val="11"/>
      <name val="Calibri"/>
      <family val="2"/>
    </font>
    <font>
      <b/>
      <sz val="11"/>
      <color rgb="FFFFFFFF"/>
      <name val="Calibri"/>
      <family val="2"/>
    </font>
    <font>
      <sz val="11"/>
      <color theme="0"/>
      <name val="Calibri"/>
      <family val="2"/>
    </font>
    <font>
      <b/>
      <sz val="14"/>
      <name val="Calibri"/>
      <family val="2"/>
    </font>
    <font>
      <i/>
      <sz val="10"/>
      <name val="Calibri"/>
      <family val="2"/>
    </font>
    <font>
      <b/>
      <sz val="11"/>
      <name val="Calibri"/>
      <family val="2"/>
    </font>
    <font>
      <b/>
      <sz val="11"/>
      <color rgb="FFFFFFFF"/>
      <name val="Calibri"/>
      <family val="2"/>
    </font>
    <font>
      <sz val="11"/>
      <color theme="0"/>
      <name val="Calibri"/>
      <family val="2"/>
      <scheme val="minor"/>
    </font>
    <font>
      <u/>
      <sz val="11"/>
      <name val="Calibri"/>
      <family val="2"/>
    </font>
    <font>
      <b/>
      <sz val="14"/>
      <color theme="5"/>
      <name val="Calibri"/>
      <family val="2"/>
    </font>
    <font>
      <b/>
      <sz val="14"/>
      <color theme="6" tint="-0.249977111117893"/>
      <name val="Calibri"/>
      <family val="2"/>
    </font>
    <font>
      <b/>
      <sz val="15"/>
      <color rgb="FFFFFFFF"/>
      <name val="Calibri"/>
      <family val="2"/>
    </font>
    <font>
      <b/>
      <sz val="16"/>
      <color rgb="FFFFFFFF"/>
      <name val="Calibri"/>
      <family val="2"/>
    </font>
    <font>
      <b/>
      <sz val="12"/>
      <color rgb="FFFFFFFF"/>
      <name val="Calibri"/>
      <family val="2"/>
    </font>
    <font>
      <b/>
      <sz val="10"/>
      <name val="Calibri"/>
      <family val="2"/>
    </font>
    <font>
      <sz val="10"/>
      <name val="Calibri"/>
      <family val="2"/>
    </font>
    <font>
      <i/>
      <sz val="10"/>
      <color rgb="FF666666"/>
      <name val="Calibri"/>
      <family val="2"/>
    </font>
  </fonts>
  <fills count="46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4472C4"/>
        <bgColor rgb="FF4472C4"/>
      </patternFill>
    </fill>
    <fill>
      <patternFill patternType="solid">
        <fgColor rgb="FFD6DCE5"/>
        <bgColor rgb="FFD6DCE5"/>
      </patternFill>
    </fill>
    <fill>
      <patternFill patternType="solid">
        <fgColor rgb="FFFFC000"/>
        <bgColor rgb="FFFFC000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FF2CC"/>
      </patternFill>
    </fill>
    <fill>
      <patternFill patternType="solid">
        <fgColor theme="0" tint="-4.9989318521683403E-2"/>
        <bgColor rgb="FFFFF2CC"/>
      </patternFill>
    </fill>
    <fill>
      <patternFill patternType="solid">
        <fgColor theme="0" tint="-0.14999847407452621"/>
        <bgColor rgb="FFFFF2CC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A975"/>
        <bgColor rgb="FFFFF2CC"/>
      </patternFill>
    </fill>
    <fill>
      <patternFill patternType="solid">
        <fgColor rgb="FFEFBF04"/>
        <bgColor rgb="FFFFF2CC"/>
      </patternFill>
    </fill>
    <fill>
      <patternFill patternType="solid">
        <fgColor rgb="FFDDA975"/>
        <bgColor rgb="FFE2EFDA"/>
      </patternFill>
    </fill>
    <fill>
      <patternFill patternType="solid">
        <fgColor theme="0" tint="-0.14999847407452621"/>
        <bgColor rgb="FFE2EFDA"/>
      </patternFill>
    </fill>
    <fill>
      <patternFill patternType="solid">
        <fgColor theme="0" tint="-4.9989318521683403E-2"/>
        <bgColor rgb="FFE2EFDA"/>
      </patternFill>
    </fill>
    <fill>
      <patternFill patternType="solid">
        <fgColor rgb="FFEFBF04"/>
        <bgColor rgb="FFE2EFDA"/>
      </patternFill>
    </fill>
    <fill>
      <patternFill patternType="solid">
        <fgColor rgb="FFDDA975"/>
        <bgColor indexed="64"/>
      </patternFill>
    </fill>
    <fill>
      <patternFill patternType="solid">
        <fgColor rgb="FFEFBF0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rgb="FFE2EFDA"/>
      </patternFill>
    </fill>
    <fill>
      <patternFill patternType="solid">
        <fgColor rgb="FF4472C4"/>
        <bgColor rgb="FF4472C4"/>
      </patternFill>
    </fill>
    <fill>
      <patternFill patternType="solid">
        <fgColor rgb="FFCD7F32"/>
        <bgColor rgb="FFCD7F32"/>
      </patternFill>
    </fill>
    <fill>
      <patternFill patternType="solid">
        <fgColor rgb="FFFFF2CC"/>
        <bgColor rgb="FFFFF2CC"/>
      </patternFill>
    </fill>
    <fill>
      <patternFill patternType="solid">
        <fgColor rgb="FFC0C0C0"/>
        <bgColor rgb="FFC0C0C0"/>
      </patternFill>
    </fill>
    <fill>
      <patternFill patternType="solid">
        <fgColor rgb="FFFFD700"/>
        <bgColor rgb="FFFFD700"/>
      </patternFill>
    </fill>
    <fill>
      <patternFill patternType="solid">
        <fgColor rgb="FFE5E4E2"/>
        <bgColor rgb="FFE5E4E2"/>
      </patternFill>
    </fill>
    <fill>
      <patternFill patternType="solid">
        <fgColor rgb="FFE2EFDA"/>
        <bgColor rgb="FFE2EFDA"/>
      </patternFill>
    </fill>
    <fill>
      <patternFill patternType="solid">
        <fgColor rgb="FFD9D9D9"/>
        <bgColor rgb="FFFFF2CC"/>
      </patternFill>
    </fill>
    <fill>
      <patternFill patternType="solid">
        <fgColor rgb="FFF2F2F2"/>
        <bgColor rgb="FFFFF2CC"/>
      </patternFill>
    </fill>
    <fill>
      <patternFill patternType="solid">
        <fgColor rgb="FFD9D9D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1"/>
        <bgColor rgb="FF4472C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D6DCE4"/>
        <bgColor rgb="FFD6DCE4"/>
      </patternFill>
    </fill>
    <fill>
      <patternFill patternType="solid">
        <fgColor rgb="FFF2F2F2"/>
        <bgColor rgb="FFF2F2F2"/>
      </patternFill>
    </fill>
    <fill>
      <patternFill patternType="solid">
        <fgColor rgb="FFC65911"/>
        <bgColor rgb="FFC65911"/>
      </patternFill>
    </fill>
    <fill>
      <patternFill patternType="solid">
        <fgColor rgb="FFFFF2CC"/>
        <bgColor rgb="FFFFF2CC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7"/>
    <xf numFmtId="9" fontId="15" fillId="0" borderId="7"/>
    <xf numFmtId="44" fontId="15" fillId="0" borderId="7"/>
  </cellStyleXfs>
  <cellXfs count="222">
    <xf numFmtId="0" fontId="0" fillId="0" borderId="0" xfId="0" applyBorder="1"/>
    <xf numFmtId="0" fontId="2" fillId="0" borderId="0" xfId="0" applyFont="1" applyBorder="1"/>
    <xf numFmtId="0" fontId="3" fillId="2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0" fillId="3" borderId="1" xfId="0" applyFill="1" applyBorder="1" applyAlignment="1">
      <alignment horizontal="center"/>
    </xf>
    <xf numFmtId="9" fontId="0" fillId="3" borderId="1" xfId="0" applyNumberFormat="1" applyFill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5" fillId="0" borderId="1" xfId="0" applyFont="1" applyBorder="1"/>
    <xf numFmtId="165" fontId="0" fillId="4" borderId="1" xfId="0" applyNumberFormat="1" applyFill="1" applyBorder="1" applyAlignment="1">
      <alignment horizontal="center"/>
    </xf>
    <xf numFmtId="165" fontId="4" fillId="4" borderId="1" xfId="0" applyNumberFormat="1" applyFont="1" applyFill="1" applyBorder="1" applyAlignment="1">
      <alignment horizontal="center"/>
    </xf>
    <xf numFmtId="0" fontId="6" fillId="0" borderId="1" xfId="0" applyFont="1" applyBorder="1"/>
    <xf numFmtId="2" fontId="0" fillId="3" borderId="1" xfId="0" applyNumberFormat="1" applyFill="1" applyBorder="1" applyAlignment="1">
      <alignment horizontal="center"/>
    </xf>
    <xf numFmtId="0" fontId="7" fillId="0" borderId="0" xfId="0" applyFont="1" applyBorder="1"/>
    <xf numFmtId="0" fontId="8" fillId="0" borderId="0" xfId="0" applyFont="1" applyBorder="1"/>
    <xf numFmtId="0" fontId="9" fillId="5" borderId="2" xfId="0" applyFont="1" applyFill="1" applyBorder="1" applyAlignment="1">
      <alignment horizontal="center"/>
    </xf>
    <xf numFmtId="0" fontId="0" fillId="6" borderId="2" xfId="0" applyFill="1" applyBorder="1"/>
    <xf numFmtId="9" fontId="0" fillId="6" borderId="2" xfId="0" applyNumberFormat="1" applyFill="1" applyBorder="1" applyAlignment="1">
      <alignment horizontal="center"/>
    </xf>
    <xf numFmtId="0" fontId="10" fillId="7" borderId="2" xfId="0" applyFont="1" applyFill="1" applyBorder="1"/>
    <xf numFmtId="9" fontId="10" fillId="7" borderId="2" xfId="0" applyNumberFormat="1" applyFont="1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6" fillId="0" borderId="2" xfId="0" applyFont="1" applyBorder="1"/>
    <xf numFmtId="165" fontId="0" fillId="4" borderId="2" xfId="0" applyNumberFormat="1" applyFill="1" applyBorder="1" applyAlignment="1">
      <alignment horizontal="center"/>
    </xf>
    <xf numFmtId="0" fontId="0" fillId="9" borderId="0" xfId="0" applyFill="1" applyBorder="1"/>
    <xf numFmtId="0" fontId="0" fillId="0" borderId="1" xfId="0" applyBorder="1" applyAlignment="1">
      <alignment horizontal="center"/>
    </xf>
    <xf numFmtId="0" fontId="0" fillId="10" borderId="1" xfId="0" applyFill="1" applyBorder="1" applyAlignment="1">
      <alignment horizontal="center"/>
    </xf>
    <xf numFmtId="9" fontId="0" fillId="10" borderId="1" xfId="0" applyNumberFormat="1" applyFill="1" applyBorder="1" applyAlignment="1">
      <alignment horizontal="center"/>
    </xf>
    <xf numFmtId="165" fontId="0" fillId="10" borderId="1" xfId="0" applyNumberFormat="1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9" fontId="0" fillId="11" borderId="1" xfId="0" applyNumberFormat="1" applyFill="1" applyBorder="1" applyAlignment="1">
      <alignment horizontal="center"/>
    </xf>
    <xf numFmtId="165" fontId="0" fillId="11" borderId="1" xfId="0" applyNumberFormat="1" applyFill="1" applyBorder="1" applyAlignment="1">
      <alignment horizontal="center"/>
    </xf>
    <xf numFmtId="0" fontId="11" fillId="3" borderId="1" xfId="0" applyFont="1" applyFill="1" applyBorder="1" applyAlignment="1">
      <alignment horizontal="center"/>
    </xf>
    <xf numFmtId="0" fontId="11" fillId="4" borderId="1" xfId="0" applyFont="1" applyFill="1" applyBorder="1" applyAlignment="1">
      <alignment horizontal="center"/>
    </xf>
    <xf numFmtId="0" fontId="0" fillId="0" borderId="1" xfId="0" applyBorder="1" applyAlignment="1">
      <alignment horizontal="left"/>
    </xf>
    <xf numFmtId="2" fontId="0" fillId="11" borderId="1" xfId="0" applyNumberFormat="1" applyFill="1" applyBorder="1" applyAlignment="1">
      <alignment horizontal="center"/>
    </xf>
    <xf numFmtId="0" fontId="0" fillId="12" borderId="1" xfId="0" applyFill="1" applyBorder="1" applyAlignment="1">
      <alignment horizontal="left"/>
    </xf>
    <xf numFmtId="0" fontId="0" fillId="14" borderId="1" xfId="0" applyFill="1" applyBorder="1" applyAlignment="1">
      <alignment horizontal="center"/>
    </xf>
    <xf numFmtId="9" fontId="0" fillId="14" borderId="1" xfId="0" applyNumberFormat="1" applyFill="1" applyBorder="1" applyAlignment="1">
      <alignment horizontal="center"/>
    </xf>
    <xf numFmtId="165" fontId="0" fillId="14" borderId="1" xfId="0" applyNumberFormat="1" applyFill="1" applyBorder="1" applyAlignment="1">
      <alignment horizontal="center"/>
    </xf>
    <xf numFmtId="0" fontId="0" fillId="15" borderId="1" xfId="0" applyFill="1" applyBorder="1" applyAlignment="1">
      <alignment horizontal="center"/>
    </xf>
    <xf numFmtId="9" fontId="0" fillId="15" borderId="1" xfId="0" applyNumberFormat="1" applyFill="1" applyBorder="1" applyAlignment="1">
      <alignment horizontal="center"/>
    </xf>
    <xf numFmtId="165" fontId="0" fillId="15" borderId="1" xfId="0" applyNumberFormat="1" applyFill="1" applyBorder="1" applyAlignment="1">
      <alignment horizontal="center"/>
    </xf>
    <xf numFmtId="164" fontId="0" fillId="16" borderId="1" xfId="0" applyNumberFormat="1" applyFill="1" applyBorder="1" applyAlignment="1">
      <alignment horizontal="center"/>
    </xf>
    <xf numFmtId="164" fontId="0" fillId="17" borderId="1" xfId="0" applyNumberFormat="1" applyFill="1" applyBorder="1" applyAlignment="1">
      <alignment horizontal="center"/>
    </xf>
    <xf numFmtId="164" fontId="0" fillId="18" borderId="1" xfId="0" applyNumberFormat="1" applyFill="1" applyBorder="1" applyAlignment="1">
      <alignment horizontal="center"/>
    </xf>
    <xf numFmtId="164" fontId="0" fillId="19" borderId="1" xfId="0" applyNumberFormat="1" applyFill="1" applyBorder="1" applyAlignment="1">
      <alignment horizontal="center"/>
    </xf>
    <xf numFmtId="0" fontId="0" fillId="20" borderId="1" xfId="0" applyFill="1" applyBorder="1" applyAlignment="1">
      <alignment horizontal="left"/>
    </xf>
    <xf numFmtId="2" fontId="0" fillId="14" borderId="1" xfId="0" applyNumberFormat="1" applyFill="1" applyBorder="1" applyAlignment="1">
      <alignment horizontal="center"/>
    </xf>
    <xf numFmtId="0" fontId="12" fillId="13" borderId="1" xfId="0" applyFont="1" applyFill="1" applyBorder="1" applyAlignment="1">
      <alignment horizontal="left"/>
    </xf>
    <xf numFmtId="0" fontId="12" fillId="10" borderId="1" xfId="0" applyFont="1" applyFill="1" applyBorder="1" applyAlignment="1">
      <alignment horizontal="center"/>
    </xf>
    <xf numFmtId="9" fontId="12" fillId="10" borderId="1" xfId="0" applyNumberFormat="1" applyFont="1" applyFill="1" applyBorder="1" applyAlignment="1">
      <alignment horizontal="center"/>
    </xf>
    <xf numFmtId="2" fontId="12" fillId="10" borderId="1" xfId="0" applyNumberFormat="1" applyFont="1" applyFill="1" applyBorder="1" applyAlignment="1">
      <alignment horizontal="center"/>
    </xf>
    <xf numFmtId="0" fontId="0" fillId="21" borderId="1" xfId="0" applyFill="1" applyBorder="1" applyAlignment="1">
      <alignment horizontal="left"/>
    </xf>
    <xf numFmtId="2" fontId="0" fillId="15" borderId="1" xfId="0" applyNumberFormat="1" applyFill="1" applyBorder="1" applyAlignment="1">
      <alignment horizontal="center"/>
    </xf>
    <xf numFmtId="0" fontId="3" fillId="2" borderId="3" xfId="0" applyFont="1" applyFill="1" applyBorder="1" applyAlignment="1">
      <alignment horizontal="center" vertical="center" wrapText="1"/>
    </xf>
    <xf numFmtId="0" fontId="0" fillId="3" borderId="4" xfId="0" applyFill="1" applyBorder="1" applyAlignment="1">
      <alignment horizontal="center"/>
    </xf>
    <xf numFmtId="9" fontId="0" fillId="3" borderId="4" xfId="0" applyNumberFormat="1" applyFill="1" applyBorder="1" applyAlignment="1">
      <alignment horizontal="center"/>
    </xf>
    <xf numFmtId="165" fontId="0" fillId="3" borderId="4" xfId="0" applyNumberFormat="1" applyFill="1" applyBorder="1" applyAlignment="1">
      <alignment horizontal="center"/>
    </xf>
    <xf numFmtId="0" fontId="0" fillId="8" borderId="3" xfId="0" applyFill="1" applyBorder="1"/>
    <xf numFmtId="1" fontId="0" fillId="0" borderId="2" xfId="0" applyNumberFormat="1" applyBorder="1" applyAlignment="1">
      <alignment horizontal="center"/>
    </xf>
    <xf numFmtId="0" fontId="13" fillId="0" borderId="0" xfId="0" applyFont="1" applyBorder="1"/>
    <xf numFmtId="0" fontId="14" fillId="0" borderId="0" xfId="0" applyFont="1" applyBorder="1"/>
    <xf numFmtId="0" fontId="0" fillId="0" borderId="2" xfId="0" applyBorder="1"/>
    <xf numFmtId="0" fontId="3" fillId="2" borderId="2" xfId="0" applyFont="1" applyFill="1" applyBorder="1" applyAlignment="1">
      <alignment horizontal="center" vertical="center" wrapText="1"/>
    </xf>
    <xf numFmtId="0" fontId="0" fillId="4" borderId="2" xfId="0" applyFill="1" applyBorder="1" applyAlignment="1">
      <alignment horizontal="center"/>
    </xf>
    <xf numFmtId="165" fontId="0" fillId="0" borderId="0" xfId="0" applyNumberFormat="1" applyBorder="1"/>
    <xf numFmtId="0" fontId="2" fillId="22" borderId="0" xfId="0" applyFont="1" applyFill="1" applyBorder="1"/>
    <xf numFmtId="0" fontId="5" fillId="22" borderId="1" xfId="0" applyFont="1" applyFill="1" applyBorder="1"/>
    <xf numFmtId="165" fontId="0" fillId="4" borderId="5" xfId="0" applyNumberFormat="1" applyFill="1" applyBorder="1" applyAlignment="1">
      <alignment horizontal="center"/>
    </xf>
    <xf numFmtId="0" fontId="2" fillId="0" borderId="0" xfId="0" quotePrefix="1" applyFont="1" applyBorder="1"/>
    <xf numFmtId="0" fontId="4" fillId="12" borderId="5" xfId="0" applyFont="1" applyFill="1" applyBorder="1"/>
    <xf numFmtId="9" fontId="15" fillId="12" borderId="5" xfId="1" applyFill="1" applyBorder="1" applyAlignment="1">
      <alignment horizontal="center"/>
    </xf>
    <xf numFmtId="0" fontId="4" fillId="12" borderId="5" xfId="0" applyFont="1" applyFill="1" applyBorder="1" applyAlignment="1">
      <alignment horizontal="left"/>
    </xf>
    <xf numFmtId="0" fontId="3" fillId="2" borderId="5" xfId="0" applyFont="1" applyFill="1" applyBorder="1" applyAlignment="1">
      <alignment horizontal="center" vertical="center" wrapText="1"/>
    </xf>
    <xf numFmtId="0" fontId="0" fillId="9" borderId="5" xfId="0" applyFill="1" applyBorder="1" applyAlignment="1">
      <alignment horizontal="center"/>
    </xf>
    <xf numFmtId="165" fontId="0" fillId="9" borderId="5" xfId="0" applyNumberFormat="1" applyFill="1" applyBorder="1" applyAlignment="1">
      <alignment horizontal="center"/>
    </xf>
    <xf numFmtId="0" fontId="0" fillId="8" borderId="5" xfId="0" applyFill="1" applyBorder="1"/>
    <xf numFmtId="0" fontId="0" fillId="0" borderId="4" xfId="0" applyBorder="1"/>
    <xf numFmtId="9" fontId="0" fillId="9" borderId="5" xfId="0" applyNumberFormat="1" applyFill="1" applyBorder="1" applyAlignment="1">
      <alignment horizontal="center"/>
    </xf>
    <xf numFmtId="0" fontId="0" fillId="0" borderId="6" xfId="0" applyBorder="1"/>
    <xf numFmtId="0" fontId="0" fillId="0" borderId="6" xfId="0" applyBorder="1" applyAlignment="1">
      <alignment horizontal="center" vertical="center"/>
    </xf>
    <xf numFmtId="0" fontId="18" fillId="0" borderId="7" xfId="0" applyFont="1"/>
    <xf numFmtId="0" fontId="19" fillId="23" borderId="8" xfId="0" applyFont="1" applyFill="1" applyBorder="1" applyAlignment="1">
      <alignment horizontal="center" vertical="center"/>
    </xf>
    <xf numFmtId="0" fontId="18" fillId="0" borderId="8" xfId="0" applyFont="1" applyBorder="1" applyAlignment="1">
      <alignment horizontal="center" vertical="center"/>
    </xf>
    <xf numFmtId="0" fontId="0" fillId="0" borderId="7" xfId="0"/>
    <xf numFmtId="0" fontId="4" fillId="0" borderId="7" xfId="0" applyFont="1"/>
    <xf numFmtId="0" fontId="9" fillId="23" borderId="8" xfId="0" applyFont="1" applyFill="1" applyBorder="1" applyAlignment="1">
      <alignment horizontal="center" vertical="center"/>
    </xf>
    <xf numFmtId="0" fontId="17" fillId="24" borderId="8" xfId="0" applyFont="1" applyFill="1" applyBorder="1" applyAlignment="1">
      <alignment horizontal="left" vertical="center"/>
    </xf>
    <xf numFmtId="9" fontId="15" fillId="0" borderId="7" xfId="1" applyAlignment="1">
      <alignment horizontal="center"/>
    </xf>
    <xf numFmtId="164" fontId="0" fillId="25" borderId="8" xfId="0" applyNumberFormat="1" applyFill="1" applyBorder="1" applyAlignment="1">
      <alignment horizontal="center"/>
    </xf>
    <xf numFmtId="9" fontId="15" fillId="0" borderId="8" xfId="1" applyBorder="1" applyAlignment="1">
      <alignment horizontal="center"/>
    </xf>
    <xf numFmtId="164" fontId="18" fillId="12" borderId="8" xfId="0" applyNumberFormat="1" applyFont="1" applyFill="1" applyBorder="1" applyAlignment="1">
      <alignment horizontal="center"/>
    </xf>
    <xf numFmtId="9" fontId="15" fillId="0" borderId="7" xfId="1"/>
    <xf numFmtId="9" fontId="15" fillId="12" borderId="8" xfId="1" applyFill="1" applyBorder="1" applyAlignment="1">
      <alignment horizontal="center"/>
    </xf>
    <xf numFmtId="164" fontId="18" fillId="0" borderId="8" xfId="0" applyNumberFormat="1" applyFont="1" applyBorder="1" applyAlignment="1">
      <alignment horizontal="center" vertical="center"/>
    </xf>
    <xf numFmtId="164" fontId="20" fillId="24" borderId="8" xfId="0" applyNumberFormat="1" applyFont="1" applyFill="1" applyBorder="1" applyAlignment="1">
      <alignment horizontal="center" vertical="center"/>
    </xf>
    <xf numFmtId="9" fontId="20" fillId="24" borderId="8" xfId="0" applyNumberFormat="1" applyFont="1" applyFill="1" applyBorder="1" applyAlignment="1">
      <alignment horizontal="center" vertical="center"/>
    </xf>
    <xf numFmtId="2" fontId="0" fillId="0" borderId="0" xfId="0" applyNumberFormat="1" applyBorder="1"/>
    <xf numFmtId="9" fontId="0" fillId="0" borderId="0" xfId="0" applyNumberFormat="1" applyBorder="1" applyAlignment="1">
      <alignment horizontal="center"/>
    </xf>
    <xf numFmtId="0" fontId="0" fillId="0" borderId="0" xfId="0" applyBorder="1" applyAlignment="1">
      <alignment horizontal="center"/>
    </xf>
    <xf numFmtId="2" fontId="0" fillId="0" borderId="0" xfId="0" applyNumberFormat="1" applyBorder="1" applyAlignment="1">
      <alignment horizontal="center"/>
    </xf>
    <xf numFmtId="0" fontId="21" fillId="0" borderId="0" xfId="0" applyFont="1" applyBorder="1"/>
    <xf numFmtId="0" fontId="22" fillId="0" borderId="0" xfId="0" applyFont="1" applyBorder="1"/>
    <xf numFmtId="0" fontId="23" fillId="0" borderId="0" xfId="0" applyFont="1" applyBorder="1"/>
    <xf numFmtId="0" fontId="24" fillId="26" borderId="9" xfId="0" applyFont="1" applyFill="1" applyBorder="1" applyAlignment="1">
      <alignment horizontal="center" vertical="center"/>
    </xf>
    <xf numFmtId="0" fontId="0" fillId="27" borderId="9" xfId="0" applyFill="1" applyBorder="1" applyAlignment="1">
      <alignment horizontal="center" vertical="center"/>
    </xf>
    <xf numFmtId="166" fontId="0" fillId="28" borderId="9" xfId="0" applyNumberFormat="1" applyFill="1" applyBorder="1" applyAlignment="1">
      <alignment horizontal="center" vertical="center"/>
    </xf>
    <xf numFmtId="0" fontId="0" fillId="29" borderId="9" xfId="0" applyFill="1" applyBorder="1" applyAlignment="1">
      <alignment horizontal="center" vertical="center"/>
    </xf>
    <xf numFmtId="0" fontId="0" fillId="30" borderId="9" xfId="0" applyFill="1" applyBorder="1" applyAlignment="1">
      <alignment horizontal="center" vertical="center"/>
    </xf>
    <xf numFmtId="0" fontId="0" fillId="31" borderId="9" xfId="0" applyFill="1" applyBorder="1" applyAlignment="1">
      <alignment horizontal="center" vertical="center"/>
    </xf>
    <xf numFmtId="9" fontId="0" fillId="28" borderId="9" xfId="0" applyNumberFormat="1" applyFill="1" applyBorder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9" fontId="0" fillId="0" borderId="9" xfId="0" applyNumberFormat="1" applyBorder="1" applyAlignment="1">
      <alignment horizontal="center" vertical="center"/>
    </xf>
    <xf numFmtId="0" fontId="0" fillId="28" borderId="9" xfId="0" applyFill="1" applyBorder="1" applyAlignment="1">
      <alignment horizontal="center" vertical="center"/>
    </xf>
    <xf numFmtId="9" fontId="0" fillId="32" borderId="9" xfId="0" applyNumberFormat="1" applyFill="1" applyBorder="1" applyAlignment="1">
      <alignment horizontal="center" vertical="center"/>
    </xf>
    <xf numFmtId="167" fontId="0" fillId="32" borderId="9" xfId="0" applyNumberFormat="1" applyFill="1" applyBorder="1" applyAlignment="1">
      <alignment horizontal="center" vertical="center"/>
    </xf>
    <xf numFmtId="165" fontId="0" fillId="28" borderId="9" xfId="0" applyNumberFormat="1" applyFill="1" applyBorder="1" applyAlignment="1">
      <alignment horizontal="center" vertical="center"/>
    </xf>
    <xf numFmtId="0" fontId="4" fillId="0" borderId="0" xfId="0" applyFont="1" applyBorder="1"/>
    <xf numFmtId="0" fontId="14" fillId="0" borderId="7" xfId="0" applyFont="1"/>
    <xf numFmtId="0" fontId="9" fillId="26" borderId="7" xfId="0" applyFont="1" applyFill="1" applyAlignment="1">
      <alignment horizontal="center" vertical="center"/>
    </xf>
    <xf numFmtId="166" fontId="0" fillId="28" borderId="7" xfId="0" applyNumberFormat="1" applyFill="1" applyAlignment="1">
      <alignment horizontal="center" vertical="center"/>
    </xf>
    <xf numFmtId="0" fontId="4" fillId="0" borderId="9" xfId="0" applyFont="1" applyBorder="1"/>
    <xf numFmtId="0" fontId="5" fillId="0" borderId="9" xfId="0" applyFont="1" applyBorder="1"/>
    <xf numFmtId="9" fontId="15" fillId="0" borderId="9" xfId="1" applyBorder="1" applyAlignment="1">
      <alignment horizontal="center"/>
    </xf>
    <xf numFmtId="0" fontId="0" fillId="0" borderId="9" xfId="0" applyBorder="1" applyAlignment="1">
      <alignment horizontal="center"/>
    </xf>
    <xf numFmtId="165" fontId="20" fillId="24" borderId="8" xfId="0" applyNumberFormat="1" applyFont="1" applyFill="1" applyBorder="1" applyAlignment="1">
      <alignment horizontal="center" vertical="center"/>
    </xf>
    <xf numFmtId="0" fontId="18" fillId="0" borderId="9" xfId="0" applyFont="1" applyBorder="1"/>
    <xf numFmtId="0" fontId="17" fillId="8" borderId="7" xfId="0" applyFont="1" applyFill="1" applyAlignment="1">
      <alignment horizontal="left" vertical="center"/>
    </xf>
    <xf numFmtId="165" fontId="20" fillId="8" borderId="7" xfId="0" applyNumberFormat="1" applyFont="1" applyFill="1" applyAlignment="1">
      <alignment horizontal="center" vertical="center"/>
    </xf>
    <xf numFmtId="9" fontId="18" fillId="0" borderId="7" xfId="0" applyNumberFormat="1" applyFont="1" applyAlignment="1">
      <alignment horizontal="center"/>
    </xf>
    <xf numFmtId="0" fontId="0" fillId="8" borderId="7" xfId="0" applyFill="1"/>
    <xf numFmtId="0" fontId="0" fillId="9" borderId="7" xfId="0" applyFill="1" applyAlignment="1">
      <alignment horizontal="center"/>
    </xf>
    <xf numFmtId="9" fontId="0" fillId="9" borderId="7" xfId="0" applyNumberFormat="1" applyFill="1" applyAlignment="1">
      <alignment horizontal="center"/>
    </xf>
    <xf numFmtId="165" fontId="0" fillId="9" borderId="7" xfId="0" applyNumberFormat="1" applyFill="1" applyAlignment="1">
      <alignment horizontal="center"/>
    </xf>
    <xf numFmtId="0" fontId="0" fillId="3" borderId="11" xfId="0" applyFill="1" applyBorder="1" applyAlignment="1">
      <alignment horizontal="center"/>
    </xf>
    <xf numFmtId="0" fontId="0" fillId="33" borderId="1" xfId="0" applyFill="1" applyBorder="1" applyAlignment="1">
      <alignment horizontal="center"/>
    </xf>
    <xf numFmtId="0" fontId="12" fillId="34" borderId="1" xfId="0" applyFont="1" applyFill="1" applyBorder="1" applyAlignment="1">
      <alignment horizontal="center"/>
    </xf>
    <xf numFmtId="0" fontId="0" fillId="14" borderId="9" xfId="0" applyFill="1" applyBorder="1" applyAlignment="1">
      <alignment horizontal="center"/>
    </xf>
    <xf numFmtId="9" fontId="0" fillId="14" borderId="9" xfId="0" applyNumberFormat="1" applyFill="1" applyBorder="1" applyAlignment="1">
      <alignment horizontal="center"/>
    </xf>
    <xf numFmtId="0" fontId="0" fillId="20" borderId="9" xfId="0" applyFill="1" applyBorder="1" applyAlignment="1">
      <alignment horizontal="center"/>
    </xf>
    <xf numFmtId="165" fontId="0" fillId="14" borderId="9" xfId="0" applyNumberFormat="1" applyFill="1" applyBorder="1" applyAlignment="1">
      <alignment horizontal="center"/>
    </xf>
    <xf numFmtId="0" fontId="0" fillId="33" borderId="9" xfId="0" applyFill="1" applyBorder="1" applyAlignment="1">
      <alignment horizontal="center"/>
    </xf>
    <xf numFmtId="9" fontId="0" fillId="33" borderId="9" xfId="0" applyNumberFormat="1" applyFill="1" applyBorder="1" applyAlignment="1">
      <alignment horizontal="center"/>
    </xf>
    <xf numFmtId="165" fontId="0" fillId="33" borderId="9" xfId="0" applyNumberFormat="1" applyFill="1" applyBorder="1" applyAlignment="1">
      <alignment horizontal="center"/>
    </xf>
    <xf numFmtId="0" fontId="0" fillId="15" borderId="9" xfId="0" applyFill="1" applyBorder="1" applyAlignment="1">
      <alignment horizontal="center"/>
    </xf>
    <xf numFmtId="9" fontId="0" fillId="15" borderId="9" xfId="0" applyNumberFormat="1" applyFill="1" applyBorder="1" applyAlignment="1">
      <alignment horizontal="center"/>
    </xf>
    <xf numFmtId="165" fontId="0" fillId="15" borderId="9" xfId="0" applyNumberFormat="1" applyFill="1" applyBorder="1" applyAlignment="1">
      <alignment horizontal="center"/>
    </xf>
    <xf numFmtId="0" fontId="0" fillId="34" borderId="9" xfId="0" applyFill="1" applyBorder="1" applyAlignment="1">
      <alignment horizontal="center"/>
    </xf>
    <xf numFmtId="9" fontId="0" fillId="34" borderId="9" xfId="0" applyNumberFormat="1" applyFill="1" applyBorder="1" applyAlignment="1">
      <alignment horizontal="center"/>
    </xf>
    <xf numFmtId="165" fontId="0" fillId="34" borderId="9" xfId="0" applyNumberFormat="1" applyFill="1" applyBorder="1" applyAlignment="1">
      <alignment horizontal="center"/>
    </xf>
    <xf numFmtId="0" fontId="0" fillId="35" borderId="9" xfId="0" applyFill="1" applyBorder="1" applyAlignment="1">
      <alignment horizontal="center"/>
    </xf>
    <xf numFmtId="0" fontId="0" fillId="21" borderId="9" xfId="0" applyFill="1" applyBorder="1" applyAlignment="1">
      <alignment horizontal="center"/>
    </xf>
    <xf numFmtId="0" fontId="0" fillId="36" borderId="9" xfId="0" applyFill="1" applyBorder="1" applyAlignment="1">
      <alignment horizontal="center"/>
    </xf>
    <xf numFmtId="0" fontId="4" fillId="0" borderId="7" xfId="0" applyFont="1" applyAlignment="1">
      <alignment horizontal="center"/>
    </xf>
    <xf numFmtId="0" fontId="26" fillId="0" borderId="7" xfId="0" applyFont="1"/>
    <xf numFmtId="0" fontId="18" fillId="0" borderId="7" xfId="0" applyFont="1" applyAlignment="1">
      <alignment horizontal="center"/>
    </xf>
    <xf numFmtId="9" fontId="0" fillId="0" borderId="9" xfId="0" applyNumberFormat="1" applyBorder="1" applyAlignment="1">
      <alignment horizontal="center"/>
    </xf>
    <xf numFmtId="9" fontId="25" fillId="24" borderId="7" xfId="1" applyFont="1" applyFill="1" applyAlignment="1">
      <alignment horizontal="center"/>
    </xf>
    <xf numFmtId="0" fontId="17" fillId="37" borderId="9" xfId="0" applyFont="1" applyFill="1" applyBorder="1" applyAlignment="1">
      <alignment horizontal="left" vertical="center"/>
    </xf>
    <xf numFmtId="0" fontId="9" fillId="23" borderId="9" xfId="0" applyFont="1" applyFill="1" applyBorder="1" applyAlignment="1">
      <alignment horizontal="center" vertical="center"/>
    </xf>
    <xf numFmtId="0" fontId="18" fillId="38" borderId="9" xfId="0" applyFont="1" applyFill="1" applyBorder="1"/>
    <xf numFmtId="9" fontId="15" fillId="38" borderId="9" xfId="1" applyFill="1" applyBorder="1" applyAlignment="1">
      <alignment horizontal="center"/>
    </xf>
    <xf numFmtId="165" fontId="0" fillId="25" borderId="1" xfId="0" applyNumberFormat="1" applyFill="1" applyBorder="1" applyAlignment="1">
      <alignment horizontal="center"/>
    </xf>
    <xf numFmtId="168" fontId="0" fillId="17" borderId="5" xfId="0" applyNumberFormat="1" applyFill="1" applyBorder="1" applyAlignment="1">
      <alignment horizontal="center"/>
    </xf>
    <xf numFmtId="0" fontId="4" fillId="0" borderId="8" xfId="0" applyFont="1" applyBorder="1" applyAlignment="1">
      <alignment horizontal="center" vertical="center"/>
    </xf>
    <xf numFmtId="0" fontId="18" fillId="8" borderId="7" xfId="0" applyFont="1" applyFill="1"/>
    <xf numFmtId="0" fontId="27" fillId="0" borderId="0" xfId="0" quotePrefix="1" applyFont="1" applyBorder="1"/>
    <xf numFmtId="0" fontId="28" fillId="0" borderId="0" xfId="0" quotePrefix="1" applyFont="1" applyBorder="1"/>
    <xf numFmtId="165" fontId="0" fillId="25" borderId="8" xfId="0" applyNumberFormat="1" applyFill="1" applyBorder="1" applyAlignment="1">
      <alignment horizontal="center"/>
    </xf>
    <xf numFmtId="0" fontId="4" fillId="0" borderId="9" xfId="0" applyFont="1" applyBorder="1" applyAlignment="1">
      <alignment horizontal="center" vertical="center"/>
    </xf>
    <xf numFmtId="0" fontId="17" fillId="24" borderId="4" xfId="0" applyFont="1" applyFill="1" applyBorder="1" applyAlignment="1">
      <alignment horizontal="left" vertical="center"/>
    </xf>
    <xf numFmtId="165" fontId="20" fillId="24" borderId="4" xfId="0" applyNumberFormat="1" applyFont="1" applyFill="1" applyBorder="1" applyAlignment="1">
      <alignment horizontal="center" vertical="center"/>
    </xf>
    <xf numFmtId="9" fontId="20" fillId="24" borderId="4" xfId="0" applyNumberFormat="1" applyFont="1" applyFill="1" applyBorder="1" applyAlignment="1">
      <alignment horizontal="center" vertical="center"/>
    </xf>
    <xf numFmtId="0" fontId="4" fillId="0" borderId="7" xfId="0" applyFont="1" applyAlignment="1">
      <alignment horizontal="center" vertical="center"/>
    </xf>
    <xf numFmtId="165" fontId="18" fillId="0" borderId="9" xfId="0" applyNumberFormat="1" applyFont="1" applyBorder="1" applyAlignment="1">
      <alignment horizontal="center"/>
    </xf>
    <xf numFmtId="164" fontId="0" fillId="25" borderId="7" xfId="0" applyNumberFormat="1" applyFill="1" applyAlignment="1">
      <alignment horizontal="center"/>
    </xf>
    <xf numFmtId="0" fontId="18" fillId="38" borderId="10" xfId="0" applyFont="1" applyFill="1" applyBorder="1"/>
    <xf numFmtId="9" fontId="15" fillId="38" borderId="10" xfId="1" applyFill="1" applyBorder="1" applyAlignment="1">
      <alignment horizontal="center"/>
    </xf>
    <xf numFmtId="0" fontId="18" fillId="0" borderId="14" xfId="0" applyFont="1" applyBorder="1"/>
    <xf numFmtId="0" fontId="18" fillId="0" borderId="14" xfId="0" applyFont="1" applyBorder="1" applyAlignment="1">
      <alignment horizontal="center"/>
    </xf>
    <xf numFmtId="0" fontId="4" fillId="0" borderId="12" xfId="0" applyFont="1" applyBorder="1"/>
    <xf numFmtId="164" fontId="0" fillId="25" borderId="14" xfId="0" applyNumberFormat="1" applyFill="1" applyBorder="1" applyAlignment="1">
      <alignment horizontal="center"/>
    </xf>
    <xf numFmtId="0" fontId="14" fillId="0" borderId="12" xfId="0" applyFont="1" applyBorder="1"/>
    <xf numFmtId="169" fontId="0" fillId="25" borderId="12" xfId="2" applyNumberFormat="1" applyFont="1" applyFill="1" applyBorder="1" applyAlignment="1">
      <alignment horizontal="center"/>
    </xf>
    <xf numFmtId="0" fontId="18" fillId="8" borderId="9" xfId="0" applyFont="1" applyFill="1" applyBorder="1"/>
    <xf numFmtId="9" fontId="15" fillId="8" borderId="9" xfId="1" applyFill="1" applyBorder="1" applyAlignment="1">
      <alignment horizontal="center"/>
    </xf>
    <xf numFmtId="9" fontId="18" fillId="39" borderId="7" xfId="0" applyNumberFormat="1" applyFont="1" applyFill="1" applyAlignment="1">
      <alignment horizontal="center"/>
    </xf>
    <xf numFmtId="0" fontId="32" fillId="42" borderId="0" xfId="0" applyFont="1" applyFill="1" applyBorder="1"/>
    <xf numFmtId="0" fontId="33" fillId="0" borderId="0" xfId="0" applyFont="1" applyBorder="1" applyAlignment="1">
      <alignment horizontal="left" vertical="center" wrapText="1"/>
    </xf>
    <xf numFmtId="0" fontId="33" fillId="43" borderId="0" xfId="0" applyFont="1" applyFill="1" applyBorder="1" applyAlignment="1">
      <alignment horizontal="left" vertical="center" wrapText="1"/>
    </xf>
    <xf numFmtId="0" fontId="1" fillId="0" borderId="7" xfId="0" applyFont="1"/>
    <xf numFmtId="0" fontId="0" fillId="0" borderId="1" xfId="0" applyBorder="1" applyAlignment="1">
      <alignment vertical="center"/>
    </xf>
    <xf numFmtId="0" fontId="0" fillId="0" borderId="2" xfId="0" applyBorder="1" applyAlignment="1">
      <alignment vertical="center" wrapText="1"/>
    </xf>
    <xf numFmtId="164" fontId="0" fillId="3" borderId="1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2" xfId="0" applyBorder="1" applyAlignment="1">
      <alignment vertical="center"/>
    </xf>
    <xf numFmtId="0" fontId="0" fillId="0" borderId="2" xfId="0" applyBorder="1" applyAlignment="1">
      <alignment horizontal="center" vertical="center"/>
    </xf>
    <xf numFmtId="0" fontId="33" fillId="0" borderId="7" xfId="0" applyFont="1" applyAlignment="1">
      <alignment horizontal="left" vertical="center" wrapText="1"/>
    </xf>
    <xf numFmtId="165" fontId="0" fillId="0" borderId="7" xfId="0" applyNumberFormat="1"/>
    <xf numFmtId="0" fontId="0" fillId="0" borderId="9" xfId="0" applyBorder="1"/>
    <xf numFmtId="0" fontId="0" fillId="4" borderId="9" xfId="0" applyFill="1" applyBorder="1" applyAlignment="1">
      <alignment horizontal="center"/>
    </xf>
    <xf numFmtId="165" fontId="0" fillId="4" borderId="9" xfId="0" applyNumberFormat="1" applyFill="1" applyBorder="1" applyAlignment="1">
      <alignment horizontal="center"/>
    </xf>
    <xf numFmtId="0" fontId="0" fillId="0" borderId="9" xfId="0" applyBorder="1" applyAlignment="1">
      <alignment vertical="center" wrapText="1"/>
    </xf>
    <xf numFmtId="165" fontId="0" fillId="4" borderId="9" xfId="0" applyNumberFormat="1" applyFill="1" applyBorder="1" applyAlignment="1">
      <alignment horizontal="center" vertical="center"/>
    </xf>
    <xf numFmtId="164" fontId="0" fillId="25" borderId="9" xfId="0" applyNumberFormat="1" applyFill="1" applyBorder="1" applyAlignment="1">
      <alignment horizontal="center"/>
    </xf>
    <xf numFmtId="0" fontId="33" fillId="43" borderId="0" xfId="0" applyFont="1" applyFill="1" applyBorder="1" applyAlignment="1">
      <alignment horizontal="left" vertical="center" wrapText="1"/>
    </xf>
    <xf numFmtId="0" fontId="0" fillId="0" borderId="0" xfId="0" applyBorder="1"/>
    <xf numFmtId="0" fontId="34" fillId="45" borderId="0" xfId="0" applyFont="1" applyFill="1" applyBorder="1" applyAlignment="1">
      <alignment horizontal="left" vertical="center" wrapText="1"/>
    </xf>
    <xf numFmtId="0" fontId="31" fillId="41" borderId="0" xfId="0" applyFont="1" applyFill="1" applyBorder="1"/>
    <xf numFmtId="0" fontId="33" fillId="0" borderId="0" xfId="0" applyFont="1" applyBorder="1" applyAlignment="1">
      <alignment horizontal="left" vertical="center" wrapText="1"/>
    </xf>
    <xf numFmtId="0" fontId="0" fillId="43" borderId="0" xfId="0" applyFill="1" applyBorder="1"/>
    <xf numFmtId="0" fontId="32" fillId="42" borderId="0" xfId="0" applyFont="1" applyFill="1" applyBorder="1"/>
    <xf numFmtId="0" fontId="30" fillId="40" borderId="0" xfId="0" applyFont="1" applyFill="1" applyBorder="1" applyAlignment="1">
      <alignment horizontal="center" vertical="center"/>
    </xf>
    <xf numFmtId="0" fontId="31" fillId="44" borderId="0" xfId="0" applyFont="1" applyFill="1" applyBorder="1"/>
    <xf numFmtId="0" fontId="1" fillId="0" borderId="7" xfId="0" applyFont="1"/>
    <xf numFmtId="0" fontId="3" fillId="2" borderId="11" xfId="0" applyFont="1" applyFill="1" applyBorder="1" applyAlignment="1">
      <alignment horizontal="center" vertical="center" wrapText="1"/>
    </xf>
    <xf numFmtId="0" fontId="3" fillId="2" borderId="12" xfId="0" applyFont="1" applyFill="1" applyBorder="1" applyAlignment="1">
      <alignment horizontal="center" vertical="center" wrapText="1"/>
    </xf>
    <xf numFmtId="0" fontId="1" fillId="0" borderId="7" xfId="0" quotePrefix="1" applyFont="1"/>
    <xf numFmtId="0" fontId="16" fillId="0" borderId="7" xfId="0" applyFont="1"/>
    <xf numFmtId="0" fontId="29" fillId="23" borderId="9" xfId="0" applyFont="1" applyFill="1" applyBorder="1" applyAlignment="1">
      <alignment horizontal="center" vertical="center"/>
    </xf>
    <xf numFmtId="0" fontId="0" fillId="0" borderId="13" xfId="0" applyBorder="1"/>
  </cellXfs>
  <cellStyles count="3">
    <cellStyle name="Currency" xfId="2" builtinId="4"/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48"/>
  <sheetViews>
    <sheetView zoomScale="145" zoomScaleNormal="145" workbookViewId="0">
      <selection sqref="A1:D1"/>
    </sheetView>
  </sheetViews>
  <sheetFormatPr defaultRowHeight="15" x14ac:dyDescent="0.25"/>
  <cols>
    <col min="1" max="1" width="18" customWidth="1"/>
    <col min="2" max="2" width="15" customWidth="1"/>
    <col min="3" max="3" width="35" customWidth="1"/>
    <col min="4" max="4" width="20" customWidth="1"/>
  </cols>
  <sheetData>
    <row r="1" spans="1:4" ht="30" customHeight="1" x14ac:dyDescent="0.25">
      <c r="A1" s="213" t="s">
        <v>0</v>
      </c>
      <c r="B1" s="207"/>
      <c r="C1" s="207"/>
      <c r="D1" s="207"/>
    </row>
    <row r="3" spans="1:4" ht="15.75" x14ac:dyDescent="0.25">
      <c r="A3" s="209" t="s">
        <v>1</v>
      </c>
      <c r="B3" s="207"/>
      <c r="C3" s="207"/>
      <c r="D3" s="207"/>
    </row>
    <row r="4" spans="1:4" x14ac:dyDescent="0.25">
      <c r="A4" s="188" t="s">
        <v>2</v>
      </c>
      <c r="B4" s="212" t="s">
        <v>3</v>
      </c>
      <c r="C4" s="207"/>
      <c r="D4" s="207"/>
    </row>
    <row r="5" spans="1:4" x14ac:dyDescent="0.25">
      <c r="A5" s="189" t="s">
        <v>4</v>
      </c>
      <c r="B5" s="210" t="s">
        <v>5</v>
      </c>
      <c r="C5" s="207"/>
      <c r="D5" s="207"/>
    </row>
    <row r="6" spans="1:4" x14ac:dyDescent="0.25">
      <c r="A6" s="190" t="s">
        <v>6</v>
      </c>
      <c r="B6" s="206" t="s">
        <v>7</v>
      </c>
      <c r="C6" s="207"/>
      <c r="D6" s="207"/>
    </row>
    <row r="7" spans="1:4" x14ac:dyDescent="0.25">
      <c r="A7" s="189" t="s">
        <v>8</v>
      </c>
      <c r="B7" s="210" t="s">
        <v>9</v>
      </c>
      <c r="C7" s="207"/>
      <c r="D7" s="207"/>
    </row>
    <row r="8" spans="1:4" x14ac:dyDescent="0.25">
      <c r="A8" s="190" t="s">
        <v>10</v>
      </c>
      <c r="B8" s="206" t="s">
        <v>11</v>
      </c>
      <c r="C8" s="207"/>
      <c r="D8" s="207"/>
    </row>
    <row r="9" spans="1:4" x14ac:dyDescent="0.25">
      <c r="A9" s="189" t="s">
        <v>12</v>
      </c>
      <c r="B9" s="210" t="s">
        <v>13</v>
      </c>
      <c r="C9" s="207"/>
      <c r="D9" s="207"/>
    </row>
    <row r="10" spans="1:4" x14ac:dyDescent="0.25">
      <c r="A10" s="190" t="s">
        <v>14</v>
      </c>
      <c r="B10" s="206" t="s">
        <v>15</v>
      </c>
      <c r="C10" s="207"/>
      <c r="D10" s="207"/>
    </row>
    <row r="11" spans="1:4" x14ac:dyDescent="0.25">
      <c r="A11" s="189" t="s">
        <v>16</v>
      </c>
      <c r="B11" s="210" t="s">
        <v>17</v>
      </c>
      <c r="C11" s="207"/>
      <c r="D11" s="207"/>
    </row>
    <row r="12" spans="1:4" x14ac:dyDescent="0.25">
      <c r="A12" s="190" t="s">
        <v>18</v>
      </c>
      <c r="B12" s="206" t="s">
        <v>19</v>
      </c>
      <c r="C12" s="207"/>
      <c r="D12" s="207"/>
    </row>
    <row r="13" spans="1:4" x14ac:dyDescent="0.25">
      <c r="A13" s="189" t="s">
        <v>20</v>
      </c>
      <c r="B13" s="210" t="s">
        <v>21</v>
      </c>
      <c r="C13" s="207"/>
      <c r="D13" s="207"/>
    </row>
    <row r="15" spans="1:4" ht="15.75" x14ac:dyDescent="0.25">
      <c r="A15" s="209" t="s">
        <v>22</v>
      </c>
      <c r="B15" s="207"/>
      <c r="C15" s="207"/>
      <c r="D15" s="207"/>
    </row>
    <row r="16" spans="1:4" x14ac:dyDescent="0.25">
      <c r="A16" s="188" t="s">
        <v>2</v>
      </c>
      <c r="B16" s="188" t="s">
        <v>23</v>
      </c>
      <c r="C16" s="212" t="s">
        <v>24</v>
      </c>
      <c r="D16" s="207"/>
    </row>
    <row r="17" spans="1:4" x14ac:dyDescent="0.25">
      <c r="A17" s="189" t="s">
        <v>4</v>
      </c>
      <c r="B17" s="189" t="s">
        <v>25</v>
      </c>
      <c r="C17" s="210" t="s">
        <v>26</v>
      </c>
      <c r="D17" s="207"/>
    </row>
    <row r="18" spans="1:4" x14ac:dyDescent="0.25">
      <c r="A18" s="190" t="s">
        <v>4</v>
      </c>
      <c r="B18" s="190" t="s">
        <v>27</v>
      </c>
      <c r="C18" s="206" t="s">
        <v>296</v>
      </c>
      <c r="D18" s="211"/>
    </row>
    <row r="19" spans="1:4" x14ac:dyDescent="0.25">
      <c r="A19" s="189" t="s">
        <v>4</v>
      </c>
      <c r="B19" s="189" t="s">
        <v>28</v>
      </c>
      <c r="C19" s="210" t="s">
        <v>29</v>
      </c>
      <c r="D19" s="207"/>
    </row>
    <row r="20" spans="1:4" s="85" customFormat="1" x14ac:dyDescent="0.25">
      <c r="A20" s="189" t="s">
        <v>4</v>
      </c>
      <c r="B20" s="198" t="s">
        <v>299</v>
      </c>
      <c r="C20" s="198" t="s">
        <v>300</v>
      </c>
    </row>
    <row r="21" spans="1:4" x14ac:dyDescent="0.25">
      <c r="A21" s="190" t="s">
        <v>4</v>
      </c>
      <c r="B21" s="190" t="s">
        <v>30</v>
      </c>
      <c r="C21" s="206" t="s">
        <v>31</v>
      </c>
      <c r="D21" s="211"/>
    </row>
    <row r="22" spans="1:4" x14ac:dyDescent="0.25">
      <c r="A22" s="189" t="s">
        <v>6</v>
      </c>
      <c r="B22" s="189" t="s">
        <v>32</v>
      </c>
      <c r="C22" s="210" t="s">
        <v>33</v>
      </c>
      <c r="D22" s="207"/>
    </row>
    <row r="23" spans="1:4" s="85" customFormat="1" x14ac:dyDescent="0.25">
      <c r="A23" s="198" t="s">
        <v>6</v>
      </c>
      <c r="B23" s="198" t="s">
        <v>302</v>
      </c>
      <c r="C23" s="198" t="s">
        <v>303</v>
      </c>
    </row>
    <row r="24" spans="1:4" x14ac:dyDescent="0.25">
      <c r="A24" s="190" t="s">
        <v>8</v>
      </c>
      <c r="B24" s="190" t="s">
        <v>34</v>
      </c>
      <c r="C24" s="206" t="s">
        <v>35</v>
      </c>
      <c r="D24" s="211"/>
    </row>
    <row r="25" spans="1:4" x14ac:dyDescent="0.25">
      <c r="A25" s="189" t="s">
        <v>8</v>
      </c>
      <c r="B25" s="189" t="s">
        <v>36</v>
      </c>
      <c r="C25" s="210" t="s">
        <v>37</v>
      </c>
      <c r="D25" s="207"/>
    </row>
    <row r="26" spans="1:4" x14ac:dyDescent="0.25">
      <c r="A26" s="190" t="s">
        <v>12</v>
      </c>
      <c r="B26" s="190" t="s">
        <v>30</v>
      </c>
      <c r="C26" s="206" t="s">
        <v>38</v>
      </c>
      <c r="D26" s="211"/>
    </row>
    <row r="27" spans="1:4" x14ac:dyDescent="0.25">
      <c r="A27" s="189" t="s">
        <v>12</v>
      </c>
      <c r="B27" s="189" t="s">
        <v>39</v>
      </c>
      <c r="C27" s="210" t="s">
        <v>40</v>
      </c>
      <c r="D27" s="207"/>
    </row>
    <row r="28" spans="1:4" x14ac:dyDescent="0.25">
      <c r="A28" s="190" t="s">
        <v>12</v>
      </c>
      <c r="B28" s="190" t="s">
        <v>41</v>
      </c>
      <c r="C28" s="206" t="s">
        <v>42</v>
      </c>
      <c r="D28" s="211"/>
    </row>
    <row r="31" spans="1:4" ht="15.75" x14ac:dyDescent="0.25">
      <c r="A31" s="209" t="s">
        <v>43</v>
      </c>
      <c r="B31" s="207"/>
      <c r="C31" s="207"/>
      <c r="D31" s="207"/>
    </row>
    <row r="32" spans="1:4" x14ac:dyDescent="0.25">
      <c r="A32" s="188" t="s">
        <v>2</v>
      </c>
      <c r="B32" s="188" t="s">
        <v>23</v>
      </c>
      <c r="C32" s="212" t="s">
        <v>44</v>
      </c>
      <c r="D32" s="207"/>
    </row>
    <row r="33" spans="1:4" s="85" customFormat="1" x14ac:dyDescent="0.25">
      <c r="A33" s="189" t="s">
        <v>16</v>
      </c>
      <c r="B33" s="189" t="s">
        <v>304</v>
      </c>
      <c r="C33" s="210" t="s">
        <v>184</v>
      </c>
      <c r="D33" s="207"/>
    </row>
    <row r="34" spans="1:4" s="85" customFormat="1" x14ac:dyDescent="0.25">
      <c r="A34" s="190" t="s">
        <v>16</v>
      </c>
      <c r="B34" s="190" t="s">
        <v>305</v>
      </c>
      <c r="C34" s="206" t="s">
        <v>307</v>
      </c>
      <c r="D34" s="211"/>
    </row>
    <row r="35" spans="1:4" x14ac:dyDescent="0.25">
      <c r="A35" s="189" t="s">
        <v>16</v>
      </c>
      <c r="B35" s="189" t="s">
        <v>297</v>
      </c>
      <c r="C35" s="210" t="s">
        <v>45</v>
      </c>
      <c r="D35" s="207"/>
    </row>
    <row r="36" spans="1:4" x14ac:dyDescent="0.25">
      <c r="A36" s="190" t="s">
        <v>16</v>
      </c>
      <c r="B36" s="190" t="s">
        <v>298</v>
      </c>
      <c r="C36" s="206" t="s">
        <v>46</v>
      </c>
      <c r="D36" s="211"/>
    </row>
    <row r="39" spans="1:4" ht="15.75" x14ac:dyDescent="0.25">
      <c r="A39" s="214" t="s">
        <v>47</v>
      </c>
      <c r="B39" s="207"/>
      <c r="C39" s="207"/>
      <c r="D39" s="207"/>
    </row>
    <row r="40" spans="1:4" x14ac:dyDescent="0.25">
      <c r="A40" s="208" t="s">
        <v>48</v>
      </c>
      <c r="B40" s="207"/>
      <c r="C40" s="207"/>
      <c r="D40" s="207"/>
    </row>
    <row r="41" spans="1:4" x14ac:dyDescent="0.25">
      <c r="A41" s="208"/>
      <c r="B41" s="207"/>
      <c r="C41" s="207"/>
      <c r="D41" s="207"/>
    </row>
    <row r="42" spans="1:4" x14ac:dyDescent="0.25">
      <c r="A42" s="208" t="s">
        <v>49</v>
      </c>
      <c r="B42" s="207"/>
      <c r="C42" s="207"/>
      <c r="D42" s="207"/>
    </row>
    <row r="43" spans="1:4" x14ac:dyDescent="0.25">
      <c r="A43" s="208" t="s">
        <v>50</v>
      </c>
      <c r="B43" s="207"/>
      <c r="C43" s="207"/>
      <c r="D43" s="207"/>
    </row>
    <row r="44" spans="1:4" x14ac:dyDescent="0.25">
      <c r="A44" s="208" t="s">
        <v>51</v>
      </c>
      <c r="B44" s="207"/>
      <c r="C44" s="207"/>
      <c r="D44" s="207"/>
    </row>
    <row r="45" spans="1:4" x14ac:dyDescent="0.25">
      <c r="A45" s="208"/>
      <c r="B45" s="207"/>
      <c r="C45" s="207"/>
      <c r="D45" s="207"/>
    </row>
    <row r="46" spans="1:4" x14ac:dyDescent="0.25">
      <c r="A46" s="208" t="s">
        <v>52</v>
      </c>
      <c r="B46" s="207"/>
      <c r="C46" s="207"/>
      <c r="D46" s="207"/>
    </row>
    <row r="47" spans="1:4" x14ac:dyDescent="0.25">
      <c r="A47" s="208" t="s">
        <v>53</v>
      </c>
      <c r="B47" s="207"/>
      <c r="C47" s="207"/>
      <c r="D47" s="207"/>
    </row>
    <row r="48" spans="1:4" x14ac:dyDescent="0.25">
      <c r="A48" s="208" t="s">
        <v>54</v>
      </c>
      <c r="B48" s="207"/>
      <c r="C48" s="207"/>
      <c r="D48" s="207"/>
    </row>
  </sheetData>
  <mergeCells count="40">
    <mergeCell ref="A48:D48"/>
    <mergeCell ref="C35:D35"/>
    <mergeCell ref="B6:D6"/>
    <mergeCell ref="A1:D1"/>
    <mergeCell ref="A45:D45"/>
    <mergeCell ref="B5:D5"/>
    <mergeCell ref="C22:D22"/>
    <mergeCell ref="B4:D4"/>
    <mergeCell ref="A43:D43"/>
    <mergeCell ref="B7:D7"/>
    <mergeCell ref="C17:D17"/>
    <mergeCell ref="C25:D25"/>
    <mergeCell ref="A46:D46"/>
    <mergeCell ref="A39:D39"/>
    <mergeCell ref="C36:D36"/>
    <mergeCell ref="A3:D3"/>
    <mergeCell ref="A47:D47"/>
    <mergeCell ref="A44:D44"/>
    <mergeCell ref="C33:D33"/>
    <mergeCell ref="C34:D34"/>
    <mergeCell ref="B10:D10"/>
    <mergeCell ref="C21:D21"/>
    <mergeCell ref="A42:D42"/>
    <mergeCell ref="C16:D16"/>
    <mergeCell ref="C27:D27"/>
    <mergeCell ref="A41:D41"/>
    <mergeCell ref="A15:D15"/>
    <mergeCell ref="C24:D24"/>
    <mergeCell ref="C19:D19"/>
    <mergeCell ref="C18:D18"/>
    <mergeCell ref="B12:D12"/>
    <mergeCell ref="B8:D8"/>
    <mergeCell ref="A40:D40"/>
    <mergeCell ref="A31:D31"/>
    <mergeCell ref="B13:D13"/>
    <mergeCell ref="C28:D28"/>
    <mergeCell ref="B11:D11"/>
    <mergeCell ref="C26:D26"/>
    <mergeCell ref="C32:D32"/>
    <mergeCell ref="B9:D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44"/>
  <sheetViews>
    <sheetView topLeftCell="A3" zoomScaleNormal="100" workbookViewId="0">
      <selection activeCell="F12" sqref="F12"/>
    </sheetView>
  </sheetViews>
  <sheetFormatPr defaultRowHeight="15" x14ac:dyDescent="0.25"/>
  <cols>
    <col min="1" max="1" width="40" customWidth="1"/>
    <col min="2" max="2" width="18" customWidth="1"/>
    <col min="3" max="3" width="12" customWidth="1"/>
    <col min="4" max="4" width="43.5703125" customWidth="1"/>
    <col min="5" max="5" width="12.42578125" customWidth="1"/>
    <col min="6" max="6" width="20.42578125" customWidth="1"/>
    <col min="7" max="7" width="15.140625" customWidth="1"/>
  </cols>
  <sheetData>
    <row r="1" spans="1:5" ht="21" customHeight="1" x14ac:dyDescent="0.35">
      <c r="A1" s="215" t="s">
        <v>55</v>
      </c>
      <c r="B1" s="207"/>
      <c r="C1" s="207"/>
      <c r="D1" s="207"/>
      <c r="E1" s="207"/>
    </row>
    <row r="3" spans="1:5" ht="18.75" customHeight="1" x14ac:dyDescent="0.3">
      <c r="A3" s="1" t="s">
        <v>56</v>
      </c>
    </row>
    <row r="4" spans="1:5" ht="15.75" customHeight="1" x14ac:dyDescent="0.25">
      <c r="A4" s="2" t="s">
        <v>58</v>
      </c>
      <c r="B4" s="2" t="s">
        <v>59</v>
      </c>
      <c r="C4" s="2" t="s">
        <v>60</v>
      </c>
      <c r="D4" s="2" t="s">
        <v>61</v>
      </c>
    </row>
    <row r="5" spans="1:5" x14ac:dyDescent="0.25">
      <c r="A5" s="3" t="s">
        <v>63</v>
      </c>
      <c r="B5" s="4">
        <v>150</v>
      </c>
      <c r="C5" s="25" t="s">
        <v>64</v>
      </c>
      <c r="D5" s="3" t="s">
        <v>65</v>
      </c>
    </row>
    <row r="6" spans="1:5" x14ac:dyDescent="0.25">
      <c r="A6" s="3" t="s">
        <v>79</v>
      </c>
      <c r="B6" s="4">
        <v>100</v>
      </c>
      <c r="C6" s="25" t="s">
        <v>64</v>
      </c>
      <c r="D6" s="3" t="s">
        <v>80</v>
      </c>
    </row>
    <row r="7" spans="1:5" x14ac:dyDescent="0.25">
      <c r="A7" s="3" t="s">
        <v>82</v>
      </c>
      <c r="B7" s="5">
        <v>0.7</v>
      </c>
      <c r="C7" s="25" t="s">
        <v>83</v>
      </c>
      <c r="D7" s="3" t="s">
        <v>84</v>
      </c>
    </row>
    <row r="9" spans="1:5" ht="18.75" customHeight="1" x14ac:dyDescent="0.3">
      <c r="A9" s="1" t="s">
        <v>87</v>
      </c>
    </row>
    <row r="10" spans="1:5" ht="18.75" hidden="1" customHeight="1" x14ac:dyDescent="0.3">
      <c r="A10" s="1"/>
    </row>
    <row r="11" spans="1:5" ht="15.75" customHeight="1" x14ac:dyDescent="0.25">
      <c r="A11" s="2" t="s">
        <v>58</v>
      </c>
      <c r="B11" s="2" t="s">
        <v>59</v>
      </c>
      <c r="C11" s="2" t="s">
        <v>60</v>
      </c>
      <c r="D11" s="2" t="s">
        <v>61</v>
      </c>
    </row>
    <row r="12" spans="1:5" ht="18.75" customHeight="1" x14ac:dyDescent="0.25">
      <c r="A12" s="3" t="s">
        <v>91</v>
      </c>
      <c r="B12" s="194">
        <v>59.99</v>
      </c>
      <c r="C12" s="25" t="s">
        <v>92</v>
      </c>
      <c r="D12" s="192" t="s">
        <v>93</v>
      </c>
    </row>
    <row r="13" spans="1:5" ht="15.75" customHeight="1" x14ac:dyDescent="0.25">
      <c r="A13" s="3" t="s">
        <v>94</v>
      </c>
      <c r="B13" s="195">
        <v>120</v>
      </c>
      <c r="C13" s="25" t="s">
        <v>95</v>
      </c>
      <c r="D13" s="192" t="s">
        <v>96</v>
      </c>
    </row>
    <row r="14" spans="1:5" ht="39" customHeight="1" x14ac:dyDescent="0.25">
      <c r="A14" s="196" t="s">
        <v>97</v>
      </c>
      <c r="B14" s="195">
        <v>1.3</v>
      </c>
      <c r="C14" s="197" t="s">
        <v>98</v>
      </c>
      <c r="D14" s="193" t="s">
        <v>99</v>
      </c>
    </row>
    <row r="15" spans="1:5" ht="18.75" hidden="1" customHeight="1" x14ac:dyDescent="0.25"/>
    <row r="16" spans="1:5" ht="15.75" hidden="1" customHeight="1" x14ac:dyDescent="0.3">
      <c r="A16" s="1" t="s">
        <v>104</v>
      </c>
    </row>
    <row r="17" spans="1:13" ht="18.75" hidden="1" customHeight="1" x14ac:dyDescent="0.25">
      <c r="A17" s="2" t="s">
        <v>58</v>
      </c>
      <c r="B17" s="2" t="s">
        <v>59</v>
      </c>
      <c r="C17" s="2" t="s">
        <v>60</v>
      </c>
      <c r="D17" s="2" t="s">
        <v>61</v>
      </c>
    </row>
    <row r="18" spans="1:13" hidden="1" x14ac:dyDescent="0.25">
      <c r="A18" s="3" t="s">
        <v>105</v>
      </c>
      <c r="B18" s="6">
        <v>15</v>
      </c>
      <c r="C18" s="25" t="s">
        <v>92</v>
      </c>
      <c r="D18" s="3" t="s">
        <v>106</v>
      </c>
    </row>
    <row r="19" spans="1:13" ht="18.75" customHeight="1" x14ac:dyDescent="0.25"/>
    <row r="20" spans="1:13" ht="17.25" customHeight="1" x14ac:dyDescent="0.25">
      <c r="A20" s="14" t="s">
        <v>57</v>
      </c>
    </row>
    <row r="21" spans="1:13" x14ac:dyDescent="0.25">
      <c r="A21" s="15" t="s">
        <v>62</v>
      </c>
      <c r="B21" s="24"/>
    </row>
    <row r="22" spans="1:13" x14ac:dyDescent="0.25">
      <c r="A22" s="16" t="s">
        <v>66</v>
      </c>
      <c r="B22" s="16" t="s">
        <v>67</v>
      </c>
      <c r="C22" s="16" t="s">
        <v>68</v>
      </c>
      <c r="D22" s="16" t="s">
        <v>69</v>
      </c>
      <c r="E22" s="16" t="s">
        <v>70</v>
      </c>
      <c r="F22" s="16" t="s">
        <v>71</v>
      </c>
      <c r="G22" s="16" t="s">
        <v>72</v>
      </c>
      <c r="H22" s="16" t="s">
        <v>73</v>
      </c>
      <c r="I22" s="16" t="s">
        <v>74</v>
      </c>
      <c r="J22" s="16" t="s">
        <v>75</v>
      </c>
      <c r="K22" s="16" t="s">
        <v>76</v>
      </c>
      <c r="L22" s="16" t="s">
        <v>77</v>
      </c>
      <c r="M22" s="16" t="s">
        <v>78</v>
      </c>
    </row>
    <row r="23" spans="1:13" ht="18.75" customHeight="1" x14ac:dyDescent="0.25">
      <c r="A23" s="17" t="s">
        <v>81</v>
      </c>
      <c r="B23" s="18">
        <v>0.95</v>
      </c>
      <c r="C23" s="18">
        <v>0.89545454545454539</v>
      </c>
      <c r="D23" s="18">
        <v>0.84090909090909083</v>
      </c>
      <c r="E23" s="18">
        <v>0.78636363636363638</v>
      </c>
      <c r="F23" s="18">
        <v>0.73181818181818181</v>
      </c>
      <c r="G23" s="18">
        <v>0.67727272727272725</v>
      </c>
      <c r="H23" s="18">
        <v>0.6227272727272728</v>
      </c>
      <c r="I23" s="18">
        <v>0.56818181818181812</v>
      </c>
      <c r="J23" s="18">
        <v>0.51363636363636367</v>
      </c>
      <c r="K23" s="18">
        <v>0.45909090909090911</v>
      </c>
      <c r="L23" s="18">
        <v>0.40454545454545454</v>
      </c>
      <c r="M23" s="18">
        <v>0.35</v>
      </c>
    </row>
    <row r="24" spans="1:13" ht="15.75" customHeight="1" x14ac:dyDescent="0.25">
      <c r="A24" s="17" t="s">
        <v>85</v>
      </c>
      <c r="B24" s="18">
        <v>0.05</v>
      </c>
      <c r="C24" s="18">
        <v>8.9090909090909096E-2</v>
      </c>
      <c r="D24" s="18">
        <v>0.12818181818181817</v>
      </c>
      <c r="E24" s="18">
        <v>0.1672727272727273</v>
      </c>
      <c r="F24" s="18">
        <v>0.20636363636363636</v>
      </c>
      <c r="G24" s="18">
        <v>0.24545454545454543</v>
      </c>
      <c r="H24" s="18">
        <v>0.28454545454545455</v>
      </c>
      <c r="I24" s="18">
        <v>0.32363636363636361</v>
      </c>
      <c r="J24" s="18">
        <v>0.36272727272727273</v>
      </c>
      <c r="K24" s="18">
        <v>0.4018181818181818</v>
      </c>
      <c r="L24" s="18">
        <v>0.44090909090909086</v>
      </c>
      <c r="M24" s="18">
        <v>0.48</v>
      </c>
    </row>
    <row r="25" spans="1:13" x14ac:dyDescent="0.25">
      <c r="A25" s="17" t="s">
        <v>86</v>
      </c>
      <c r="B25" s="18">
        <v>0</v>
      </c>
      <c r="C25" s="18">
        <v>9.0909090909090922E-3</v>
      </c>
      <c r="D25" s="18">
        <v>1.8181818181818184E-2</v>
      </c>
      <c r="E25" s="18">
        <v>2.7272727272727278E-2</v>
      </c>
      <c r="F25" s="18">
        <v>3.6363636363636369E-2</v>
      </c>
      <c r="G25" s="18">
        <v>4.5454545454545456E-2</v>
      </c>
      <c r="H25" s="18">
        <v>5.4545454545454557E-2</v>
      </c>
      <c r="I25" s="18">
        <v>6.3636363636363644E-2</v>
      </c>
      <c r="J25" s="18">
        <v>7.2727272727272738E-2</v>
      </c>
      <c r="K25" s="18">
        <v>8.1818181818181818E-2</v>
      </c>
      <c r="L25" s="18">
        <v>9.0909090909090912E-2</v>
      </c>
      <c r="M25" s="18">
        <v>0.1</v>
      </c>
    </row>
    <row r="26" spans="1:13" x14ac:dyDescent="0.25">
      <c r="A26" s="17" t="s">
        <v>88</v>
      </c>
      <c r="B26" s="18">
        <v>0</v>
      </c>
      <c r="C26" s="18">
        <v>6.3636363636363638E-3</v>
      </c>
      <c r="D26" s="18">
        <v>1.2727272727272728E-2</v>
      </c>
      <c r="E26" s="18">
        <v>1.9090909090909092E-2</v>
      </c>
      <c r="F26" s="18">
        <v>2.5454545454545455E-2</v>
      </c>
      <c r="G26" s="18">
        <v>3.1818181818181822E-2</v>
      </c>
      <c r="H26" s="18">
        <v>3.8181818181818185E-2</v>
      </c>
      <c r="I26" s="18">
        <v>4.4545454545454548E-2</v>
      </c>
      <c r="J26" s="18">
        <v>5.0909090909090911E-2</v>
      </c>
      <c r="K26" s="18">
        <v>5.7272727272727281E-2</v>
      </c>
      <c r="L26" s="18">
        <v>6.3636363636363644E-2</v>
      </c>
      <c r="M26" s="18">
        <v>7.0000000000000007E-2</v>
      </c>
    </row>
    <row r="27" spans="1:13" ht="15.75" customHeight="1" x14ac:dyDescent="0.25">
      <c r="A27" s="17" t="s">
        <v>89</v>
      </c>
      <c r="B27" s="18">
        <v>0</v>
      </c>
      <c r="C27" s="18">
        <v>0</v>
      </c>
      <c r="D27" s="18">
        <v>0</v>
      </c>
      <c r="E27" s="18">
        <v>0</v>
      </c>
      <c r="F27" s="18">
        <v>0</v>
      </c>
      <c r="G27" s="18">
        <v>0</v>
      </c>
      <c r="H27" s="18">
        <v>0</v>
      </c>
      <c r="I27" s="18">
        <v>0</v>
      </c>
      <c r="J27" s="18">
        <v>0</v>
      </c>
      <c r="K27" s="18">
        <v>0</v>
      </c>
      <c r="L27" s="18">
        <v>0</v>
      </c>
      <c r="M27" s="18">
        <v>0</v>
      </c>
    </row>
    <row r="28" spans="1:13" x14ac:dyDescent="0.25">
      <c r="A28" s="19" t="s">
        <v>90</v>
      </c>
      <c r="B28" s="20">
        <f t="shared" ref="B28:M28" si="0">SUM(B23:B27)</f>
        <v>1</v>
      </c>
      <c r="C28" s="20">
        <f t="shared" si="0"/>
        <v>0.99999999999999989</v>
      </c>
      <c r="D28" s="20">
        <f t="shared" si="0"/>
        <v>0.99999999999999989</v>
      </c>
      <c r="E28" s="20">
        <f t="shared" si="0"/>
        <v>0.99999999999999989</v>
      </c>
      <c r="F28" s="20">
        <f t="shared" si="0"/>
        <v>1</v>
      </c>
      <c r="G28" s="20">
        <f t="shared" si="0"/>
        <v>0.99999999999999989</v>
      </c>
      <c r="H28" s="20">
        <f t="shared" si="0"/>
        <v>1</v>
      </c>
      <c r="I28" s="20">
        <f t="shared" si="0"/>
        <v>0.99999999999999989</v>
      </c>
      <c r="J28" s="20">
        <f t="shared" si="0"/>
        <v>1.0000000000000002</v>
      </c>
      <c r="K28" s="20">
        <f t="shared" si="0"/>
        <v>0.99999999999999989</v>
      </c>
      <c r="L28" s="20">
        <f t="shared" si="0"/>
        <v>1</v>
      </c>
      <c r="M28" s="20">
        <f t="shared" si="0"/>
        <v>1</v>
      </c>
    </row>
    <row r="29" spans="1:13" ht="18.75" customHeight="1" x14ac:dyDescent="0.25"/>
    <row r="30" spans="1:13" ht="15.75" x14ac:dyDescent="0.25">
      <c r="A30" s="14" t="s">
        <v>57</v>
      </c>
    </row>
    <row r="31" spans="1:13" x14ac:dyDescent="0.25">
      <c r="A31" s="61" t="s">
        <v>100</v>
      </c>
    </row>
    <row r="32" spans="1:13" x14ac:dyDescent="0.25">
      <c r="A32" s="16" t="s">
        <v>101</v>
      </c>
      <c r="B32" s="16">
        <v>105</v>
      </c>
      <c r="C32" s="16">
        <v>175</v>
      </c>
      <c r="D32" s="16">
        <v>250</v>
      </c>
      <c r="E32" s="16">
        <v>330</v>
      </c>
      <c r="F32" s="16">
        <v>410</v>
      </c>
      <c r="G32" s="16">
        <v>490</v>
      </c>
      <c r="H32" s="16">
        <v>570</v>
      </c>
      <c r="I32" s="16">
        <v>650</v>
      </c>
      <c r="J32" s="16">
        <v>730</v>
      </c>
      <c r="K32" s="16">
        <v>810</v>
      </c>
      <c r="L32" s="16">
        <v>890</v>
      </c>
      <c r="M32" s="16">
        <v>970</v>
      </c>
    </row>
    <row r="33" spans="1:18" x14ac:dyDescent="0.25">
      <c r="A33" s="17" t="s">
        <v>81</v>
      </c>
      <c r="B33" s="60">
        <f>$B$32*B23</f>
        <v>99.75</v>
      </c>
      <c r="C33" s="60">
        <f>$C$32*C23</f>
        <v>156.70454545454544</v>
      </c>
      <c r="D33" s="60">
        <f>$D$32*D23</f>
        <v>210.22727272727272</v>
      </c>
      <c r="E33" s="60">
        <f>$E$32*E23</f>
        <v>259.5</v>
      </c>
      <c r="F33" s="60">
        <f>$F$32*F23</f>
        <v>300.04545454545456</v>
      </c>
      <c r="G33" s="60">
        <f>$G$32*G23</f>
        <v>331.86363636363637</v>
      </c>
      <c r="H33" s="60">
        <f>$H$32*H23</f>
        <v>354.9545454545455</v>
      </c>
      <c r="I33" s="60">
        <f>$I$32*I23</f>
        <v>369.31818181818176</v>
      </c>
      <c r="J33" s="60">
        <f>$J$32*J23</f>
        <v>374.9545454545455</v>
      </c>
      <c r="K33" s="60">
        <f>$K$32*K23</f>
        <v>371.86363636363637</v>
      </c>
      <c r="L33" s="60">
        <f>$L$32*L23</f>
        <v>360.04545454545456</v>
      </c>
      <c r="M33" s="60">
        <f>$M$32*M23</f>
        <v>339.5</v>
      </c>
    </row>
    <row r="34" spans="1:18" x14ac:dyDescent="0.25">
      <c r="A34" s="17" t="s">
        <v>85</v>
      </c>
      <c r="B34" s="60">
        <f>$B$32*B24</f>
        <v>5.25</v>
      </c>
      <c r="C34" s="60">
        <f>$C$32*C24</f>
        <v>15.590909090909092</v>
      </c>
      <c r="D34" s="60">
        <f>$D$32*D24</f>
        <v>32.045454545454547</v>
      </c>
      <c r="E34" s="60">
        <f>$E$32*E24</f>
        <v>55.20000000000001</v>
      </c>
      <c r="F34" s="60">
        <f>$F$32*F24</f>
        <v>84.609090909090909</v>
      </c>
      <c r="G34" s="60">
        <f>$G$32*G24</f>
        <v>120.27272727272725</v>
      </c>
      <c r="H34" s="60">
        <f>$H$32*H24</f>
        <v>162.19090909090909</v>
      </c>
      <c r="I34" s="60">
        <f>$I$32*I24</f>
        <v>210.36363636363635</v>
      </c>
      <c r="J34" s="60">
        <f>$J$32*J24</f>
        <v>264.79090909090911</v>
      </c>
      <c r="K34" s="60">
        <f>$K$32*K24</f>
        <v>325.47272727272724</v>
      </c>
      <c r="L34" s="60">
        <f>$L$32*L24</f>
        <v>392.40909090909088</v>
      </c>
      <c r="M34" s="60">
        <f>$M$32*M24</f>
        <v>465.59999999999997</v>
      </c>
      <c r="N34" s="101"/>
      <c r="O34" s="101"/>
      <c r="P34" s="101"/>
      <c r="Q34" s="101"/>
      <c r="R34" s="101"/>
    </row>
    <row r="35" spans="1:18" x14ac:dyDescent="0.25">
      <c r="A35" s="17" t="s">
        <v>86</v>
      </c>
      <c r="B35" s="60">
        <f>$B$32*B25</f>
        <v>0</v>
      </c>
      <c r="C35" s="60">
        <f>$C$32*C25</f>
        <v>1.5909090909090911</v>
      </c>
      <c r="D35" s="60">
        <f>$D$32*D25</f>
        <v>4.5454545454545459</v>
      </c>
      <c r="E35" s="60">
        <f>$E$32*E25</f>
        <v>9.0000000000000018</v>
      </c>
      <c r="F35" s="60">
        <f>$F$32*F25</f>
        <v>14.909090909090912</v>
      </c>
      <c r="G35" s="60">
        <f>$G$32*G25</f>
        <v>22.272727272727273</v>
      </c>
      <c r="H35" s="60">
        <f>$H$32*H25</f>
        <v>31.090909090909097</v>
      </c>
      <c r="I35" s="60">
        <f>$I$32*I25</f>
        <v>41.363636363636367</v>
      </c>
      <c r="J35" s="60">
        <f>$J$32*J25</f>
        <v>53.090909090909101</v>
      </c>
      <c r="K35" s="60">
        <f>$K$32*K25</f>
        <v>66.272727272727266</v>
      </c>
      <c r="L35" s="60">
        <f>$L$32*L25</f>
        <v>80.909090909090907</v>
      </c>
      <c r="M35" s="60">
        <f>$M$32*M25</f>
        <v>97</v>
      </c>
      <c r="N35" s="101"/>
      <c r="O35" s="101"/>
      <c r="P35" s="101"/>
      <c r="Q35" s="101"/>
      <c r="R35" s="101"/>
    </row>
    <row r="36" spans="1:18" x14ac:dyDescent="0.25">
      <c r="A36" s="17" t="s">
        <v>88</v>
      </c>
      <c r="B36" s="60">
        <f>$B$32*B26</f>
        <v>0</v>
      </c>
      <c r="C36" s="60">
        <f>$C$32*C26</f>
        <v>1.1136363636363638</v>
      </c>
      <c r="D36" s="60">
        <f>$D$32*D26</f>
        <v>3.1818181818181821</v>
      </c>
      <c r="E36" s="60">
        <f>$E$32*E26</f>
        <v>6.3000000000000007</v>
      </c>
      <c r="F36" s="60">
        <f>$F$32*F26</f>
        <v>10.436363636363637</v>
      </c>
      <c r="G36" s="60">
        <f>$G$32*G26</f>
        <v>15.590909090909093</v>
      </c>
      <c r="H36" s="60">
        <f>$H$32*H26</f>
        <v>21.763636363636365</v>
      </c>
      <c r="I36" s="60">
        <f>$I$32*I26</f>
        <v>28.954545454545457</v>
      </c>
      <c r="J36" s="60">
        <f>$J$32*J26</f>
        <v>37.163636363636364</v>
      </c>
      <c r="K36" s="60">
        <f>$K$32*K26</f>
        <v>46.390909090909098</v>
      </c>
      <c r="L36" s="60">
        <f>$L$32*L26</f>
        <v>56.63636363636364</v>
      </c>
      <c r="M36" s="60">
        <f>$M$32*M26</f>
        <v>67.900000000000006</v>
      </c>
      <c r="N36" s="101"/>
      <c r="O36" s="101"/>
      <c r="P36" s="101"/>
      <c r="Q36" s="101"/>
      <c r="R36" s="101"/>
    </row>
    <row r="37" spans="1:18" x14ac:dyDescent="0.25">
      <c r="N37" s="101"/>
      <c r="O37" s="101"/>
      <c r="P37" s="101"/>
      <c r="Q37" s="101"/>
      <c r="R37" s="101"/>
    </row>
    <row r="38" spans="1:18" x14ac:dyDescent="0.25">
      <c r="N38" s="98"/>
      <c r="O38" s="98"/>
      <c r="P38" s="98"/>
      <c r="Q38" s="98"/>
      <c r="R38" s="98"/>
    </row>
    <row r="39" spans="1:18" ht="15.75" x14ac:dyDescent="0.25">
      <c r="A39" s="14" t="s">
        <v>107</v>
      </c>
      <c r="N39" s="98"/>
      <c r="O39" s="98"/>
      <c r="P39" s="98"/>
      <c r="Q39" s="98"/>
      <c r="R39" s="98"/>
    </row>
    <row r="40" spans="1:18" x14ac:dyDescent="0.25">
      <c r="A40" s="15" t="s">
        <v>108</v>
      </c>
    </row>
    <row r="41" spans="1:18" ht="18.75" customHeight="1" x14ac:dyDescent="0.25">
      <c r="A41" s="16" t="s">
        <v>109</v>
      </c>
      <c r="B41" s="16" t="s">
        <v>67</v>
      </c>
      <c r="C41" s="16" t="s">
        <v>68</v>
      </c>
      <c r="D41" s="16" t="s">
        <v>69</v>
      </c>
      <c r="E41" s="16" t="s">
        <v>70</v>
      </c>
      <c r="F41" s="16" t="s">
        <v>71</v>
      </c>
      <c r="G41" s="16" t="s">
        <v>72</v>
      </c>
      <c r="H41" s="16" t="s">
        <v>73</v>
      </c>
      <c r="I41" s="16" t="s">
        <v>74</v>
      </c>
      <c r="J41" s="16" t="s">
        <v>75</v>
      </c>
      <c r="K41" s="16" t="s">
        <v>76</v>
      </c>
      <c r="L41" s="16" t="s">
        <v>77</v>
      </c>
      <c r="M41" s="16" t="s">
        <v>78</v>
      </c>
      <c r="N41" s="98"/>
      <c r="O41" s="98"/>
      <c r="P41" s="98"/>
      <c r="Q41" s="98"/>
      <c r="R41" s="98"/>
    </row>
    <row r="42" spans="1:18" x14ac:dyDescent="0.25">
      <c r="A42" s="17" t="s">
        <v>110</v>
      </c>
      <c r="B42" s="21">
        <v>0</v>
      </c>
      <c r="C42" s="21">
        <v>0</v>
      </c>
      <c r="D42" s="21">
        <v>0</v>
      </c>
      <c r="E42" s="21">
        <v>0</v>
      </c>
      <c r="F42" s="21">
        <v>0</v>
      </c>
      <c r="G42" s="21">
        <v>0</v>
      </c>
      <c r="H42" s="21">
        <v>0</v>
      </c>
      <c r="I42" s="21">
        <v>0</v>
      </c>
      <c r="J42" s="21">
        <v>0</v>
      </c>
      <c r="K42" s="21">
        <v>0</v>
      </c>
      <c r="L42" s="21">
        <v>0</v>
      </c>
      <c r="M42" s="21">
        <v>0</v>
      </c>
    </row>
    <row r="43" spans="1:18" x14ac:dyDescent="0.25">
      <c r="F43" s="62"/>
    </row>
    <row r="44" spans="1:18" x14ac:dyDescent="0.25">
      <c r="G44" s="93"/>
      <c r="H44" s="93"/>
      <c r="I44" s="93"/>
      <c r="J44" s="93"/>
      <c r="K44" s="93"/>
      <c r="L44" s="93"/>
      <c r="M44" s="93"/>
      <c r="N44" s="93"/>
      <c r="O44" s="93"/>
      <c r="P44" s="93"/>
      <c r="Q44" s="93"/>
      <c r="R44" s="93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52"/>
  <sheetViews>
    <sheetView zoomScale="115" zoomScaleNormal="115" workbookViewId="0">
      <selection activeCell="E15" sqref="E15"/>
    </sheetView>
  </sheetViews>
  <sheetFormatPr defaultRowHeight="15" x14ac:dyDescent="0.25"/>
  <cols>
    <col min="1" max="3" width="13" customWidth="1"/>
    <col min="4" max="4" width="16.28515625" customWidth="1"/>
    <col min="5" max="5" width="14.28515625" customWidth="1"/>
    <col min="6" max="6" width="17.85546875" customWidth="1"/>
    <col min="7" max="10" width="13" customWidth="1"/>
    <col min="11" max="11" width="16.85546875" customWidth="1"/>
    <col min="12" max="14" width="13" customWidth="1"/>
    <col min="15" max="15" width="14.42578125" customWidth="1"/>
    <col min="16" max="16" width="12.140625" customWidth="1"/>
  </cols>
  <sheetData>
    <row r="1" spans="1:15" ht="21" customHeight="1" x14ac:dyDescent="0.35">
      <c r="A1" s="215" t="s">
        <v>111</v>
      </c>
      <c r="B1" s="207"/>
      <c r="C1" s="207"/>
      <c r="D1" s="207"/>
      <c r="E1" s="207"/>
      <c r="F1" s="207"/>
      <c r="G1" s="207"/>
      <c r="H1" s="207"/>
      <c r="I1" s="207"/>
      <c r="J1" s="207"/>
      <c r="K1" s="207"/>
      <c r="L1" s="207"/>
      <c r="M1" s="207"/>
      <c r="N1" s="207"/>
      <c r="O1" s="207"/>
    </row>
    <row r="3" spans="1:15" ht="18.75" customHeight="1" x14ac:dyDescent="0.3">
      <c r="A3" s="1" t="s">
        <v>112</v>
      </c>
      <c r="K3" s="1" t="s">
        <v>113</v>
      </c>
    </row>
    <row r="4" spans="1:15" ht="47.25" customHeight="1" x14ac:dyDescent="0.25">
      <c r="A4" s="2" t="s">
        <v>114</v>
      </c>
      <c r="B4" s="2" t="s">
        <v>102</v>
      </c>
      <c r="C4" s="2" t="s">
        <v>115</v>
      </c>
      <c r="D4" s="2" t="s">
        <v>116</v>
      </c>
      <c r="E4" s="2" t="s">
        <v>103</v>
      </c>
      <c r="K4" s="74" t="s">
        <v>117</v>
      </c>
      <c r="L4" s="74" t="s">
        <v>66</v>
      </c>
      <c r="M4" s="74" t="s">
        <v>118</v>
      </c>
      <c r="N4" s="74" t="s">
        <v>119</v>
      </c>
      <c r="O4" s="74" t="s">
        <v>120</v>
      </c>
    </row>
    <row r="5" spans="1:15" x14ac:dyDescent="0.25">
      <c r="A5" s="47">
        <v>1</v>
      </c>
      <c r="B5" s="37" t="s">
        <v>81</v>
      </c>
      <c r="C5" s="37">
        <v>0</v>
      </c>
      <c r="D5" s="38">
        <v>0.2</v>
      </c>
      <c r="E5" s="48">
        <v>2</v>
      </c>
      <c r="K5" s="140" t="s">
        <v>121</v>
      </c>
      <c r="L5" s="140" t="s">
        <v>81</v>
      </c>
      <c r="M5" s="138">
        <v>0</v>
      </c>
      <c r="N5" s="139">
        <v>0.15</v>
      </c>
      <c r="O5" s="138">
        <v>0</v>
      </c>
    </row>
    <row r="6" spans="1:15" x14ac:dyDescent="0.25">
      <c r="A6" s="36">
        <v>2</v>
      </c>
      <c r="B6" s="29" t="s">
        <v>85</v>
      </c>
      <c r="C6" s="136">
        <v>15</v>
      </c>
      <c r="D6" s="30">
        <v>0.2</v>
      </c>
      <c r="E6" s="35">
        <v>6</v>
      </c>
      <c r="K6" s="140" t="s">
        <v>122</v>
      </c>
      <c r="L6" s="140" t="s">
        <v>81</v>
      </c>
      <c r="M6" s="138">
        <v>0</v>
      </c>
      <c r="N6" s="141">
        <v>0</v>
      </c>
      <c r="O6" s="140" t="s">
        <v>123</v>
      </c>
    </row>
    <row r="7" spans="1:15" x14ac:dyDescent="0.25">
      <c r="A7" s="53">
        <v>3</v>
      </c>
      <c r="B7" s="40" t="s">
        <v>86</v>
      </c>
      <c r="C7" s="40">
        <v>75</v>
      </c>
      <c r="D7" s="41">
        <v>0.2</v>
      </c>
      <c r="E7" s="54">
        <v>18</v>
      </c>
      <c r="K7" s="140" t="s">
        <v>124</v>
      </c>
      <c r="L7" s="140" t="s">
        <v>81</v>
      </c>
      <c r="M7" s="138">
        <v>1</v>
      </c>
      <c r="N7" s="139">
        <v>0.15</v>
      </c>
      <c r="O7" s="138">
        <v>7</v>
      </c>
    </row>
    <row r="8" spans="1:15" x14ac:dyDescent="0.25">
      <c r="A8" s="49">
        <v>4</v>
      </c>
      <c r="B8" s="50" t="s">
        <v>88</v>
      </c>
      <c r="C8" s="137">
        <v>150</v>
      </c>
      <c r="D8" s="51">
        <v>0.2</v>
      </c>
      <c r="E8" s="52">
        <v>54</v>
      </c>
      <c r="K8" s="151" t="s">
        <v>121</v>
      </c>
      <c r="L8" s="151" t="s">
        <v>85</v>
      </c>
      <c r="M8" s="142">
        <v>1</v>
      </c>
      <c r="N8" s="143">
        <v>0.15</v>
      </c>
      <c r="O8" s="142">
        <v>4</v>
      </c>
    </row>
    <row r="9" spans="1:15" hidden="1" x14ac:dyDescent="0.25">
      <c r="A9" s="34">
        <v>5</v>
      </c>
      <c r="B9" s="4" t="s">
        <v>89</v>
      </c>
      <c r="C9" s="4">
        <v>0</v>
      </c>
      <c r="D9" s="5">
        <v>0</v>
      </c>
      <c r="E9" s="13">
        <v>0</v>
      </c>
    </row>
    <row r="10" spans="1:15" x14ac:dyDescent="0.25">
      <c r="K10" s="151" t="s">
        <v>122</v>
      </c>
      <c r="L10" s="151" t="s">
        <v>85</v>
      </c>
      <c r="M10" s="142">
        <v>1</v>
      </c>
      <c r="N10" s="144">
        <v>50</v>
      </c>
      <c r="O10" s="151" t="s">
        <v>123</v>
      </c>
    </row>
    <row r="11" spans="1:15" x14ac:dyDescent="0.25">
      <c r="K11" s="151" t="s">
        <v>124</v>
      </c>
      <c r="L11" s="151" t="s">
        <v>85</v>
      </c>
      <c r="M11" s="142">
        <v>1</v>
      </c>
      <c r="N11" s="143">
        <v>0.15</v>
      </c>
      <c r="O11" s="142">
        <v>7</v>
      </c>
    </row>
    <row r="12" spans="1:15" ht="18.75" customHeight="1" x14ac:dyDescent="0.25">
      <c r="K12" s="152" t="s">
        <v>121</v>
      </c>
      <c r="L12" s="152" t="s">
        <v>86</v>
      </c>
      <c r="M12" s="145">
        <v>1</v>
      </c>
      <c r="N12" s="146">
        <v>0.2</v>
      </c>
      <c r="O12" s="145">
        <v>7</v>
      </c>
    </row>
    <row r="13" spans="1:15" ht="18.75" customHeight="1" x14ac:dyDescent="0.3">
      <c r="A13" s="1" t="s">
        <v>301</v>
      </c>
      <c r="K13" s="152" t="s">
        <v>122</v>
      </c>
      <c r="L13" s="152" t="s">
        <v>86</v>
      </c>
      <c r="M13" s="145">
        <v>1</v>
      </c>
      <c r="N13" s="147">
        <v>100</v>
      </c>
      <c r="O13" s="152" t="s">
        <v>123</v>
      </c>
    </row>
    <row r="14" spans="1:15" ht="18.75" customHeight="1" x14ac:dyDescent="0.3">
      <c r="A14" s="70" t="s">
        <v>125</v>
      </c>
      <c r="F14" s="70" t="s">
        <v>126</v>
      </c>
      <c r="K14" s="152" t="s">
        <v>124</v>
      </c>
      <c r="L14" s="152" t="s">
        <v>86</v>
      </c>
      <c r="M14" s="145">
        <v>1</v>
      </c>
      <c r="N14" s="146">
        <v>0.2</v>
      </c>
      <c r="O14" s="145">
        <v>7</v>
      </c>
    </row>
    <row r="15" spans="1:15" ht="31.5" x14ac:dyDescent="0.25">
      <c r="A15" s="74" t="s">
        <v>66</v>
      </c>
      <c r="B15" s="74" t="s">
        <v>118</v>
      </c>
      <c r="C15" s="74" t="s">
        <v>127</v>
      </c>
      <c r="D15" s="74" t="s">
        <v>128</v>
      </c>
      <c r="F15" s="74" t="s">
        <v>66</v>
      </c>
      <c r="G15" s="74" t="s">
        <v>118</v>
      </c>
      <c r="H15" s="74" t="s">
        <v>129</v>
      </c>
      <c r="K15" s="153" t="s">
        <v>121</v>
      </c>
      <c r="L15" s="153" t="s">
        <v>88</v>
      </c>
      <c r="M15" s="148">
        <v>1</v>
      </c>
      <c r="N15" s="149">
        <v>0.25</v>
      </c>
      <c r="O15" s="148">
        <v>7</v>
      </c>
    </row>
    <row r="16" spans="1:15" x14ac:dyDescent="0.25">
      <c r="A16" s="77" t="s">
        <v>81</v>
      </c>
      <c r="B16" s="75">
        <v>0</v>
      </c>
      <c r="C16" s="79">
        <v>0.15</v>
      </c>
      <c r="D16" s="75">
        <v>0</v>
      </c>
      <c r="F16" s="77" t="s">
        <v>81</v>
      </c>
      <c r="G16" s="75">
        <v>0</v>
      </c>
      <c r="H16" s="76">
        <v>0</v>
      </c>
      <c r="K16" s="153" t="s">
        <v>122</v>
      </c>
      <c r="L16" s="153" t="s">
        <v>88</v>
      </c>
      <c r="M16" s="148">
        <v>1</v>
      </c>
      <c r="N16" s="150">
        <v>300</v>
      </c>
      <c r="O16" s="153" t="s">
        <v>123</v>
      </c>
    </row>
    <row r="17" spans="1:15" x14ac:dyDescent="0.25">
      <c r="A17" s="77" t="s">
        <v>85</v>
      </c>
      <c r="B17" s="75">
        <v>1</v>
      </c>
      <c r="C17" s="79">
        <v>0.15</v>
      </c>
      <c r="D17" s="75">
        <v>4</v>
      </c>
      <c r="F17" s="77" t="s">
        <v>85</v>
      </c>
      <c r="G17" s="75">
        <v>1</v>
      </c>
      <c r="H17" s="76">
        <v>50</v>
      </c>
      <c r="K17" s="153" t="s">
        <v>124</v>
      </c>
      <c r="L17" s="153" t="s">
        <v>88</v>
      </c>
      <c r="M17" s="148">
        <v>1</v>
      </c>
      <c r="N17" s="149">
        <v>0.2</v>
      </c>
      <c r="O17" s="148">
        <v>7</v>
      </c>
    </row>
    <row r="18" spans="1:15" ht="15.75" customHeight="1" x14ac:dyDescent="0.25">
      <c r="A18" s="77" t="s">
        <v>86</v>
      </c>
      <c r="B18" s="75">
        <v>1</v>
      </c>
      <c r="C18" s="79">
        <v>0.2</v>
      </c>
      <c r="D18" s="75">
        <v>7</v>
      </c>
      <c r="F18" s="77" t="s">
        <v>86</v>
      </c>
      <c r="G18" s="75">
        <v>1</v>
      </c>
      <c r="H18" s="76">
        <v>100</v>
      </c>
    </row>
    <row r="19" spans="1:15" hidden="1" x14ac:dyDescent="0.25">
      <c r="A19" s="77" t="s">
        <v>88</v>
      </c>
      <c r="B19" s="75">
        <v>1</v>
      </c>
      <c r="C19" s="79">
        <v>0.25</v>
      </c>
      <c r="D19" s="75">
        <v>7</v>
      </c>
      <c r="F19" s="77" t="s">
        <v>88</v>
      </c>
      <c r="G19" s="75">
        <v>1</v>
      </c>
      <c r="H19" s="76">
        <v>300</v>
      </c>
      <c r="J19" s="3" t="s">
        <v>89</v>
      </c>
      <c r="K19" s="135">
        <v>0</v>
      </c>
    </row>
    <row r="20" spans="1:15" x14ac:dyDescent="0.25">
      <c r="A20" s="78" t="s">
        <v>89</v>
      </c>
      <c r="B20" s="56">
        <v>0</v>
      </c>
      <c r="C20" s="57">
        <v>0</v>
      </c>
      <c r="D20" s="56">
        <v>0</v>
      </c>
      <c r="E20" s="131"/>
      <c r="F20" s="78" t="s">
        <v>89</v>
      </c>
      <c r="G20" s="56">
        <v>0</v>
      </c>
      <c r="H20" s="58">
        <v>0</v>
      </c>
      <c r="K20" s="85"/>
    </row>
    <row r="21" spans="1:15" ht="18.75" customHeight="1" x14ac:dyDescent="0.25">
      <c r="A21" s="131"/>
      <c r="B21" s="131"/>
      <c r="C21" s="131"/>
      <c r="D21" s="131"/>
      <c r="E21" s="131"/>
      <c r="F21" s="131"/>
      <c r="G21" s="131"/>
      <c r="H21" s="131"/>
      <c r="K21" s="85"/>
    </row>
    <row r="22" spans="1:15" ht="18.75" customHeight="1" x14ac:dyDescent="0.3">
      <c r="A22" s="70" t="s">
        <v>130</v>
      </c>
    </row>
    <row r="23" spans="1:15" ht="31.5" customHeight="1" x14ac:dyDescent="0.25">
      <c r="A23" s="74" t="s">
        <v>66</v>
      </c>
      <c r="B23" s="74" t="s">
        <v>118</v>
      </c>
      <c r="C23" s="74" t="s">
        <v>127</v>
      </c>
      <c r="D23" s="74" t="s">
        <v>128</v>
      </c>
    </row>
    <row r="24" spans="1:15" x14ac:dyDescent="0.25">
      <c r="A24" s="77" t="s">
        <v>81</v>
      </c>
      <c r="B24" s="75">
        <v>1</v>
      </c>
      <c r="C24" s="79">
        <v>0.15</v>
      </c>
      <c r="D24" s="75">
        <v>7</v>
      </c>
    </row>
    <row r="25" spans="1:15" x14ac:dyDescent="0.25">
      <c r="A25" s="77" t="s">
        <v>85</v>
      </c>
      <c r="B25" s="75">
        <v>1</v>
      </c>
      <c r="C25" s="79">
        <v>0.15</v>
      </c>
      <c r="D25" s="75">
        <v>7</v>
      </c>
    </row>
    <row r="26" spans="1:15" x14ac:dyDescent="0.25">
      <c r="A26" s="77" t="s">
        <v>86</v>
      </c>
      <c r="B26" s="75">
        <v>1</v>
      </c>
      <c r="C26" s="79">
        <v>0.2</v>
      </c>
      <c r="D26" s="75">
        <v>7</v>
      </c>
    </row>
    <row r="27" spans="1:15" hidden="1" x14ac:dyDescent="0.25">
      <c r="A27" s="77" t="s">
        <v>88</v>
      </c>
      <c r="B27" s="75">
        <v>1</v>
      </c>
      <c r="C27" s="79">
        <v>0.2</v>
      </c>
      <c r="D27" s="75">
        <v>7</v>
      </c>
    </row>
    <row r="28" spans="1:15" s="131" customFormat="1" x14ac:dyDescent="0.25">
      <c r="A28" s="3" t="s">
        <v>89</v>
      </c>
      <c r="B28" s="56">
        <v>0</v>
      </c>
      <c r="C28" s="57">
        <v>0</v>
      </c>
      <c r="D28" s="56">
        <v>0</v>
      </c>
      <c r="E28"/>
      <c r="F28"/>
      <c r="G28"/>
      <c r="H28"/>
    </row>
    <row r="29" spans="1:15" s="131" customFormat="1" x14ac:dyDescent="0.25">
      <c r="B29" s="132"/>
      <c r="C29" s="133"/>
      <c r="D29" s="132"/>
      <c r="G29" s="132"/>
      <c r="H29" s="134"/>
    </row>
    <row r="30" spans="1:15" ht="15.75" customHeight="1" x14ac:dyDescent="0.25">
      <c r="A30" s="131"/>
      <c r="B30" s="132"/>
      <c r="C30" s="133"/>
      <c r="D30" s="132"/>
      <c r="E30" s="131"/>
    </row>
    <row r="31" spans="1:15" ht="18.75" customHeight="1" x14ac:dyDescent="0.25"/>
    <row r="32" spans="1:15" ht="31.5" customHeight="1" x14ac:dyDescent="0.3">
      <c r="A32" s="70" t="s">
        <v>131</v>
      </c>
      <c r="F32" s="70" t="s">
        <v>132</v>
      </c>
    </row>
    <row r="33" spans="1:9" ht="31.5" x14ac:dyDescent="0.25">
      <c r="A33" s="55" t="s">
        <v>66</v>
      </c>
      <c r="B33" s="74" t="s">
        <v>133</v>
      </c>
      <c r="C33" s="74" t="s">
        <v>134</v>
      </c>
      <c r="F33" s="55" t="s">
        <v>66</v>
      </c>
      <c r="G33" s="74" t="s">
        <v>118</v>
      </c>
      <c r="H33" s="74" t="s">
        <v>129</v>
      </c>
    </row>
    <row r="34" spans="1:9" x14ac:dyDescent="0.25">
      <c r="A34" s="59" t="s">
        <v>81</v>
      </c>
      <c r="B34" s="75">
        <v>0</v>
      </c>
      <c r="C34" s="76">
        <v>0</v>
      </c>
      <c r="F34" s="59" t="s">
        <v>81</v>
      </c>
      <c r="G34" s="75">
        <v>0</v>
      </c>
      <c r="H34" s="76">
        <v>0</v>
      </c>
    </row>
    <row r="35" spans="1:9" x14ac:dyDescent="0.25">
      <c r="A35" s="59" t="s">
        <v>85</v>
      </c>
      <c r="B35" s="75">
        <v>0</v>
      </c>
      <c r="C35" s="76">
        <v>0</v>
      </c>
      <c r="F35" s="59" t="s">
        <v>85</v>
      </c>
      <c r="G35" s="75">
        <v>0</v>
      </c>
      <c r="H35" s="76">
        <v>0</v>
      </c>
    </row>
    <row r="36" spans="1:9" x14ac:dyDescent="0.25">
      <c r="A36" s="59" t="s">
        <v>86</v>
      </c>
      <c r="B36" s="75">
        <v>0</v>
      </c>
      <c r="C36" s="76">
        <v>0</v>
      </c>
      <c r="F36" s="59" t="s">
        <v>86</v>
      </c>
      <c r="G36" s="75">
        <v>0</v>
      </c>
      <c r="H36" s="76">
        <v>0</v>
      </c>
    </row>
    <row r="37" spans="1:9" hidden="1" x14ac:dyDescent="0.25">
      <c r="A37" s="59" t="s">
        <v>88</v>
      </c>
      <c r="B37" s="75">
        <v>0</v>
      </c>
      <c r="C37" s="76">
        <v>0</v>
      </c>
      <c r="F37" s="59" t="s">
        <v>88</v>
      </c>
      <c r="G37" s="75">
        <v>0</v>
      </c>
      <c r="H37" s="76">
        <v>0</v>
      </c>
      <c r="I37" s="131"/>
    </row>
    <row r="38" spans="1:9" x14ac:dyDescent="0.25">
      <c r="A38" s="3" t="s">
        <v>89</v>
      </c>
      <c r="B38" s="56">
        <v>0</v>
      </c>
      <c r="C38" s="58">
        <v>0</v>
      </c>
      <c r="I38" s="131"/>
    </row>
    <row r="40" spans="1:9" ht="18.75" customHeight="1" x14ac:dyDescent="0.25"/>
    <row r="41" spans="1:9" ht="31.5" customHeight="1" x14ac:dyDescent="0.25"/>
    <row r="43" spans="1:9" ht="18.75" x14ac:dyDescent="0.3">
      <c r="A43" s="70" t="s">
        <v>135</v>
      </c>
    </row>
    <row r="44" spans="1:9" ht="31.5" x14ac:dyDescent="0.25">
      <c r="A44" s="55" t="s">
        <v>66</v>
      </c>
      <c r="B44" s="74" t="s">
        <v>136</v>
      </c>
      <c r="C44" s="74" t="s">
        <v>137</v>
      </c>
    </row>
    <row r="45" spans="1:9" x14ac:dyDescent="0.25">
      <c r="A45" s="59" t="s">
        <v>81</v>
      </c>
      <c r="B45" s="75">
        <v>0</v>
      </c>
      <c r="C45" s="76">
        <v>0</v>
      </c>
    </row>
    <row r="46" spans="1:9" x14ac:dyDescent="0.25">
      <c r="A46" s="59" t="s">
        <v>85</v>
      </c>
      <c r="B46" s="75">
        <v>0</v>
      </c>
      <c r="C46" s="76">
        <v>0</v>
      </c>
    </row>
    <row r="47" spans="1:9" x14ac:dyDescent="0.25">
      <c r="A47" s="59" t="s">
        <v>86</v>
      </c>
      <c r="B47" s="75">
        <v>0</v>
      </c>
      <c r="C47" s="76">
        <v>0</v>
      </c>
    </row>
    <row r="48" spans="1:9" x14ac:dyDescent="0.25">
      <c r="A48" s="59" t="s">
        <v>88</v>
      </c>
      <c r="B48" s="75">
        <v>0</v>
      </c>
      <c r="C48" s="76">
        <v>0</v>
      </c>
    </row>
    <row r="51" ht="18.75" customHeight="1" x14ac:dyDescent="0.25"/>
    <row r="52" ht="31.5" customHeight="1" x14ac:dyDescent="0.25"/>
  </sheetData>
  <mergeCells count="1">
    <mergeCell ref="A1:O1"/>
  </mergeCells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26"/>
  <sheetViews>
    <sheetView zoomScale="130" zoomScaleNormal="130" workbookViewId="0">
      <selection activeCell="D38" sqref="D38"/>
    </sheetView>
  </sheetViews>
  <sheetFormatPr defaultRowHeight="15" x14ac:dyDescent="0.25"/>
  <cols>
    <col min="1" max="8" width="18" customWidth="1"/>
    <col min="9" max="10" width="18" hidden="1" customWidth="1"/>
  </cols>
  <sheetData>
    <row r="1" spans="1:12" ht="21" customHeight="1" x14ac:dyDescent="0.35">
      <c r="A1" s="215" t="s">
        <v>138</v>
      </c>
      <c r="B1" s="207"/>
      <c r="C1" s="207"/>
      <c r="D1" s="207"/>
      <c r="E1" s="207"/>
      <c r="F1" s="207"/>
      <c r="G1" s="207"/>
      <c r="H1" s="207"/>
      <c r="I1" s="207"/>
      <c r="J1" s="207"/>
      <c r="K1" s="207"/>
      <c r="L1" s="207"/>
    </row>
    <row r="3" spans="1:12" ht="18.75" customHeight="1" x14ac:dyDescent="0.3">
      <c r="A3" s="1" t="s">
        <v>139</v>
      </c>
    </row>
    <row r="4" spans="1:12" ht="31.5" customHeight="1" x14ac:dyDescent="0.25">
      <c r="A4" s="2" t="s">
        <v>140</v>
      </c>
      <c r="B4" s="2" t="s">
        <v>141</v>
      </c>
      <c r="C4" s="2" t="s">
        <v>142</v>
      </c>
      <c r="D4" s="2" t="s">
        <v>143</v>
      </c>
      <c r="E4" s="2" t="s">
        <v>144</v>
      </c>
      <c r="F4" s="2" t="s">
        <v>117</v>
      </c>
      <c r="G4" s="2" t="s">
        <v>145</v>
      </c>
      <c r="H4" s="2" t="s">
        <v>146</v>
      </c>
      <c r="I4" s="2" t="s">
        <v>147</v>
      </c>
      <c r="J4" s="2" t="s">
        <v>148</v>
      </c>
    </row>
    <row r="5" spans="1:12" x14ac:dyDescent="0.25">
      <c r="A5" s="37" t="s">
        <v>81</v>
      </c>
      <c r="B5" s="37" t="s">
        <v>149</v>
      </c>
      <c r="C5" s="37">
        <v>3</v>
      </c>
      <c r="D5" s="37" t="s">
        <v>150</v>
      </c>
      <c r="E5" s="38">
        <v>0.85</v>
      </c>
      <c r="F5" s="37" t="s">
        <v>122</v>
      </c>
      <c r="G5" s="39">
        <v>20</v>
      </c>
      <c r="H5" s="37">
        <v>0</v>
      </c>
      <c r="I5" s="37" t="s">
        <v>151</v>
      </c>
      <c r="J5" s="43">
        <f>IF(D5="Weekly",4,1)*IF(F5="Gift Card",G5,IF(F5="Spark Ads",G5,IF(F5="Commission Boost",G5*(INDEX('VIP Levels'!$E$5:$E$9,MATCH(A5,'VIP Levels'!$B$5:$B$9,0))*Inputs!$B$14/30*H5)*Revenue!$B$7,IF(F5="Discount",G5*(INDEX('VIP Levels'!$E$5:$E$9,MATCH(A5,'VIP Levels'!$B$5:$B$9,0))*Inputs!$B$14/30*H5)*Inputs!$B$12,0))))</f>
        <v>20</v>
      </c>
    </row>
    <row r="6" spans="1:12" hidden="1" x14ac:dyDescent="0.25">
      <c r="A6" s="37"/>
      <c r="B6" s="37"/>
      <c r="C6" s="37"/>
      <c r="D6" s="37"/>
      <c r="E6" s="38"/>
      <c r="F6" s="37"/>
      <c r="G6" s="39"/>
      <c r="H6" s="37"/>
      <c r="I6" s="37"/>
      <c r="J6" s="43"/>
    </row>
    <row r="7" spans="1:12" x14ac:dyDescent="0.25">
      <c r="A7" s="37" t="s">
        <v>81</v>
      </c>
      <c r="B7" s="37" t="s">
        <v>153</v>
      </c>
      <c r="C7" s="37">
        <v>1500</v>
      </c>
      <c r="D7" s="37" t="s">
        <v>150</v>
      </c>
      <c r="E7" s="38">
        <v>0.9</v>
      </c>
      <c r="F7" s="37" t="s">
        <v>124</v>
      </c>
      <c r="G7" s="38">
        <v>0.15</v>
      </c>
      <c r="H7" s="37">
        <v>7</v>
      </c>
      <c r="I7" s="37" t="s">
        <v>151</v>
      </c>
      <c r="J7" s="43">
        <f>IF(D7="Weekly",4,1)*IF(F7="Gift Card",G7,IF(F7="Spark Ads",G7,IF(F7="Commission Boost",G7*(INDEX('VIP Levels'!$E$5:$E$9,MATCH(A7,'VIP Levels'!$B$5:$B$9,0))*Inputs!$B$14/30*H7)*Revenue!$B$7,IF(F7="Discount",G7*(INDEX('VIP Levels'!$E$5:$E$9,MATCH(A7,'VIP Levels'!$B$5:$B$9,0))*Inputs!$B$14/30*H7)*Inputs!$B$12,0))))</f>
        <v>5.4590899999999998</v>
      </c>
    </row>
    <row r="8" spans="1:12" x14ac:dyDescent="0.25">
      <c r="A8" s="29" t="s">
        <v>85</v>
      </c>
      <c r="B8" s="29" t="s">
        <v>149</v>
      </c>
      <c r="C8" s="29">
        <v>20</v>
      </c>
      <c r="D8" s="29" t="s">
        <v>154</v>
      </c>
      <c r="E8" s="30">
        <v>0.15</v>
      </c>
      <c r="F8" s="29" t="s">
        <v>122</v>
      </c>
      <c r="G8" s="31">
        <v>30</v>
      </c>
      <c r="H8" s="29">
        <v>0</v>
      </c>
      <c r="I8" s="29" t="s">
        <v>151</v>
      </c>
      <c r="J8" s="44">
        <f>IF(D8="Weekly",4,1)*IF(F8="Gift Card",G8,IF(F8="Spark Ads",G8,IF(F8="Commission Boost",G8*(INDEX('VIP Levels'!$E$5:$E$9,MATCH(A8,'VIP Levels'!$B$5:$B$9,0))*Inputs!$B$14/30*H8)*Revenue!$B$7,IF(F8="Discount",G8*(INDEX('VIP Levels'!$E$5:$E$9,MATCH(A8,'VIP Levels'!$B$5:$B$9,0))*Inputs!$B$14/30*H8)*Inputs!$B$12,0))))</f>
        <v>30</v>
      </c>
    </row>
    <row r="9" spans="1:12" x14ac:dyDescent="0.25">
      <c r="A9" s="29" t="s">
        <v>85</v>
      </c>
      <c r="B9" s="29" t="s">
        <v>152</v>
      </c>
      <c r="C9" s="29">
        <v>15</v>
      </c>
      <c r="D9" s="29" t="s">
        <v>154</v>
      </c>
      <c r="E9" s="30">
        <v>0.6</v>
      </c>
      <c r="F9" s="29" t="s">
        <v>155</v>
      </c>
      <c r="G9" s="30">
        <v>0.1</v>
      </c>
      <c r="H9" s="29">
        <v>7</v>
      </c>
      <c r="I9" s="29" t="s">
        <v>151</v>
      </c>
      <c r="J9" s="44">
        <f>IF(D9="Weekly",4,1)*IF(F9="Gift Card",G9,IF(F9="Spark Ads",G9,IF(F9="Commission Boost",G9*(INDEX('VIP Levels'!$E$5:$E$9,MATCH(A9,'VIP Levels'!$B$5:$B$9,0))*Inputs!$B$14/30*H9)*Revenue!$B$7,IF(F9="Discount",G9*(INDEX('VIP Levels'!$E$5:$E$9,MATCH(A9,'VIP Levels'!$B$5:$B$9,0))*Inputs!$B$14/30*H9)*Inputs!$B$12,0))))</f>
        <v>10.311614444444446</v>
      </c>
    </row>
    <row r="10" spans="1:12" x14ac:dyDescent="0.25">
      <c r="A10" s="29" t="s">
        <v>85</v>
      </c>
      <c r="B10" s="29" t="s">
        <v>153</v>
      </c>
      <c r="C10" s="29">
        <v>10000</v>
      </c>
      <c r="D10" s="29" t="s">
        <v>154</v>
      </c>
      <c r="E10" s="30">
        <v>0.8</v>
      </c>
      <c r="F10" s="29" t="s">
        <v>124</v>
      </c>
      <c r="G10" s="30">
        <v>0.15</v>
      </c>
      <c r="H10" s="29">
        <v>2</v>
      </c>
      <c r="I10" s="29" t="s">
        <v>151</v>
      </c>
      <c r="J10" s="44">
        <f>IF(D10="Weekly",4,1)*IF(F10="Gift Card",G10,IF(F10="Spark Ads",G10,IF(F10="Commission Boost",G10*(INDEX('VIP Levels'!$E$5:$E$9,MATCH(A10,'VIP Levels'!$B$5:$B$9,0))*Inputs!$B$14/30*H10)*Revenue!$B$7,IF(F10="Discount",G10*(INDEX('VIP Levels'!$E$5:$E$9,MATCH(A10,'VIP Levels'!$B$5:$B$9,0))*Inputs!$B$14/30*H10)*Inputs!$B$12,0))))</f>
        <v>4.6792199999999999</v>
      </c>
    </row>
    <row r="11" spans="1:12" x14ac:dyDescent="0.25">
      <c r="A11" s="40" t="s">
        <v>86</v>
      </c>
      <c r="B11" s="40" t="s">
        <v>149</v>
      </c>
      <c r="C11" s="40">
        <v>50</v>
      </c>
      <c r="D11" s="40" t="s">
        <v>154</v>
      </c>
      <c r="E11" s="41">
        <v>0.18</v>
      </c>
      <c r="F11" s="40" t="s">
        <v>122</v>
      </c>
      <c r="G11" s="42">
        <v>75</v>
      </c>
      <c r="H11" s="40">
        <v>0</v>
      </c>
      <c r="I11" s="40" t="s">
        <v>151</v>
      </c>
      <c r="J11" s="46">
        <f>IF(D11="Weekly",4,1)*IF(F11="Gift Card",G11,IF(F11="Spark Ads",G11,IF(F11="Commission Boost",G11*(INDEX('VIP Levels'!$E$5:$E$9,MATCH(A11,'VIP Levels'!$B$5:$B$9,0))*Inputs!$B$14/30*H11)*Revenue!$B$7,IF(F11="Discount",G11*(INDEX('VIP Levels'!$E$5:$E$9,MATCH(A11,'VIP Levels'!$B$5:$B$9,0))*Inputs!$B$14/30*H11)*Inputs!$B$12,0))))</f>
        <v>75</v>
      </c>
    </row>
    <row r="12" spans="1:12" x14ac:dyDescent="0.25">
      <c r="A12" s="40" t="s">
        <v>86</v>
      </c>
      <c r="B12" s="40" t="s">
        <v>152</v>
      </c>
      <c r="C12" s="40">
        <v>20</v>
      </c>
      <c r="D12" s="40" t="s">
        <v>154</v>
      </c>
      <c r="E12" s="41">
        <v>0.7</v>
      </c>
      <c r="F12" s="40" t="s">
        <v>155</v>
      </c>
      <c r="G12" s="41">
        <v>0.1</v>
      </c>
      <c r="H12" s="40">
        <v>7</v>
      </c>
      <c r="I12" s="40" t="s">
        <v>151</v>
      </c>
      <c r="J12" s="46">
        <f>IF(D12="Weekly",4,1)*IF(F12="Gift Card",G12,IF(F12="Spark Ads",G12,IF(F12="Commission Boost",G12*(INDEX('VIP Levels'!$E$5:$E$9,MATCH(A12,'VIP Levels'!$B$5:$B$9,0))*Inputs!$B$14/30*H12)*Revenue!$B$7,IF(F12="Discount",G12*(INDEX('VIP Levels'!$E$5:$E$9,MATCH(A12,'VIP Levels'!$B$5:$B$9,0))*Inputs!$B$14/30*H12)*Inputs!$B$12,0))))</f>
        <v>30.934843333333337</v>
      </c>
    </row>
    <row r="13" spans="1:12" x14ac:dyDescent="0.25">
      <c r="A13" s="40" t="s">
        <v>86</v>
      </c>
      <c r="B13" s="40" t="s">
        <v>153</v>
      </c>
      <c r="C13" s="40">
        <v>20000</v>
      </c>
      <c r="D13" s="40" t="s">
        <v>156</v>
      </c>
      <c r="E13" s="41">
        <v>0.7</v>
      </c>
      <c r="F13" s="40" t="s">
        <v>124</v>
      </c>
      <c r="G13" s="41">
        <v>0.1</v>
      </c>
      <c r="H13" s="40">
        <v>2</v>
      </c>
      <c r="I13" s="40" t="s">
        <v>151</v>
      </c>
      <c r="J13" s="46">
        <f>IF(D13="Weekly",4,1)*IF(F13="Gift Card",G13,IF(F13="Spark Ads",G13,IF(F13="Commission Boost",G13*(INDEX('VIP Levels'!$E$5:$E$9,MATCH(A13,'VIP Levels'!$B$5:$B$9,0))*Inputs!$B$14/30*H13)*Revenue!$B$7,IF(F13="Discount",G13*(INDEX('VIP Levels'!$E$5:$E$9,MATCH(A13,'VIP Levels'!$B$5:$B$9,0))*Inputs!$B$14/30*H13)*Inputs!$B$12,0))))</f>
        <v>37.433760000000007</v>
      </c>
    </row>
    <row r="14" spans="1:12" x14ac:dyDescent="0.25">
      <c r="A14" s="26" t="s">
        <v>88</v>
      </c>
      <c r="B14" s="26" t="s">
        <v>149</v>
      </c>
      <c r="C14" s="26">
        <v>100</v>
      </c>
      <c r="D14" s="26" t="s">
        <v>154</v>
      </c>
      <c r="E14" s="27">
        <v>0.27</v>
      </c>
      <c r="F14" s="26" t="s">
        <v>122</v>
      </c>
      <c r="G14" s="28">
        <v>125</v>
      </c>
      <c r="H14" s="26">
        <v>0</v>
      </c>
      <c r="I14" s="26" t="s">
        <v>151</v>
      </c>
      <c r="J14" s="45">
        <f>IF(D14="Weekly",4,1)*IF(F14="Gift Card",G14,IF(F14="Spark Ads",G14,IF(F14="Commission Boost",G14*(INDEX('VIP Levels'!$E$5:$E$9,MATCH(A14,'VIP Levels'!$B$5:$B$9,0))*Inputs!$B$14/30*H14)*Revenue!$B$7,IF(F14="Discount",G14*(INDEX('VIP Levels'!$E$5:$E$9,MATCH(A14,'VIP Levels'!$B$5:$B$9,0))*Inputs!$B$14/30*H14)*Inputs!$B$12,0))))</f>
        <v>125</v>
      </c>
    </row>
    <row r="15" spans="1:12" ht="15.75" customHeight="1" x14ac:dyDescent="0.25">
      <c r="A15" s="26" t="s">
        <v>88</v>
      </c>
      <c r="B15" s="26" t="s">
        <v>152</v>
      </c>
      <c r="C15" s="26">
        <v>5</v>
      </c>
      <c r="D15" s="26" t="s">
        <v>156</v>
      </c>
      <c r="E15" s="27">
        <v>0.7</v>
      </c>
      <c r="F15" s="26" t="s">
        <v>155</v>
      </c>
      <c r="G15" s="27">
        <v>0.15</v>
      </c>
      <c r="H15" s="26">
        <v>3</v>
      </c>
      <c r="I15" s="26" t="s">
        <v>151</v>
      </c>
      <c r="J15" s="45">
        <f>IF(D15="Weekly",4,1)*IF(F15="Gift Card",G15,IF(F15="Spark Ads",G15,IF(F15="Commission Boost",G15*(INDEX('VIP Levels'!$E$5:$E$9,MATCH(A15,'VIP Levels'!$B$5:$B$9,0))*Inputs!$B$14/30*H15)*Revenue!$B$7,IF(F15="Discount",G15*(INDEX('VIP Levels'!$E$5:$E$9,MATCH(A15,'VIP Levels'!$B$5:$B$9,0))*Inputs!$B$14/30*H15)*Inputs!$B$12,0))))</f>
        <v>238.64022000000006</v>
      </c>
    </row>
    <row r="16" spans="1:12" x14ac:dyDescent="0.25">
      <c r="A16" s="26" t="s">
        <v>88</v>
      </c>
      <c r="B16" s="26" t="s">
        <v>153</v>
      </c>
      <c r="C16" s="26">
        <v>20000</v>
      </c>
      <c r="D16" s="26" t="s">
        <v>156</v>
      </c>
      <c r="E16" s="27">
        <v>0.5</v>
      </c>
      <c r="F16" s="26" t="s">
        <v>124</v>
      </c>
      <c r="G16" s="27">
        <v>0.15</v>
      </c>
      <c r="H16" s="26">
        <v>2</v>
      </c>
      <c r="I16" s="26" t="s">
        <v>151</v>
      </c>
      <c r="J16" s="45">
        <f>IF(D16="Weekly",4,1)*IF(F16="Gift Card",G16,IF(F16="Spark Ads",G16,IF(F16="Commission Boost",G16*(INDEX('VIP Levels'!$E$5:$E$9,MATCH(A16,'VIP Levels'!$B$5:$B$9,0))*Inputs!$B$14/30*H16)*Revenue!$B$7,IF(F16="Discount",G16*(INDEX('VIP Levels'!$E$5:$E$9,MATCH(A16,'VIP Levels'!$B$5:$B$9,0))*Inputs!$B$14/30*H16)*Inputs!$B$12,0))))</f>
        <v>168.45192000000003</v>
      </c>
    </row>
    <row r="17" spans="1:10" hidden="1" x14ac:dyDescent="0.25">
      <c r="A17" s="32"/>
      <c r="B17" s="32"/>
      <c r="C17" s="32"/>
      <c r="D17" s="32"/>
      <c r="E17" s="32"/>
      <c r="F17" s="32"/>
      <c r="G17" s="32"/>
      <c r="H17" s="32"/>
      <c r="I17" s="32"/>
      <c r="J17" s="33">
        <f>IF(F17="Gift Card",G17,IF(F17="Spark Ads",G17,IF(F17="Commission Boost",G17*(INDEX('VIP Levels'!$E$5:$E$9,MATCH(A17,'VIP Levels'!$B$5:$B$9,0))*Inputs!$B$14/30*H17)*Revenue!$B$7,IF(F17="Discount",G17*(INDEX('VIP Levels'!$E$5:$E$9,MATCH(A17,'VIP Levels'!$B$5:$B$9,0))*Inputs!$B$14/30*H17)*Inputs!$B$13,0))))</f>
        <v>0</v>
      </c>
    </row>
    <row r="18" spans="1:10" hidden="1" x14ac:dyDescent="0.25">
      <c r="A18" s="32"/>
      <c r="B18" s="32"/>
      <c r="C18" s="32"/>
      <c r="D18" s="32"/>
      <c r="E18" s="32"/>
      <c r="F18" s="32"/>
      <c r="G18" s="32"/>
      <c r="H18" s="32"/>
      <c r="I18" s="32"/>
      <c r="J18" s="33">
        <f>IF(F18="Gift Card",G18,IF(F18="Spark Ads",G18,IF(F18="Commission Boost",G18*(INDEX('VIP Levels'!$E$5:$E$9,MATCH(A18,'VIP Levels'!$B$5:$B$9,0))*Inputs!$B$14/30*H18)*Revenue!$B$7,IF(F18="Discount",G18*(INDEX('VIP Levels'!$E$5:$E$9,MATCH(A18,'VIP Levels'!$B$5:$B$9,0))*Inputs!$B$14/30*H18)*Inputs!$B$13,0))))</f>
        <v>0</v>
      </c>
    </row>
    <row r="19" spans="1:10" hidden="1" x14ac:dyDescent="0.25">
      <c r="A19" s="32"/>
      <c r="B19" s="32"/>
      <c r="C19" s="32"/>
      <c r="D19" s="32"/>
      <c r="E19" s="32"/>
      <c r="F19" s="32"/>
      <c r="G19" s="32"/>
      <c r="H19" s="32"/>
      <c r="I19" s="32"/>
      <c r="J19" s="33">
        <f>IF(F19="Gift Card",G19,IF(F19="Spark Ads",G19,IF(F19="Commission Boost",G19*(INDEX('VIP Levels'!$E$5:$E$9,MATCH(A19,'VIP Levels'!$B$5:$B$9,0))*Inputs!$B$14/30*H19)*Revenue!$B$7,IF(F19="Discount",G19*(INDEX('VIP Levels'!$E$5:$E$9,MATCH(A19,'VIP Levels'!$B$5:$B$9,0))*Inputs!$B$14/30*H19)*Inputs!$B$13,0))))</f>
        <v>0</v>
      </c>
    </row>
    <row r="20" spans="1:10" hidden="1" x14ac:dyDescent="0.25">
      <c r="A20" s="32"/>
      <c r="B20" s="32"/>
      <c r="C20" s="32"/>
      <c r="D20" s="32"/>
      <c r="E20" s="32"/>
      <c r="F20" s="32"/>
      <c r="G20" s="32"/>
      <c r="H20" s="32"/>
      <c r="I20" s="32"/>
      <c r="J20" s="33">
        <f>IF(F20="Gift Card",G20,IF(F20="Spark Ads",G20,IF(F20="Commission Boost",G20*(INDEX('VIP Levels'!$E$5:$E$9,MATCH(A20,'VIP Levels'!$B$5:$B$9,0))*Inputs!$B$14/30*H20)*Revenue!$B$7,IF(F20="Discount",G20*(INDEX('VIP Levels'!$E$5:$E$9,MATCH(A20,'VIP Levels'!$B$5:$B$9,0))*Inputs!$B$14/30*H20)*Inputs!$B$13,0))))</f>
        <v>0</v>
      </c>
    </row>
    <row r="21" spans="1:10" hidden="1" x14ac:dyDescent="0.25">
      <c r="A21" s="32"/>
      <c r="B21" s="32"/>
      <c r="C21" s="32"/>
      <c r="D21" s="32"/>
      <c r="E21" s="32"/>
      <c r="F21" s="32"/>
      <c r="G21" s="32"/>
      <c r="H21" s="32"/>
      <c r="I21" s="32"/>
      <c r="J21" s="33">
        <f>IF(F21="Gift Card",G21,IF(F21="Spark Ads",G21,IF(F21="Commission Boost",G21*(INDEX('VIP Levels'!$E$5:$E$9,MATCH(A21,'VIP Levels'!$B$5:$B$9,0))*Inputs!$B$14/30*H21)*Revenue!$B$7,IF(F21="Discount",G21*(INDEX('VIP Levels'!$E$5:$E$9,MATCH(A21,'VIP Levels'!$B$5:$B$9,0))*Inputs!$B$14/30*H21)*Inputs!$B$13,0))))</f>
        <v>0</v>
      </c>
    </row>
    <row r="22" spans="1:10" hidden="1" x14ac:dyDescent="0.25">
      <c r="A22" s="32"/>
      <c r="B22" s="32"/>
      <c r="C22" s="32"/>
      <c r="D22" s="32"/>
      <c r="E22" s="32"/>
      <c r="F22" s="32"/>
      <c r="G22" s="32"/>
      <c r="H22" s="32"/>
      <c r="I22" s="32"/>
      <c r="J22" s="33">
        <f>IF(F22="Gift Card",G22,IF(F22="Spark Ads",G22,IF(F22="Commission Boost",G22*(INDEX('VIP Levels'!$E$5:$E$9,MATCH(A22,'VIP Levels'!$B$5:$B$9,0))*Inputs!$B$14/30*H22)*Revenue!$B$7,IF(F22="Discount",G22*(INDEX('VIP Levels'!$E$5:$E$9,MATCH(A22,'VIP Levels'!$B$5:$B$9,0))*Inputs!$B$14/30*H22)*Inputs!$B$13,0))))</f>
        <v>0</v>
      </c>
    </row>
    <row r="23" spans="1:10" hidden="1" x14ac:dyDescent="0.25">
      <c r="A23" s="32"/>
      <c r="B23" s="32"/>
      <c r="C23" s="32"/>
      <c r="D23" s="32"/>
      <c r="E23" s="32"/>
      <c r="F23" s="32"/>
      <c r="G23" s="32"/>
      <c r="H23" s="32"/>
      <c r="I23" s="32"/>
      <c r="J23" s="33">
        <f>IF(F23="Gift Card",G23,IF(F23="Spark Ads",G23,IF(F23="Commission Boost",G23*(INDEX('VIP Levels'!$E$5:$E$9,MATCH(A23,'VIP Levels'!$B$5:$B$9,0))*Inputs!$B$14/30*H23)*Revenue!$B$7,IF(F23="Discount",G23*(INDEX('VIP Levels'!$E$5:$E$9,MATCH(A23,'VIP Levels'!$B$5:$B$9,0))*Inputs!$B$14/30*H23)*Inputs!$B$13,0))))</f>
        <v>0</v>
      </c>
    </row>
    <row r="24" spans="1:10" hidden="1" x14ac:dyDescent="0.25">
      <c r="A24" s="32"/>
      <c r="B24" s="32"/>
      <c r="C24" s="32"/>
      <c r="D24" s="32"/>
      <c r="E24" s="32"/>
      <c r="F24" s="32"/>
      <c r="G24" s="32"/>
      <c r="H24" s="32"/>
      <c r="I24" s="32"/>
      <c r="J24" s="33">
        <f>IF(F24="Gift Card",G24,IF(F24="Spark Ads",G24,IF(F24="Commission Boost",G24*(INDEX('VIP Levels'!$E$5:$E$9,MATCH(A24,'VIP Levels'!$B$5:$B$9,0))*Inputs!$B$14/30*H24)*Revenue!$B$7,IF(F24="Discount",G24*(INDEX('VIP Levels'!$E$5:$E$9,MATCH(A24,'VIP Levels'!$B$5:$B$9,0))*Inputs!$B$14/30*H24)*Inputs!$B$13,0))))</f>
        <v>0</v>
      </c>
    </row>
    <row r="25" spans="1:10" hidden="1" x14ac:dyDescent="0.25">
      <c r="A25" s="32"/>
      <c r="B25" s="32"/>
      <c r="C25" s="32"/>
      <c r="D25" s="32"/>
      <c r="E25" s="32"/>
      <c r="F25" s="32"/>
      <c r="G25" s="32"/>
      <c r="H25" s="32"/>
      <c r="I25" s="32"/>
      <c r="J25" s="33">
        <f>IF(F25="Gift Card",G25,IF(F25="Spark Ads",G25,IF(F25="Commission Boost",G25*INDEX('VIP Levels'!$E$5:$E$9,MATCH(A25,'VIP Levels'!$B$5:$B$9,0))*Inputs!$B$14*Revenue!$B$7,0)))</f>
        <v>0</v>
      </c>
    </row>
    <row r="26" spans="1:10" hidden="1" x14ac:dyDescent="0.25">
      <c r="A26" s="32"/>
      <c r="B26" s="32"/>
      <c r="C26" s="32"/>
      <c r="D26" s="32"/>
      <c r="E26" s="32"/>
      <c r="F26" s="32"/>
      <c r="G26" s="32"/>
      <c r="H26" s="32"/>
      <c r="I26" s="32"/>
      <c r="J26" s="33">
        <f>IF(F26="Gift Card",G26,IF(F26="Spark Ads",G26,IF(F26="Commission Boost",G26*INDEX('VIP Levels'!$E$5:$E$9,MATCH(A26,'VIP Levels'!$B$5:$B$9,0))*Inputs!$B$14*Revenue!$B$7,0)))</f>
        <v>0</v>
      </c>
    </row>
  </sheetData>
  <mergeCells count="1">
    <mergeCell ref="A1:L1"/>
  </mergeCells>
  <pageMargins left="0.75" right="0.75" top="1" bottom="1" header="0.5" footer="0.5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23"/>
  <sheetViews>
    <sheetView workbookViewId="0">
      <selection activeCell="F30" sqref="F30"/>
    </sheetView>
  </sheetViews>
  <sheetFormatPr defaultRowHeight="15" x14ac:dyDescent="0.25"/>
  <cols>
    <col min="1" max="1" width="35" customWidth="1"/>
    <col min="2" max="13" width="12" customWidth="1"/>
  </cols>
  <sheetData>
    <row r="1" spans="1:17" ht="21" customHeight="1" x14ac:dyDescent="0.35">
      <c r="A1" s="215" t="s">
        <v>157</v>
      </c>
      <c r="B1" s="207"/>
      <c r="C1" s="207"/>
      <c r="D1" s="207"/>
      <c r="E1" s="207"/>
      <c r="F1" s="207"/>
      <c r="G1" s="207"/>
      <c r="H1" s="207"/>
      <c r="I1" s="207"/>
      <c r="J1" s="207"/>
      <c r="K1" s="207"/>
      <c r="L1" s="207"/>
      <c r="M1" s="207"/>
      <c r="N1" s="207"/>
    </row>
    <row r="3" spans="1:17" ht="15.75" customHeight="1" x14ac:dyDescent="0.25">
      <c r="A3" s="2" t="s">
        <v>158</v>
      </c>
      <c r="B3" s="2" t="s">
        <v>67</v>
      </c>
      <c r="C3" s="2" t="s">
        <v>68</v>
      </c>
      <c r="D3" s="2" t="s">
        <v>69</v>
      </c>
      <c r="E3" s="2" t="s">
        <v>70</v>
      </c>
      <c r="F3" s="2" t="s">
        <v>71</v>
      </c>
      <c r="G3" s="2" t="s">
        <v>72</v>
      </c>
      <c r="H3" s="2" t="s">
        <v>73</v>
      </c>
      <c r="I3" s="2" t="s">
        <v>74</v>
      </c>
      <c r="J3" s="2" t="s">
        <v>75</v>
      </c>
      <c r="K3" s="2" t="s">
        <v>76</v>
      </c>
      <c r="L3" s="2" t="s">
        <v>77</v>
      </c>
      <c r="M3" s="2" t="s">
        <v>78</v>
      </c>
    </row>
    <row r="4" spans="1:17" x14ac:dyDescent="0.25">
      <c r="A4" s="9" t="s">
        <v>159</v>
      </c>
      <c r="B4" s="8">
        <f>Inputs!$B$5</f>
        <v>150</v>
      </c>
      <c r="C4" s="8">
        <f>Inputs!$B$6</f>
        <v>100</v>
      </c>
      <c r="D4" s="8">
        <f>Inputs!$B$6</f>
        <v>100</v>
      </c>
      <c r="E4" s="8">
        <f>Inputs!$B$6</f>
        <v>100</v>
      </c>
      <c r="F4" s="8">
        <f>Inputs!$B$6</f>
        <v>100</v>
      </c>
      <c r="G4" s="8">
        <f>Inputs!$B$6</f>
        <v>100</v>
      </c>
      <c r="H4" s="8">
        <f>Inputs!$B$6</f>
        <v>100</v>
      </c>
      <c r="I4" s="8">
        <f>Inputs!$B$6</f>
        <v>100</v>
      </c>
      <c r="J4" s="8">
        <f>Inputs!$B$6</f>
        <v>100</v>
      </c>
      <c r="K4" s="8">
        <f>Inputs!$B$6</f>
        <v>100</v>
      </c>
      <c r="L4" s="8">
        <f>Inputs!$B$6</f>
        <v>100</v>
      </c>
      <c r="M4" s="8">
        <f>Inputs!$B$6</f>
        <v>100</v>
      </c>
    </row>
    <row r="5" spans="1:17" x14ac:dyDescent="0.25">
      <c r="A5" s="9" t="s">
        <v>160</v>
      </c>
      <c r="B5" s="8">
        <f t="array" ref="B5">ROUND(B4*SampleAffConv,0)</f>
        <v>105</v>
      </c>
      <c r="C5" s="8">
        <f t="shared" ref="C5:M5" si="0">ROUND(C4*SampleAffConv,0)</f>
        <v>70</v>
      </c>
      <c r="D5" s="8">
        <f t="shared" si="0"/>
        <v>70</v>
      </c>
      <c r="E5" s="8">
        <f t="shared" si="0"/>
        <v>70</v>
      </c>
      <c r="F5" s="8">
        <f t="shared" si="0"/>
        <v>70</v>
      </c>
      <c r="G5" s="8">
        <f t="shared" si="0"/>
        <v>70</v>
      </c>
      <c r="H5" s="8">
        <f t="shared" si="0"/>
        <v>70</v>
      </c>
      <c r="I5" s="8">
        <f t="shared" si="0"/>
        <v>70</v>
      </c>
      <c r="J5" s="8">
        <f t="shared" si="0"/>
        <v>70</v>
      </c>
      <c r="K5" s="8">
        <f t="shared" si="0"/>
        <v>70</v>
      </c>
      <c r="L5" s="8">
        <f t="shared" si="0"/>
        <v>70</v>
      </c>
      <c r="M5" s="8">
        <f t="shared" si="0"/>
        <v>70</v>
      </c>
    </row>
    <row r="6" spans="1:17" x14ac:dyDescent="0.25">
      <c r="A6" s="9" t="s">
        <v>161</v>
      </c>
      <c r="B6" s="8">
        <f>Inputs!B$42</f>
        <v>0</v>
      </c>
      <c r="C6" s="8">
        <f>Inputs!C$42</f>
        <v>0</v>
      </c>
      <c r="D6" s="8">
        <f>Inputs!D$42</f>
        <v>0</v>
      </c>
      <c r="E6" s="8">
        <f>Inputs!E$42</f>
        <v>0</v>
      </c>
      <c r="F6" s="8">
        <f>Inputs!F$42</f>
        <v>0</v>
      </c>
      <c r="G6" s="8">
        <f>Inputs!G$42</f>
        <v>0</v>
      </c>
      <c r="H6" s="8">
        <f>Inputs!H$42</f>
        <v>0</v>
      </c>
      <c r="I6" s="8">
        <f>Inputs!I$42</f>
        <v>0</v>
      </c>
      <c r="J6" s="8">
        <f>Inputs!J$42</f>
        <v>0</v>
      </c>
      <c r="K6" s="8">
        <f>Inputs!K$42</f>
        <v>0</v>
      </c>
      <c r="L6" s="8">
        <f>Inputs!L$42</f>
        <v>0</v>
      </c>
      <c r="M6" s="8">
        <f>Inputs!M$42</f>
        <v>0</v>
      </c>
    </row>
    <row r="7" spans="1:17" x14ac:dyDescent="0.25">
      <c r="A7" s="9" t="s">
        <v>162</v>
      </c>
      <c r="B7" s="8">
        <f t="shared" ref="B7:M7" si="1">B5+B6</f>
        <v>105</v>
      </c>
      <c r="C7" s="8">
        <f t="shared" si="1"/>
        <v>70</v>
      </c>
      <c r="D7" s="8">
        <f t="shared" si="1"/>
        <v>70</v>
      </c>
      <c r="E7" s="8">
        <f t="shared" si="1"/>
        <v>70</v>
      </c>
      <c r="F7" s="8">
        <f t="shared" si="1"/>
        <v>70</v>
      </c>
      <c r="G7" s="8">
        <f t="shared" si="1"/>
        <v>70</v>
      </c>
      <c r="H7" s="8">
        <f t="shared" si="1"/>
        <v>70</v>
      </c>
      <c r="I7" s="8">
        <f t="shared" si="1"/>
        <v>70</v>
      </c>
      <c r="J7" s="8">
        <f t="shared" si="1"/>
        <v>70</v>
      </c>
      <c r="K7" s="8">
        <f t="shared" si="1"/>
        <v>70</v>
      </c>
      <c r="L7" s="8">
        <f t="shared" si="1"/>
        <v>70</v>
      </c>
      <c r="M7" s="8">
        <f t="shared" si="1"/>
        <v>70</v>
      </c>
      <c r="Q7" t="s">
        <v>163</v>
      </c>
    </row>
    <row r="8" spans="1:17" x14ac:dyDescent="0.25">
      <c r="A8" s="9" t="s">
        <v>164</v>
      </c>
      <c r="B8" s="8">
        <f>B7</f>
        <v>105</v>
      </c>
      <c r="C8" s="8">
        <f t="shared" ref="C8:M8" si="2">B8+C7</f>
        <v>175</v>
      </c>
      <c r="D8" s="8">
        <f t="shared" si="2"/>
        <v>245</v>
      </c>
      <c r="E8" s="8">
        <f t="shared" si="2"/>
        <v>315</v>
      </c>
      <c r="F8" s="8">
        <f t="shared" si="2"/>
        <v>385</v>
      </c>
      <c r="G8" s="8">
        <f t="shared" si="2"/>
        <v>455</v>
      </c>
      <c r="H8" s="8">
        <f t="shared" si="2"/>
        <v>525</v>
      </c>
      <c r="I8" s="8">
        <f t="shared" si="2"/>
        <v>595</v>
      </c>
      <c r="J8" s="8">
        <f t="shared" si="2"/>
        <v>665</v>
      </c>
      <c r="K8" s="8">
        <f t="shared" si="2"/>
        <v>735</v>
      </c>
      <c r="L8" s="8">
        <f t="shared" si="2"/>
        <v>805</v>
      </c>
      <c r="M8" s="8">
        <f t="shared" si="2"/>
        <v>875</v>
      </c>
    </row>
    <row r="9" spans="1:17" x14ac:dyDescent="0.25">
      <c r="A9" s="9" t="s">
        <v>165</v>
      </c>
      <c r="B9" s="8">
        <f t="shared" ref="B9:M9" si="3">B10+B11</f>
        <v>263</v>
      </c>
      <c r="C9" s="8">
        <f t="shared" si="3"/>
        <v>548</v>
      </c>
      <c r="D9" s="8">
        <f t="shared" si="3"/>
        <v>901</v>
      </c>
      <c r="E9" s="8">
        <f t="shared" si="3"/>
        <v>1407</v>
      </c>
      <c r="F9" s="8">
        <f t="shared" si="3"/>
        <v>1969</v>
      </c>
      <c r="G9" s="8">
        <f t="shared" si="3"/>
        <v>2597</v>
      </c>
      <c r="H9" s="8">
        <f t="shared" si="3"/>
        <v>3377</v>
      </c>
      <c r="I9" s="8">
        <f t="shared" si="3"/>
        <v>4255</v>
      </c>
      <c r="J9" s="8">
        <f t="shared" si="3"/>
        <v>5154</v>
      </c>
      <c r="K9" s="8">
        <f t="shared" si="3"/>
        <v>6178</v>
      </c>
      <c r="L9" s="8">
        <f t="shared" si="3"/>
        <v>7301</v>
      </c>
      <c r="M9" s="8">
        <f t="shared" si="3"/>
        <v>8533</v>
      </c>
    </row>
    <row r="10" spans="1:17" x14ac:dyDescent="0.25">
      <c r="A10" s="9" t="s">
        <v>166</v>
      </c>
      <c r="B10" s="8">
        <f>ROUND(B13*'VIP Levels'!$E$5+B14*'VIP Levels'!$E$6+B15*'VIP Levels'!$E$7+B16*'VIP Levels'!$E$8+B17*'VIP Levels'!$E$9,0)</f>
        <v>230</v>
      </c>
      <c r="C10" s="8">
        <f>ROUND(C13*'VIP Levels'!$E$5+C14*'VIP Levels'!$E$6+C15*'VIP Levels'!$E$7+C16*'VIP Levels'!$E$8+C17*'VIP Levels'!$E$9,0)</f>
        <v>500</v>
      </c>
      <c r="D10" s="8">
        <f>ROUND(D13*'VIP Levels'!$E$5+D14*'VIP Levels'!$E$6+D15*'VIP Levels'!$E$7+D16*'VIP Levels'!$E$8+D17*'VIP Levels'!$E$9,0)</f>
        <v>832</v>
      </c>
      <c r="E10" s="8">
        <f>ROUND(E13*'VIP Levels'!$E$5+E14*'VIP Levels'!$E$6+E15*'VIP Levels'!$E$7+E16*'VIP Levels'!$E$8+E17*'VIP Levels'!$E$9,0)</f>
        <v>1300</v>
      </c>
      <c r="F10" s="8">
        <f>ROUND(F13*'VIP Levels'!$E$5+F14*'VIP Levels'!$E$6+F15*'VIP Levels'!$E$7+F16*'VIP Levels'!$E$8+F17*'VIP Levels'!$E$9,0)</f>
        <v>1830</v>
      </c>
      <c r="G10" s="8">
        <f>ROUND(G13*'VIP Levels'!$E$5+G14*'VIP Levels'!$E$6+G15*'VIP Levels'!$E$7+G16*'VIP Levels'!$E$8+G17*'VIP Levels'!$E$9,0)</f>
        <v>2422</v>
      </c>
      <c r="H10" s="8">
        <f>ROUND(H13*'VIP Levels'!$E$5+H14*'VIP Levels'!$E$6+H15*'VIP Levels'!$E$7+H16*'VIP Levels'!$E$8+H17*'VIP Levels'!$E$9,0)</f>
        <v>3150</v>
      </c>
      <c r="I10" s="8">
        <f>ROUND(I13*'VIP Levels'!$E$5+I14*'VIP Levels'!$E$6+I15*'VIP Levels'!$E$7+I16*'VIP Levels'!$E$8+I17*'VIP Levels'!$E$9,0)</f>
        <v>3976</v>
      </c>
      <c r="J10" s="8">
        <f>ROUND(J13*'VIP Levels'!$E$5+J14*'VIP Levels'!$E$6+J15*'VIP Levels'!$E$7+J16*'VIP Levels'!$E$8+J17*'VIP Levels'!$E$9,0)</f>
        <v>4830</v>
      </c>
      <c r="K10" s="8">
        <f>ROUND(K13*'VIP Levels'!$E$5+K14*'VIP Levels'!$E$6+K15*'VIP Levels'!$E$7+K16*'VIP Levels'!$E$8+K17*'VIP Levels'!$E$9,0)</f>
        <v>5792</v>
      </c>
      <c r="L10" s="8">
        <f>ROUND(L13*'VIP Levels'!$E$5+L14*'VIP Levels'!$E$6+L15*'VIP Levels'!$E$7+L16*'VIP Levels'!$E$8+L17*'VIP Levels'!$E$9,0)</f>
        <v>6850</v>
      </c>
      <c r="M10" s="8">
        <f>ROUND(M13*'VIP Levels'!$E$5+M14*'VIP Levels'!$E$6+M15*'VIP Levels'!$E$7+M16*'VIP Levels'!$E$8+M17*'VIP Levels'!$E$9,0)</f>
        <v>8010</v>
      </c>
    </row>
    <row r="11" spans="1:17" x14ac:dyDescent="0.25">
      <c r="A11" s="9" t="s">
        <v>167</v>
      </c>
      <c r="B11" s="8">
        <f>ROUND(B19*'VIP Levels'!$B$16*'VIP Levels'!$E$5*(Inputs!$B$14-1)*('VIP Levels'!$D$16/30)+B20*'VIP Levels'!$B$17*'VIP Levels'!$E$6*(Inputs!$B$14-1)*('VIP Levels'!$D$17/30)+B21*'VIP Levels'!$B$18*'VIP Levels'!$E$7*(Inputs!$B$14-1)*('VIP Levels'!$D$18/30)+B22*'VIP Levels'!$B$19*'VIP Levels'!$E$8*(Inputs!$B$14-1)*('VIP Levels'!$D$19/30)+B23*'VIP Levels'!$B$20*'VIP Levels'!$E$9*(Inputs!$B$14-1)*('VIP Levels'!$D$20/30)+B19*'VIP Levels'!$B$24*'VIP Levels'!$E$5*(Inputs!$B$14-1)*('VIP Levels'!$D$24/30)+B20*'VIP Levels'!$B$25*'VIP Levels'!$E$6*(Inputs!$B$14-1)*('VIP Levels'!$D$25/30)+B21*'VIP Levels'!$B$26*'VIP Levels'!$E$7*(Inputs!$B$14-1)*('VIP Levels'!$D$26/30)+B22*'VIP Levels'!$B$27*'VIP Levels'!$E$8*(Inputs!$B$14-1)*('VIP Levels'!$D$27/30)+B23*'VIP Levels'!$B$28*'VIP Levels'!$E$9*(Inputs!$B$14-1)*('VIP Levels'!$D$28/30)+SUMPRODUCT((Missions!$F$5:$F$26="Commission Boost")*(Missions!$A$5:$A$26="Bronze")*(Missions!$D$5:$D$26="One-time")*B19*Missions!$E$5:$E$26*'VIP Levels'!$E$5*(Inputs!$B$14-1)*(Missions!$H$5:$H$26/30))+SUMPRODUCT((Missions!$F$5:$F$26="Commission Boost")*(Missions!$A$5:$A$26="Bronze")*(Missions!$D$5:$D$26&lt;&gt;"One-time")*B13*Missions!$E$5:$E$26*'VIP Levels'!$E$5*(Inputs!$B$14-1)*(Missions!$H$5:$H$26/30))+SUMPRODUCT((Missions!$F$5:$F$26="Commission Boost")*(Missions!$A$5:$A$26="Silver")*(Missions!$D$5:$D$26="One-time")*B20*Missions!$E$5:$E$26*'VIP Levels'!$E$6*(Inputs!$B$14-1)*(Missions!$H$5:$H$26/30))+SUMPRODUCT((Missions!$F$5:$F$26="Commission Boost")*(Missions!$A$5:$A$26="Silver")*(Missions!$D$5:$D$26&lt;&gt;"One-time")*B14*Missions!$E$5:$E$26*'VIP Levels'!$E$6*(Inputs!$B$14-1)*(Missions!$H$5:$H$26/30))+SUMPRODUCT((Missions!$F$5:$F$26="Commission Boost")*(Missions!$A$5:$A$26="Gold")*(Missions!$D$5:$D$26="One-time")*B21*Missions!$E$5:$E$26*'VIP Levels'!$E$7*(Inputs!$B$14-1)*(Missions!$H$5:$H$26/30))+SUMPRODUCT((Missions!$F$5:$F$26="Commission Boost")*(Missions!$A$5:$A$26="Gold")*(Missions!$D$5:$D$26&lt;&gt;"One-time")*B15*Missions!$E$5:$E$26*'VIP Levels'!$E$7*(Inputs!$B$14-1)*(Missions!$H$5:$H$26/30))+SUMPRODUCT((Missions!$F$5:$F$26="Commission Boost")*(Missions!$A$5:$A$26="Platinum")*(Missions!$D$5:$D$26="One-time")*B22*Missions!$E$5:$E$26*'VIP Levels'!$E$8*(Inputs!$B$14-1)*(Missions!$H$5:$H$26/30))+SUMPRODUCT((Missions!$F$5:$F$26="Commission Boost")*(Missions!$A$5:$A$26="Platinum")*(Missions!$D$5:$D$26&lt;&gt;"One-time")*B16*Missions!$E$5:$E$26*'VIP Levels'!$E$8*(Inputs!$B$14-1)*(Missions!$H$5:$H$26/30))+SUMPRODUCT((Missions!$F$5:$F$26="Commission Boost")*(Missions!$A$5:$A$26="Diamond")*(Missions!$D$5:$D$26="One-time")*B23*Missions!$E$5:$E$26*'VIP Levels'!$E$9*(Inputs!$B$14-1)*(Missions!$H$5:$H$26/30))+SUMPRODUCT((Missions!$F$5:$F$26="Commission Boost")*(Missions!$A$5:$A$26="Diamond")*(Missions!$D$5:$D$26&lt;&gt;"One-time")*B17*Missions!$E$5:$E$26*'VIP Levels'!$E$9*(Inputs!$B$14-1)*(Missions!$H$5:$H$26/30))+SUMPRODUCT((Missions!$F$5:$F$26="Discount")*(Missions!$A$5:$A$26="Bronze")*(Missions!$D$5:$D$26="One-time")*B19*Missions!$E$5:$E$26*'VIP Levels'!$E$5*(Inputs!$B$14-1)*(Missions!$H$5:$H$26/30))+SUMPRODUCT((Missions!$F$5:$F$26="Discount")*(Missions!$A$5:$A$26="Bronze")*(Missions!$D$5:$D$26&lt;&gt;"One-time")*B13*Missions!$E$5:$E$26*'VIP Levels'!$E$5*(Inputs!$B$14-1)*(Missions!$H$5:$H$26/30))+SUMPRODUCT((Missions!$F$5:$F$26="Discount")*(Missions!$A$5:$A$26="Silver")*(Missions!$D$5:$D$26="One-time")*B20*Missions!$E$5:$E$26*'VIP Levels'!$E$6*(Inputs!$B$14-1)*(Missions!$H$5:$H$26/30))+SUMPRODUCT((Missions!$F$5:$F$26="Discount")*(Missions!$A$5:$A$26="Silver")*(Missions!$D$5:$D$26&lt;&gt;"One-time")*B14*Missions!$E$5:$E$26*'VIP Levels'!$E$6*(Inputs!$B$14-1)*(Missions!$H$5:$H$26/30))+SUMPRODUCT((Missions!$F$5:$F$26="Discount")*(Missions!$A$5:$A$26="Gold")*(Missions!$D$5:$D$26="One-time")*B21*Missions!$E$5:$E$26*'VIP Levels'!$E$7*(Inputs!$B$14-1)*(Missions!$H$5:$H$26/30))+SUMPRODUCT((Missions!$F$5:$F$26="Discount")*(Missions!$A$5:$A$26="Gold")*(Missions!$D$5:$D$26&lt;&gt;"One-time")*B15*Missions!$E$5:$E$26*'VIP Levels'!$E$7*(Inputs!$B$14-1)*(Missions!$H$5:$H$26/30))+SUMPRODUCT((Missions!$F$5:$F$26="Discount")*(Missions!$A$5:$A$26="Platinum")*(Missions!$D$5:$D$26="One-time")*B22*Missions!$E$5:$E$26*'VIP Levels'!$E$8*(Inputs!$B$14-1)*(Missions!$H$5:$H$26/30))+SUMPRODUCT((Missions!$F$5:$F$26="Discount")*(Missions!$A$5:$A$26="Platinum")*(Missions!$D$5:$D$26&lt;&gt;"One-time")*B16*Missions!$E$5:$E$26*'VIP Levels'!$E$8*(Inputs!$B$14-1)*(Missions!$H$5:$H$26/30))+SUMPRODUCT((Missions!$F$5:$F$26="Discount")*(Missions!$A$5:$A$26="Diamond")*(Missions!$D$5:$D$26="One-time")*B23*Missions!$E$5:$E$26*'VIP Levels'!$E$9*(Inputs!$B$14-1)*(Missions!$H$5:$H$26/30))+SUMPRODUCT((Missions!$F$5:$F$26="Discount")*(Missions!$A$5:$A$26="Diamond")*(Missions!$D$5:$D$26&lt;&gt;"One-time")*B17*Missions!$E$5:$E$26*'VIP Levels'!$E$9*(Inputs!$B$14-1)*(Missions!$H$5:$H$26/30)),0)</f>
        <v>33</v>
      </c>
      <c r="C11" s="8">
        <f>ROUND(C19*'VIP Levels'!$B$16*'VIP Levels'!$E$5*(Inputs!$B$14-1)*('VIP Levels'!$D$16/30)+C20*'VIP Levels'!$B$17*'VIP Levels'!$E$6*(Inputs!$B$14-1)*('VIP Levels'!$D$17/30)+C21*'VIP Levels'!$B$18*'VIP Levels'!$E$7*(Inputs!$B$14-1)*('VIP Levels'!$D$18/30)+C22*'VIP Levels'!$B$19*'VIP Levels'!$E$8*(Inputs!$B$14-1)*('VIP Levels'!$D$19/30)+C23*'VIP Levels'!$B$20*'VIP Levels'!$E$9*(Inputs!$B$14-1)*('VIP Levels'!$D$20/30)+C19*'VIP Levels'!$B$24*'VIP Levels'!$E$5*(Inputs!$B$14-1)*('VIP Levels'!$D$24/30)+C20*'VIP Levels'!$B$25*'VIP Levels'!$E$6*(Inputs!$B$14-1)*('VIP Levels'!$D$25/30)+C21*'VIP Levels'!$B$26*'VIP Levels'!$E$7*(Inputs!$B$14-1)*('VIP Levels'!$D$26/30)+C22*'VIP Levels'!$B$27*'VIP Levels'!$E$8*(Inputs!$B$14-1)*('VIP Levels'!$D$27/30)+C23*'VIP Levels'!$B$28*'VIP Levels'!$E$9*(Inputs!$B$14-1)*('VIP Levels'!$D$28/30)+SUMPRODUCT((Missions!$F$5:$F$26="Commission Boost")*(Missions!$A$5:$A$26="Bronze")*(Missions!$D$5:$D$26="One-time")*C19*Missions!$E$5:$E$26*'VIP Levels'!$E$5*(Inputs!$B$14-1)*(Missions!$H$5:$H$26/30))+SUMPRODUCT((Missions!$F$5:$F$26="Commission Boost")*(Missions!$A$5:$A$26="Bronze")*(Missions!$D$5:$D$26&lt;&gt;"One-time")*C13*Missions!$E$5:$E$26*'VIP Levels'!$E$5*(Inputs!$B$14-1)*(Missions!$H$5:$H$26/30))+SUMPRODUCT((Missions!$F$5:$F$26="Commission Boost")*(Missions!$A$5:$A$26="Silver")*(Missions!$D$5:$D$26="One-time")*C20*Missions!$E$5:$E$26*'VIP Levels'!$E$6*(Inputs!$B$14-1)*(Missions!$H$5:$H$26/30))+SUMPRODUCT((Missions!$F$5:$F$26="Commission Boost")*(Missions!$A$5:$A$26="Silver")*(Missions!$D$5:$D$26&lt;&gt;"One-time")*C14*Missions!$E$5:$E$26*'VIP Levels'!$E$6*(Inputs!$B$14-1)*(Missions!$H$5:$H$26/30))+SUMPRODUCT((Missions!$F$5:$F$26="Commission Boost")*(Missions!$A$5:$A$26="Gold")*(Missions!$D$5:$D$26="One-time")*C21*Missions!$E$5:$E$26*'VIP Levels'!$E$7*(Inputs!$B$14-1)*(Missions!$H$5:$H$26/30))+SUMPRODUCT((Missions!$F$5:$F$26="Commission Boost")*(Missions!$A$5:$A$26="Gold")*(Missions!$D$5:$D$26&lt;&gt;"One-time")*C15*Missions!$E$5:$E$26*'VIP Levels'!$E$7*(Inputs!$B$14-1)*(Missions!$H$5:$H$26/30))+SUMPRODUCT((Missions!$F$5:$F$26="Commission Boost")*(Missions!$A$5:$A$26="Platinum")*(Missions!$D$5:$D$26="One-time")*C22*Missions!$E$5:$E$26*'VIP Levels'!$E$8*(Inputs!$B$14-1)*(Missions!$H$5:$H$26/30))+SUMPRODUCT((Missions!$F$5:$F$26="Commission Boost")*(Missions!$A$5:$A$26="Platinum")*(Missions!$D$5:$D$26&lt;&gt;"One-time")*C16*Missions!$E$5:$E$26*'VIP Levels'!$E$8*(Inputs!$B$14-1)*(Missions!$H$5:$H$26/30))+SUMPRODUCT((Missions!$F$5:$F$26="Commission Boost")*(Missions!$A$5:$A$26="Diamond")*(Missions!$D$5:$D$26="One-time")*C23*Missions!$E$5:$E$26*'VIP Levels'!$E$9*(Inputs!$B$14-1)*(Missions!$H$5:$H$26/30))+SUMPRODUCT((Missions!$F$5:$F$26="Commission Boost")*(Missions!$A$5:$A$26="Diamond")*(Missions!$D$5:$D$26&lt;&gt;"One-time")*C17*Missions!$E$5:$E$26*'VIP Levels'!$E$9*(Inputs!$B$14-1)*(Missions!$H$5:$H$26/30))+SUMPRODUCT((Missions!$F$5:$F$26="Discount")*(Missions!$A$5:$A$26="Bronze")*(Missions!$D$5:$D$26="One-time")*C19*Missions!$E$5:$E$26*'VIP Levels'!$E$5*(Inputs!$B$14-1)*(Missions!$H$5:$H$26/30))+SUMPRODUCT((Missions!$F$5:$F$26="Discount")*(Missions!$A$5:$A$26="Bronze")*(Missions!$D$5:$D$26&lt;&gt;"One-time")*C13*Missions!$E$5:$E$26*'VIP Levels'!$E$5*(Inputs!$B$14-1)*(Missions!$H$5:$H$26/30))+SUMPRODUCT((Missions!$F$5:$F$26="Discount")*(Missions!$A$5:$A$26="Silver")*(Missions!$D$5:$D$26="One-time")*C20*Missions!$E$5:$E$26*'VIP Levels'!$E$6*(Inputs!$B$14-1)*(Missions!$H$5:$H$26/30))+SUMPRODUCT((Missions!$F$5:$F$26="Discount")*(Missions!$A$5:$A$26="Silver")*(Missions!$D$5:$D$26&lt;&gt;"One-time")*C14*Missions!$E$5:$E$26*'VIP Levels'!$E$6*(Inputs!$B$14-1)*(Missions!$H$5:$H$26/30))+SUMPRODUCT((Missions!$F$5:$F$26="Discount")*(Missions!$A$5:$A$26="Gold")*(Missions!$D$5:$D$26="One-time")*C21*Missions!$E$5:$E$26*'VIP Levels'!$E$7*(Inputs!$B$14-1)*(Missions!$H$5:$H$26/30))+SUMPRODUCT((Missions!$F$5:$F$26="Discount")*(Missions!$A$5:$A$26="Gold")*(Missions!$D$5:$D$26&lt;&gt;"One-time")*C15*Missions!$E$5:$E$26*'VIP Levels'!$E$7*(Inputs!$B$14-1)*(Missions!$H$5:$H$26/30))+SUMPRODUCT((Missions!$F$5:$F$26="Discount")*(Missions!$A$5:$A$26="Platinum")*(Missions!$D$5:$D$26="One-time")*C22*Missions!$E$5:$E$26*'VIP Levels'!$E$8*(Inputs!$B$14-1)*(Missions!$H$5:$H$26/30))+SUMPRODUCT((Missions!$F$5:$F$26="Discount")*(Missions!$A$5:$A$26="Platinum")*(Missions!$D$5:$D$26&lt;&gt;"One-time")*C16*Missions!$E$5:$E$26*'VIP Levels'!$E$8*(Inputs!$B$14-1)*(Missions!$H$5:$H$26/30))+SUMPRODUCT((Missions!$F$5:$F$26="Discount")*(Missions!$A$5:$A$26="Diamond")*(Missions!$D$5:$D$26="One-time")*C23*Missions!$E$5:$E$26*'VIP Levels'!$E$9*(Inputs!$B$14-1)*(Missions!$H$5:$H$26/30))+SUMPRODUCT((Missions!$F$5:$F$26="Discount")*(Missions!$A$5:$A$26="Diamond")*(Missions!$D$5:$D$26&lt;&gt;"One-time")*C17*Missions!$E$5:$E$26*'VIP Levels'!$E$9*(Inputs!$B$14-1)*(Missions!$H$5:$H$26/30)),0)</f>
        <v>48</v>
      </c>
      <c r="D11" s="8">
        <f>ROUND(D19*'VIP Levels'!$B$16*'VIP Levels'!$E$5*(Inputs!$B$14-1)*('VIP Levels'!$D$16/30)+D20*'VIP Levels'!$B$17*'VIP Levels'!$E$6*(Inputs!$B$14-1)*('VIP Levels'!$D$17/30)+D21*'VIP Levels'!$B$18*'VIP Levels'!$E$7*(Inputs!$B$14-1)*('VIP Levels'!$D$18/30)+D22*'VIP Levels'!$B$19*'VIP Levels'!$E$8*(Inputs!$B$14-1)*('VIP Levels'!$D$19/30)+D23*'VIP Levels'!$B$20*'VIP Levels'!$E$9*(Inputs!$B$14-1)*('VIP Levels'!$D$20/30)+D19*'VIP Levels'!$B$24*'VIP Levels'!$E$5*(Inputs!$B$14-1)*('VIP Levels'!$D$24/30)+D20*'VIP Levels'!$B$25*'VIP Levels'!$E$6*(Inputs!$B$14-1)*('VIP Levels'!$D$25/30)+D21*'VIP Levels'!$B$26*'VIP Levels'!$E$7*(Inputs!$B$14-1)*('VIP Levels'!$D$26/30)+D22*'VIP Levels'!$B$27*'VIP Levels'!$E$8*(Inputs!$B$14-1)*('VIP Levels'!$D$27/30)+D23*'VIP Levels'!$B$28*'VIP Levels'!$E$9*(Inputs!$B$14-1)*('VIP Levels'!$D$28/30)+SUMPRODUCT((Missions!$F$5:$F$26="Commission Boost")*(Missions!$A$5:$A$26="Bronze")*(Missions!$D$5:$D$26="One-time")*D19*Missions!$E$5:$E$26*'VIP Levels'!$E$5*(Inputs!$B$14-1)*(Missions!$H$5:$H$26/30))+SUMPRODUCT((Missions!$F$5:$F$26="Commission Boost")*(Missions!$A$5:$A$26="Bronze")*(Missions!$D$5:$D$26&lt;&gt;"One-time")*D13*Missions!$E$5:$E$26*'VIP Levels'!$E$5*(Inputs!$B$14-1)*(Missions!$H$5:$H$26/30))+SUMPRODUCT((Missions!$F$5:$F$26="Commission Boost")*(Missions!$A$5:$A$26="Silver")*(Missions!$D$5:$D$26="One-time")*D20*Missions!$E$5:$E$26*'VIP Levels'!$E$6*(Inputs!$B$14-1)*(Missions!$H$5:$H$26/30))+SUMPRODUCT((Missions!$F$5:$F$26="Commission Boost")*(Missions!$A$5:$A$26="Silver")*(Missions!$D$5:$D$26&lt;&gt;"One-time")*D14*Missions!$E$5:$E$26*'VIP Levels'!$E$6*(Inputs!$B$14-1)*(Missions!$H$5:$H$26/30))+SUMPRODUCT((Missions!$F$5:$F$26="Commission Boost")*(Missions!$A$5:$A$26="Gold")*(Missions!$D$5:$D$26="One-time")*D21*Missions!$E$5:$E$26*'VIP Levels'!$E$7*(Inputs!$B$14-1)*(Missions!$H$5:$H$26/30))+SUMPRODUCT((Missions!$F$5:$F$26="Commission Boost")*(Missions!$A$5:$A$26="Gold")*(Missions!$D$5:$D$26&lt;&gt;"One-time")*D15*Missions!$E$5:$E$26*'VIP Levels'!$E$7*(Inputs!$B$14-1)*(Missions!$H$5:$H$26/30))+SUMPRODUCT((Missions!$F$5:$F$26="Commission Boost")*(Missions!$A$5:$A$26="Platinum")*(Missions!$D$5:$D$26="One-time")*D22*Missions!$E$5:$E$26*'VIP Levels'!$E$8*(Inputs!$B$14-1)*(Missions!$H$5:$H$26/30))+SUMPRODUCT((Missions!$F$5:$F$26="Commission Boost")*(Missions!$A$5:$A$26="Platinum")*(Missions!$D$5:$D$26&lt;&gt;"One-time")*D16*Missions!$E$5:$E$26*'VIP Levels'!$E$8*(Inputs!$B$14-1)*(Missions!$H$5:$H$26/30))+SUMPRODUCT((Missions!$F$5:$F$26="Commission Boost")*(Missions!$A$5:$A$26="Diamond")*(Missions!$D$5:$D$26="One-time")*D23*Missions!$E$5:$E$26*'VIP Levels'!$E$9*(Inputs!$B$14-1)*(Missions!$H$5:$H$26/30))+SUMPRODUCT((Missions!$F$5:$F$26="Commission Boost")*(Missions!$A$5:$A$26="Diamond")*(Missions!$D$5:$D$26&lt;&gt;"One-time")*D17*Missions!$E$5:$E$26*'VIP Levels'!$E$9*(Inputs!$B$14-1)*(Missions!$H$5:$H$26/30))+SUMPRODUCT((Missions!$F$5:$F$26="Discount")*(Missions!$A$5:$A$26="Bronze")*(Missions!$D$5:$D$26="One-time")*D19*Missions!$E$5:$E$26*'VIP Levels'!$E$5*(Inputs!$B$14-1)*(Missions!$H$5:$H$26/30))+SUMPRODUCT((Missions!$F$5:$F$26="Discount")*(Missions!$A$5:$A$26="Bronze")*(Missions!$D$5:$D$26&lt;&gt;"One-time")*D13*Missions!$E$5:$E$26*'VIP Levels'!$E$5*(Inputs!$B$14-1)*(Missions!$H$5:$H$26/30))+SUMPRODUCT((Missions!$F$5:$F$26="Discount")*(Missions!$A$5:$A$26="Silver")*(Missions!$D$5:$D$26="One-time")*D20*Missions!$E$5:$E$26*'VIP Levels'!$E$6*(Inputs!$B$14-1)*(Missions!$H$5:$H$26/30))+SUMPRODUCT((Missions!$F$5:$F$26="Discount")*(Missions!$A$5:$A$26="Silver")*(Missions!$D$5:$D$26&lt;&gt;"One-time")*D14*Missions!$E$5:$E$26*'VIP Levels'!$E$6*(Inputs!$B$14-1)*(Missions!$H$5:$H$26/30))+SUMPRODUCT((Missions!$F$5:$F$26="Discount")*(Missions!$A$5:$A$26="Gold")*(Missions!$D$5:$D$26="One-time")*D21*Missions!$E$5:$E$26*'VIP Levels'!$E$7*(Inputs!$B$14-1)*(Missions!$H$5:$H$26/30))+SUMPRODUCT((Missions!$F$5:$F$26="Discount")*(Missions!$A$5:$A$26="Gold")*(Missions!$D$5:$D$26&lt;&gt;"One-time")*D15*Missions!$E$5:$E$26*'VIP Levels'!$E$7*(Inputs!$B$14-1)*(Missions!$H$5:$H$26/30))+SUMPRODUCT((Missions!$F$5:$F$26="Discount")*(Missions!$A$5:$A$26="Platinum")*(Missions!$D$5:$D$26="One-time")*D22*Missions!$E$5:$E$26*'VIP Levels'!$E$8*(Inputs!$B$14-1)*(Missions!$H$5:$H$26/30))+SUMPRODUCT((Missions!$F$5:$F$26="Discount")*(Missions!$A$5:$A$26="Platinum")*(Missions!$D$5:$D$26&lt;&gt;"One-time")*D16*Missions!$E$5:$E$26*'VIP Levels'!$E$8*(Inputs!$B$14-1)*(Missions!$H$5:$H$26/30))+SUMPRODUCT((Missions!$F$5:$F$26="Discount")*(Missions!$A$5:$A$26="Diamond")*(Missions!$D$5:$D$26="One-time")*D23*Missions!$E$5:$E$26*'VIP Levels'!$E$9*(Inputs!$B$14-1)*(Missions!$H$5:$H$26/30))+SUMPRODUCT((Missions!$F$5:$F$26="Discount")*(Missions!$A$5:$A$26="Diamond")*(Missions!$D$5:$D$26&lt;&gt;"One-time")*D17*Missions!$E$5:$E$26*'VIP Levels'!$E$9*(Inputs!$B$14-1)*(Missions!$H$5:$H$26/30)),0)</f>
        <v>69</v>
      </c>
      <c r="E11" s="8">
        <f>ROUND(E19*'VIP Levels'!$B$16*'VIP Levels'!$E$5*(Inputs!$B$14-1)*('VIP Levels'!$D$16/30)+E20*'VIP Levels'!$B$17*'VIP Levels'!$E$6*(Inputs!$B$14-1)*('VIP Levels'!$D$17/30)+E21*'VIP Levels'!$B$18*'VIP Levels'!$E$7*(Inputs!$B$14-1)*('VIP Levels'!$D$18/30)+E22*'VIP Levels'!$B$19*'VIP Levels'!$E$8*(Inputs!$B$14-1)*('VIP Levels'!$D$19/30)+E23*'VIP Levels'!$B$20*'VIP Levels'!$E$9*(Inputs!$B$14-1)*('VIP Levels'!$D$20/30)+E19*'VIP Levels'!$B$24*'VIP Levels'!$E$5*(Inputs!$B$14-1)*('VIP Levels'!$D$24/30)+E20*'VIP Levels'!$B$25*'VIP Levels'!$E$6*(Inputs!$B$14-1)*('VIP Levels'!$D$25/30)+E21*'VIP Levels'!$B$26*'VIP Levels'!$E$7*(Inputs!$B$14-1)*('VIP Levels'!$D$26/30)+E22*'VIP Levels'!$B$27*'VIP Levels'!$E$8*(Inputs!$B$14-1)*('VIP Levels'!$D$27/30)+E23*'VIP Levels'!$B$28*'VIP Levels'!$E$9*(Inputs!$B$14-1)*('VIP Levels'!$D$28/30)+SUMPRODUCT((Missions!$F$5:$F$26="Commission Boost")*(Missions!$A$5:$A$26="Bronze")*(Missions!$D$5:$D$26="One-time")*E19*Missions!$E$5:$E$26*'VIP Levels'!$E$5*(Inputs!$B$14-1)*(Missions!$H$5:$H$26/30))+SUMPRODUCT((Missions!$F$5:$F$26="Commission Boost")*(Missions!$A$5:$A$26="Bronze")*(Missions!$D$5:$D$26&lt;&gt;"One-time")*E13*Missions!$E$5:$E$26*'VIP Levels'!$E$5*(Inputs!$B$14-1)*(Missions!$H$5:$H$26/30))+SUMPRODUCT((Missions!$F$5:$F$26="Commission Boost")*(Missions!$A$5:$A$26="Silver")*(Missions!$D$5:$D$26="One-time")*E20*Missions!$E$5:$E$26*'VIP Levels'!$E$6*(Inputs!$B$14-1)*(Missions!$H$5:$H$26/30))+SUMPRODUCT((Missions!$F$5:$F$26="Commission Boost")*(Missions!$A$5:$A$26="Silver")*(Missions!$D$5:$D$26&lt;&gt;"One-time")*E14*Missions!$E$5:$E$26*'VIP Levels'!$E$6*(Inputs!$B$14-1)*(Missions!$H$5:$H$26/30))+SUMPRODUCT((Missions!$F$5:$F$26="Commission Boost")*(Missions!$A$5:$A$26="Gold")*(Missions!$D$5:$D$26="One-time")*E21*Missions!$E$5:$E$26*'VIP Levels'!$E$7*(Inputs!$B$14-1)*(Missions!$H$5:$H$26/30))+SUMPRODUCT((Missions!$F$5:$F$26="Commission Boost")*(Missions!$A$5:$A$26="Gold")*(Missions!$D$5:$D$26&lt;&gt;"One-time")*E15*Missions!$E$5:$E$26*'VIP Levels'!$E$7*(Inputs!$B$14-1)*(Missions!$H$5:$H$26/30))+SUMPRODUCT((Missions!$F$5:$F$26="Commission Boost")*(Missions!$A$5:$A$26="Platinum")*(Missions!$D$5:$D$26="One-time")*E22*Missions!$E$5:$E$26*'VIP Levels'!$E$8*(Inputs!$B$14-1)*(Missions!$H$5:$H$26/30))+SUMPRODUCT((Missions!$F$5:$F$26="Commission Boost")*(Missions!$A$5:$A$26="Platinum")*(Missions!$D$5:$D$26&lt;&gt;"One-time")*E16*Missions!$E$5:$E$26*'VIP Levels'!$E$8*(Inputs!$B$14-1)*(Missions!$H$5:$H$26/30))+SUMPRODUCT((Missions!$F$5:$F$26="Commission Boost")*(Missions!$A$5:$A$26="Diamond")*(Missions!$D$5:$D$26="One-time")*E23*Missions!$E$5:$E$26*'VIP Levels'!$E$9*(Inputs!$B$14-1)*(Missions!$H$5:$H$26/30))+SUMPRODUCT((Missions!$F$5:$F$26="Commission Boost")*(Missions!$A$5:$A$26="Diamond")*(Missions!$D$5:$D$26&lt;&gt;"One-time")*E17*Missions!$E$5:$E$26*'VIP Levels'!$E$9*(Inputs!$B$14-1)*(Missions!$H$5:$H$26/30))+SUMPRODUCT((Missions!$F$5:$F$26="Discount")*(Missions!$A$5:$A$26="Bronze")*(Missions!$D$5:$D$26="One-time")*E19*Missions!$E$5:$E$26*'VIP Levels'!$E$5*(Inputs!$B$14-1)*(Missions!$H$5:$H$26/30))+SUMPRODUCT((Missions!$F$5:$F$26="Discount")*(Missions!$A$5:$A$26="Bronze")*(Missions!$D$5:$D$26&lt;&gt;"One-time")*E13*Missions!$E$5:$E$26*'VIP Levels'!$E$5*(Inputs!$B$14-1)*(Missions!$H$5:$H$26/30))+SUMPRODUCT((Missions!$F$5:$F$26="Discount")*(Missions!$A$5:$A$26="Silver")*(Missions!$D$5:$D$26="One-time")*E20*Missions!$E$5:$E$26*'VIP Levels'!$E$6*(Inputs!$B$14-1)*(Missions!$H$5:$H$26/30))+SUMPRODUCT((Missions!$F$5:$F$26="Discount")*(Missions!$A$5:$A$26="Silver")*(Missions!$D$5:$D$26&lt;&gt;"One-time")*E14*Missions!$E$5:$E$26*'VIP Levels'!$E$6*(Inputs!$B$14-1)*(Missions!$H$5:$H$26/30))+SUMPRODUCT((Missions!$F$5:$F$26="Discount")*(Missions!$A$5:$A$26="Gold")*(Missions!$D$5:$D$26="One-time")*E21*Missions!$E$5:$E$26*'VIP Levels'!$E$7*(Inputs!$B$14-1)*(Missions!$H$5:$H$26/30))+SUMPRODUCT((Missions!$F$5:$F$26="Discount")*(Missions!$A$5:$A$26="Gold")*(Missions!$D$5:$D$26&lt;&gt;"One-time")*E15*Missions!$E$5:$E$26*'VIP Levels'!$E$7*(Inputs!$B$14-1)*(Missions!$H$5:$H$26/30))+SUMPRODUCT((Missions!$F$5:$F$26="Discount")*(Missions!$A$5:$A$26="Platinum")*(Missions!$D$5:$D$26="One-time")*E22*Missions!$E$5:$E$26*'VIP Levels'!$E$8*(Inputs!$B$14-1)*(Missions!$H$5:$H$26/30))+SUMPRODUCT((Missions!$F$5:$F$26="Discount")*(Missions!$A$5:$A$26="Platinum")*(Missions!$D$5:$D$26&lt;&gt;"One-time")*E16*Missions!$E$5:$E$26*'VIP Levels'!$E$8*(Inputs!$B$14-1)*(Missions!$H$5:$H$26/30))+SUMPRODUCT((Missions!$F$5:$F$26="Discount")*(Missions!$A$5:$A$26="Diamond")*(Missions!$D$5:$D$26="One-time")*E23*Missions!$E$5:$E$26*'VIP Levels'!$E$9*(Inputs!$B$14-1)*(Missions!$H$5:$H$26/30))+SUMPRODUCT((Missions!$F$5:$F$26="Discount")*(Missions!$A$5:$A$26="Diamond")*(Missions!$D$5:$D$26&lt;&gt;"One-time")*E17*Missions!$E$5:$E$26*'VIP Levels'!$E$9*(Inputs!$B$14-1)*(Missions!$H$5:$H$26/30)),0)</f>
        <v>107</v>
      </c>
      <c r="F11" s="8">
        <f>ROUND(F19*'VIP Levels'!$B$16*'VIP Levels'!$E$5*(Inputs!$B$14-1)*('VIP Levels'!$D$16/30)+F20*'VIP Levels'!$B$17*'VIP Levels'!$E$6*(Inputs!$B$14-1)*('VIP Levels'!$D$17/30)+F21*'VIP Levels'!$B$18*'VIP Levels'!$E$7*(Inputs!$B$14-1)*('VIP Levels'!$D$18/30)+F22*'VIP Levels'!$B$19*'VIP Levels'!$E$8*(Inputs!$B$14-1)*('VIP Levels'!$D$19/30)+F23*'VIP Levels'!$B$20*'VIP Levels'!$E$9*(Inputs!$B$14-1)*('VIP Levels'!$D$20/30)+F19*'VIP Levels'!$B$24*'VIP Levels'!$E$5*(Inputs!$B$14-1)*('VIP Levels'!$D$24/30)+F20*'VIP Levels'!$B$25*'VIP Levels'!$E$6*(Inputs!$B$14-1)*('VIP Levels'!$D$25/30)+F21*'VIP Levels'!$B$26*'VIP Levels'!$E$7*(Inputs!$B$14-1)*('VIP Levels'!$D$26/30)+F22*'VIP Levels'!$B$27*'VIP Levels'!$E$8*(Inputs!$B$14-1)*('VIP Levels'!$D$27/30)+F23*'VIP Levels'!$B$28*'VIP Levels'!$E$9*(Inputs!$B$14-1)*('VIP Levels'!$D$28/30)+SUMPRODUCT((Missions!$F$5:$F$26="Commission Boost")*(Missions!$A$5:$A$26="Bronze")*(Missions!$D$5:$D$26="One-time")*F19*Missions!$E$5:$E$26*'VIP Levels'!$E$5*(Inputs!$B$14-1)*(Missions!$H$5:$H$26/30))+SUMPRODUCT((Missions!$F$5:$F$26="Commission Boost")*(Missions!$A$5:$A$26="Bronze")*(Missions!$D$5:$D$26&lt;&gt;"One-time")*F13*Missions!$E$5:$E$26*'VIP Levels'!$E$5*(Inputs!$B$14-1)*(Missions!$H$5:$H$26/30))+SUMPRODUCT((Missions!$F$5:$F$26="Commission Boost")*(Missions!$A$5:$A$26="Silver")*(Missions!$D$5:$D$26="One-time")*F20*Missions!$E$5:$E$26*'VIP Levels'!$E$6*(Inputs!$B$14-1)*(Missions!$H$5:$H$26/30))+SUMPRODUCT((Missions!$F$5:$F$26="Commission Boost")*(Missions!$A$5:$A$26="Silver")*(Missions!$D$5:$D$26&lt;&gt;"One-time")*F14*Missions!$E$5:$E$26*'VIP Levels'!$E$6*(Inputs!$B$14-1)*(Missions!$H$5:$H$26/30))+SUMPRODUCT((Missions!$F$5:$F$26="Commission Boost")*(Missions!$A$5:$A$26="Gold")*(Missions!$D$5:$D$26="One-time")*F21*Missions!$E$5:$E$26*'VIP Levels'!$E$7*(Inputs!$B$14-1)*(Missions!$H$5:$H$26/30))+SUMPRODUCT((Missions!$F$5:$F$26="Commission Boost")*(Missions!$A$5:$A$26="Gold")*(Missions!$D$5:$D$26&lt;&gt;"One-time")*F15*Missions!$E$5:$E$26*'VIP Levels'!$E$7*(Inputs!$B$14-1)*(Missions!$H$5:$H$26/30))+SUMPRODUCT((Missions!$F$5:$F$26="Commission Boost")*(Missions!$A$5:$A$26="Platinum")*(Missions!$D$5:$D$26="One-time")*F22*Missions!$E$5:$E$26*'VIP Levels'!$E$8*(Inputs!$B$14-1)*(Missions!$H$5:$H$26/30))+SUMPRODUCT((Missions!$F$5:$F$26="Commission Boost")*(Missions!$A$5:$A$26="Platinum")*(Missions!$D$5:$D$26&lt;&gt;"One-time")*F16*Missions!$E$5:$E$26*'VIP Levels'!$E$8*(Inputs!$B$14-1)*(Missions!$H$5:$H$26/30))+SUMPRODUCT((Missions!$F$5:$F$26="Commission Boost")*(Missions!$A$5:$A$26="Diamond")*(Missions!$D$5:$D$26="One-time")*F23*Missions!$E$5:$E$26*'VIP Levels'!$E$9*(Inputs!$B$14-1)*(Missions!$H$5:$H$26/30))+SUMPRODUCT((Missions!$F$5:$F$26="Commission Boost")*(Missions!$A$5:$A$26="Diamond")*(Missions!$D$5:$D$26&lt;&gt;"One-time")*F17*Missions!$E$5:$E$26*'VIP Levels'!$E$9*(Inputs!$B$14-1)*(Missions!$H$5:$H$26/30))+SUMPRODUCT((Missions!$F$5:$F$26="Discount")*(Missions!$A$5:$A$26="Bronze")*(Missions!$D$5:$D$26="One-time")*F19*Missions!$E$5:$E$26*'VIP Levels'!$E$5*(Inputs!$B$14-1)*(Missions!$H$5:$H$26/30))+SUMPRODUCT((Missions!$F$5:$F$26="Discount")*(Missions!$A$5:$A$26="Bronze")*(Missions!$D$5:$D$26&lt;&gt;"One-time")*F13*Missions!$E$5:$E$26*'VIP Levels'!$E$5*(Inputs!$B$14-1)*(Missions!$H$5:$H$26/30))+SUMPRODUCT((Missions!$F$5:$F$26="Discount")*(Missions!$A$5:$A$26="Silver")*(Missions!$D$5:$D$26="One-time")*F20*Missions!$E$5:$E$26*'VIP Levels'!$E$6*(Inputs!$B$14-1)*(Missions!$H$5:$H$26/30))+SUMPRODUCT((Missions!$F$5:$F$26="Discount")*(Missions!$A$5:$A$26="Silver")*(Missions!$D$5:$D$26&lt;&gt;"One-time")*F14*Missions!$E$5:$E$26*'VIP Levels'!$E$6*(Inputs!$B$14-1)*(Missions!$H$5:$H$26/30))+SUMPRODUCT((Missions!$F$5:$F$26="Discount")*(Missions!$A$5:$A$26="Gold")*(Missions!$D$5:$D$26="One-time")*F21*Missions!$E$5:$E$26*'VIP Levels'!$E$7*(Inputs!$B$14-1)*(Missions!$H$5:$H$26/30))+SUMPRODUCT((Missions!$F$5:$F$26="Discount")*(Missions!$A$5:$A$26="Gold")*(Missions!$D$5:$D$26&lt;&gt;"One-time")*F15*Missions!$E$5:$E$26*'VIP Levels'!$E$7*(Inputs!$B$14-1)*(Missions!$H$5:$H$26/30))+SUMPRODUCT((Missions!$F$5:$F$26="Discount")*(Missions!$A$5:$A$26="Platinum")*(Missions!$D$5:$D$26="One-time")*F22*Missions!$E$5:$E$26*'VIP Levels'!$E$8*(Inputs!$B$14-1)*(Missions!$H$5:$H$26/30))+SUMPRODUCT((Missions!$F$5:$F$26="Discount")*(Missions!$A$5:$A$26="Platinum")*(Missions!$D$5:$D$26&lt;&gt;"One-time")*F16*Missions!$E$5:$E$26*'VIP Levels'!$E$8*(Inputs!$B$14-1)*(Missions!$H$5:$H$26/30))+SUMPRODUCT((Missions!$F$5:$F$26="Discount")*(Missions!$A$5:$A$26="Diamond")*(Missions!$D$5:$D$26="One-time")*F23*Missions!$E$5:$E$26*'VIP Levels'!$E$9*(Inputs!$B$14-1)*(Missions!$H$5:$H$26/30))+SUMPRODUCT((Missions!$F$5:$F$26="Discount")*(Missions!$A$5:$A$26="Diamond")*(Missions!$D$5:$D$26&lt;&gt;"One-time")*F17*Missions!$E$5:$E$26*'VIP Levels'!$E$9*(Inputs!$B$14-1)*(Missions!$H$5:$H$26/30)),0)</f>
        <v>139</v>
      </c>
      <c r="G11" s="8">
        <f>ROUND(G19*'VIP Levels'!$B$16*'VIP Levels'!$E$5*(Inputs!$B$14-1)*('VIP Levels'!$D$16/30)+G20*'VIP Levels'!$B$17*'VIP Levels'!$E$6*(Inputs!$B$14-1)*('VIP Levels'!$D$17/30)+G21*'VIP Levels'!$B$18*'VIP Levels'!$E$7*(Inputs!$B$14-1)*('VIP Levels'!$D$18/30)+G22*'VIP Levels'!$B$19*'VIP Levels'!$E$8*(Inputs!$B$14-1)*('VIP Levels'!$D$19/30)+G23*'VIP Levels'!$B$20*'VIP Levels'!$E$9*(Inputs!$B$14-1)*('VIP Levels'!$D$20/30)+G19*'VIP Levels'!$B$24*'VIP Levels'!$E$5*(Inputs!$B$14-1)*('VIP Levels'!$D$24/30)+G20*'VIP Levels'!$B$25*'VIP Levels'!$E$6*(Inputs!$B$14-1)*('VIP Levels'!$D$25/30)+G21*'VIP Levels'!$B$26*'VIP Levels'!$E$7*(Inputs!$B$14-1)*('VIP Levels'!$D$26/30)+G22*'VIP Levels'!$B$27*'VIP Levels'!$E$8*(Inputs!$B$14-1)*('VIP Levels'!$D$27/30)+G23*'VIP Levels'!$B$28*'VIP Levels'!$E$9*(Inputs!$B$14-1)*('VIP Levels'!$D$28/30)+SUMPRODUCT((Missions!$F$5:$F$26="Commission Boost")*(Missions!$A$5:$A$26="Bronze")*(Missions!$D$5:$D$26="One-time")*G19*Missions!$E$5:$E$26*'VIP Levels'!$E$5*(Inputs!$B$14-1)*(Missions!$H$5:$H$26/30))+SUMPRODUCT((Missions!$F$5:$F$26="Commission Boost")*(Missions!$A$5:$A$26="Bronze")*(Missions!$D$5:$D$26&lt;&gt;"One-time")*G13*Missions!$E$5:$E$26*'VIP Levels'!$E$5*(Inputs!$B$14-1)*(Missions!$H$5:$H$26/30))+SUMPRODUCT((Missions!$F$5:$F$26="Commission Boost")*(Missions!$A$5:$A$26="Silver")*(Missions!$D$5:$D$26="One-time")*G20*Missions!$E$5:$E$26*'VIP Levels'!$E$6*(Inputs!$B$14-1)*(Missions!$H$5:$H$26/30))+SUMPRODUCT((Missions!$F$5:$F$26="Commission Boost")*(Missions!$A$5:$A$26="Silver")*(Missions!$D$5:$D$26&lt;&gt;"One-time")*G14*Missions!$E$5:$E$26*'VIP Levels'!$E$6*(Inputs!$B$14-1)*(Missions!$H$5:$H$26/30))+SUMPRODUCT((Missions!$F$5:$F$26="Commission Boost")*(Missions!$A$5:$A$26="Gold")*(Missions!$D$5:$D$26="One-time")*G21*Missions!$E$5:$E$26*'VIP Levels'!$E$7*(Inputs!$B$14-1)*(Missions!$H$5:$H$26/30))+SUMPRODUCT((Missions!$F$5:$F$26="Commission Boost")*(Missions!$A$5:$A$26="Gold")*(Missions!$D$5:$D$26&lt;&gt;"One-time")*G15*Missions!$E$5:$E$26*'VIP Levels'!$E$7*(Inputs!$B$14-1)*(Missions!$H$5:$H$26/30))+SUMPRODUCT((Missions!$F$5:$F$26="Commission Boost")*(Missions!$A$5:$A$26="Platinum")*(Missions!$D$5:$D$26="One-time")*G22*Missions!$E$5:$E$26*'VIP Levels'!$E$8*(Inputs!$B$14-1)*(Missions!$H$5:$H$26/30))+SUMPRODUCT((Missions!$F$5:$F$26="Commission Boost")*(Missions!$A$5:$A$26="Platinum")*(Missions!$D$5:$D$26&lt;&gt;"One-time")*G16*Missions!$E$5:$E$26*'VIP Levels'!$E$8*(Inputs!$B$14-1)*(Missions!$H$5:$H$26/30))+SUMPRODUCT((Missions!$F$5:$F$26="Commission Boost")*(Missions!$A$5:$A$26="Diamond")*(Missions!$D$5:$D$26="One-time")*G23*Missions!$E$5:$E$26*'VIP Levels'!$E$9*(Inputs!$B$14-1)*(Missions!$H$5:$H$26/30))+SUMPRODUCT((Missions!$F$5:$F$26="Commission Boost")*(Missions!$A$5:$A$26="Diamond")*(Missions!$D$5:$D$26&lt;&gt;"One-time")*G17*Missions!$E$5:$E$26*'VIP Levels'!$E$9*(Inputs!$B$14-1)*(Missions!$H$5:$H$26/30))+SUMPRODUCT((Missions!$F$5:$F$26="Discount")*(Missions!$A$5:$A$26="Bronze")*(Missions!$D$5:$D$26="One-time")*G19*Missions!$E$5:$E$26*'VIP Levels'!$E$5*(Inputs!$B$14-1)*(Missions!$H$5:$H$26/30))+SUMPRODUCT((Missions!$F$5:$F$26="Discount")*(Missions!$A$5:$A$26="Bronze")*(Missions!$D$5:$D$26&lt;&gt;"One-time")*G13*Missions!$E$5:$E$26*'VIP Levels'!$E$5*(Inputs!$B$14-1)*(Missions!$H$5:$H$26/30))+SUMPRODUCT((Missions!$F$5:$F$26="Discount")*(Missions!$A$5:$A$26="Silver")*(Missions!$D$5:$D$26="One-time")*G20*Missions!$E$5:$E$26*'VIP Levels'!$E$6*(Inputs!$B$14-1)*(Missions!$H$5:$H$26/30))+SUMPRODUCT((Missions!$F$5:$F$26="Discount")*(Missions!$A$5:$A$26="Silver")*(Missions!$D$5:$D$26&lt;&gt;"One-time")*G14*Missions!$E$5:$E$26*'VIP Levels'!$E$6*(Inputs!$B$14-1)*(Missions!$H$5:$H$26/30))+SUMPRODUCT((Missions!$F$5:$F$26="Discount")*(Missions!$A$5:$A$26="Gold")*(Missions!$D$5:$D$26="One-time")*G21*Missions!$E$5:$E$26*'VIP Levels'!$E$7*(Inputs!$B$14-1)*(Missions!$H$5:$H$26/30))+SUMPRODUCT((Missions!$F$5:$F$26="Discount")*(Missions!$A$5:$A$26="Gold")*(Missions!$D$5:$D$26&lt;&gt;"One-time")*G15*Missions!$E$5:$E$26*'VIP Levels'!$E$7*(Inputs!$B$14-1)*(Missions!$H$5:$H$26/30))+SUMPRODUCT((Missions!$F$5:$F$26="Discount")*(Missions!$A$5:$A$26="Platinum")*(Missions!$D$5:$D$26="One-time")*G22*Missions!$E$5:$E$26*'VIP Levels'!$E$8*(Inputs!$B$14-1)*(Missions!$H$5:$H$26/30))+SUMPRODUCT((Missions!$F$5:$F$26="Discount")*(Missions!$A$5:$A$26="Platinum")*(Missions!$D$5:$D$26&lt;&gt;"One-time")*G16*Missions!$E$5:$E$26*'VIP Levels'!$E$8*(Inputs!$B$14-1)*(Missions!$H$5:$H$26/30))+SUMPRODUCT((Missions!$F$5:$F$26="Discount")*(Missions!$A$5:$A$26="Diamond")*(Missions!$D$5:$D$26="One-time")*G23*Missions!$E$5:$E$26*'VIP Levels'!$E$9*(Inputs!$B$14-1)*(Missions!$H$5:$H$26/30))+SUMPRODUCT((Missions!$F$5:$F$26="Discount")*(Missions!$A$5:$A$26="Diamond")*(Missions!$D$5:$D$26&lt;&gt;"One-time")*G17*Missions!$E$5:$E$26*'VIP Levels'!$E$9*(Inputs!$B$14-1)*(Missions!$H$5:$H$26/30)),0)</f>
        <v>175</v>
      </c>
      <c r="H11" s="8">
        <f>ROUND(H19*'VIP Levels'!$B$16*'VIP Levels'!$E$5*(Inputs!$B$14-1)*('VIP Levels'!$D$16/30)+H20*'VIP Levels'!$B$17*'VIP Levels'!$E$6*(Inputs!$B$14-1)*('VIP Levels'!$D$17/30)+H21*'VIP Levels'!$B$18*'VIP Levels'!$E$7*(Inputs!$B$14-1)*('VIP Levels'!$D$18/30)+H22*'VIP Levels'!$B$19*'VIP Levels'!$E$8*(Inputs!$B$14-1)*('VIP Levels'!$D$19/30)+H23*'VIP Levels'!$B$20*'VIP Levels'!$E$9*(Inputs!$B$14-1)*('VIP Levels'!$D$20/30)+H19*'VIP Levels'!$B$24*'VIP Levels'!$E$5*(Inputs!$B$14-1)*('VIP Levels'!$D$24/30)+H20*'VIP Levels'!$B$25*'VIP Levels'!$E$6*(Inputs!$B$14-1)*('VIP Levels'!$D$25/30)+H21*'VIP Levels'!$B$26*'VIP Levels'!$E$7*(Inputs!$B$14-1)*('VIP Levels'!$D$26/30)+H22*'VIP Levels'!$B$27*'VIP Levels'!$E$8*(Inputs!$B$14-1)*('VIP Levels'!$D$27/30)+H23*'VIP Levels'!$B$28*'VIP Levels'!$E$9*(Inputs!$B$14-1)*('VIP Levels'!$D$28/30)+SUMPRODUCT((Missions!$F$5:$F$26="Commission Boost")*(Missions!$A$5:$A$26="Bronze")*(Missions!$D$5:$D$26="One-time")*H19*Missions!$E$5:$E$26*'VIP Levels'!$E$5*(Inputs!$B$14-1)*(Missions!$H$5:$H$26/30))+SUMPRODUCT((Missions!$F$5:$F$26="Commission Boost")*(Missions!$A$5:$A$26="Bronze")*(Missions!$D$5:$D$26&lt;&gt;"One-time")*H13*Missions!$E$5:$E$26*'VIP Levels'!$E$5*(Inputs!$B$14-1)*(Missions!$H$5:$H$26/30))+SUMPRODUCT((Missions!$F$5:$F$26="Commission Boost")*(Missions!$A$5:$A$26="Silver")*(Missions!$D$5:$D$26="One-time")*H20*Missions!$E$5:$E$26*'VIP Levels'!$E$6*(Inputs!$B$14-1)*(Missions!$H$5:$H$26/30))+SUMPRODUCT((Missions!$F$5:$F$26="Commission Boost")*(Missions!$A$5:$A$26="Silver")*(Missions!$D$5:$D$26&lt;&gt;"One-time")*H14*Missions!$E$5:$E$26*'VIP Levels'!$E$6*(Inputs!$B$14-1)*(Missions!$H$5:$H$26/30))+SUMPRODUCT((Missions!$F$5:$F$26="Commission Boost")*(Missions!$A$5:$A$26="Gold")*(Missions!$D$5:$D$26="One-time")*H21*Missions!$E$5:$E$26*'VIP Levels'!$E$7*(Inputs!$B$14-1)*(Missions!$H$5:$H$26/30))+SUMPRODUCT((Missions!$F$5:$F$26="Commission Boost")*(Missions!$A$5:$A$26="Gold")*(Missions!$D$5:$D$26&lt;&gt;"One-time")*H15*Missions!$E$5:$E$26*'VIP Levels'!$E$7*(Inputs!$B$14-1)*(Missions!$H$5:$H$26/30))+SUMPRODUCT((Missions!$F$5:$F$26="Commission Boost")*(Missions!$A$5:$A$26="Platinum")*(Missions!$D$5:$D$26="One-time")*H22*Missions!$E$5:$E$26*'VIP Levels'!$E$8*(Inputs!$B$14-1)*(Missions!$H$5:$H$26/30))+SUMPRODUCT((Missions!$F$5:$F$26="Commission Boost")*(Missions!$A$5:$A$26="Platinum")*(Missions!$D$5:$D$26&lt;&gt;"One-time")*H16*Missions!$E$5:$E$26*'VIP Levels'!$E$8*(Inputs!$B$14-1)*(Missions!$H$5:$H$26/30))+SUMPRODUCT((Missions!$F$5:$F$26="Commission Boost")*(Missions!$A$5:$A$26="Diamond")*(Missions!$D$5:$D$26="One-time")*H23*Missions!$E$5:$E$26*'VIP Levels'!$E$9*(Inputs!$B$14-1)*(Missions!$H$5:$H$26/30))+SUMPRODUCT((Missions!$F$5:$F$26="Commission Boost")*(Missions!$A$5:$A$26="Diamond")*(Missions!$D$5:$D$26&lt;&gt;"One-time")*H17*Missions!$E$5:$E$26*'VIP Levels'!$E$9*(Inputs!$B$14-1)*(Missions!$H$5:$H$26/30))+SUMPRODUCT((Missions!$F$5:$F$26="Discount")*(Missions!$A$5:$A$26="Bronze")*(Missions!$D$5:$D$26="One-time")*H19*Missions!$E$5:$E$26*'VIP Levels'!$E$5*(Inputs!$B$14-1)*(Missions!$H$5:$H$26/30))+SUMPRODUCT((Missions!$F$5:$F$26="Discount")*(Missions!$A$5:$A$26="Bronze")*(Missions!$D$5:$D$26&lt;&gt;"One-time")*H13*Missions!$E$5:$E$26*'VIP Levels'!$E$5*(Inputs!$B$14-1)*(Missions!$H$5:$H$26/30))+SUMPRODUCT((Missions!$F$5:$F$26="Discount")*(Missions!$A$5:$A$26="Silver")*(Missions!$D$5:$D$26="One-time")*H20*Missions!$E$5:$E$26*'VIP Levels'!$E$6*(Inputs!$B$14-1)*(Missions!$H$5:$H$26/30))+SUMPRODUCT((Missions!$F$5:$F$26="Discount")*(Missions!$A$5:$A$26="Silver")*(Missions!$D$5:$D$26&lt;&gt;"One-time")*H14*Missions!$E$5:$E$26*'VIP Levels'!$E$6*(Inputs!$B$14-1)*(Missions!$H$5:$H$26/30))+SUMPRODUCT((Missions!$F$5:$F$26="Discount")*(Missions!$A$5:$A$26="Gold")*(Missions!$D$5:$D$26="One-time")*H21*Missions!$E$5:$E$26*'VIP Levels'!$E$7*(Inputs!$B$14-1)*(Missions!$H$5:$H$26/30))+SUMPRODUCT((Missions!$F$5:$F$26="Discount")*(Missions!$A$5:$A$26="Gold")*(Missions!$D$5:$D$26&lt;&gt;"One-time")*H15*Missions!$E$5:$E$26*'VIP Levels'!$E$7*(Inputs!$B$14-1)*(Missions!$H$5:$H$26/30))+SUMPRODUCT((Missions!$F$5:$F$26="Discount")*(Missions!$A$5:$A$26="Platinum")*(Missions!$D$5:$D$26="One-time")*H22*Missions!$E$5:$E$26*'VIP Levels'!$E$8*(Inputs!$B$14-1)*(Missions!$H$5:$H$26/30))+SUMPRODUCT((Missions!$F$5:$F$26="Discount")*(Missions!$A$5:$A$26="Platinum")*(Missions!$D$5:$D$26&lt;&gt;"One-time")*H16*Missions!$E$5:$E$26*'VIP Levels'!$E$8*(Inputs!$B$14-1)*(Missions!$H$5:$H$26/30))+SUMPRODUCT((Missions!$F$5:$F$26="Discount")*(Missions!$A$5:$A$26="Diamond")*(Missions!$D$5:$D$26="One-time")*H23*Missions!$E$5:$E$26*'VIP Levels'!$E$9*(Inputs!$B$14-1)*(Missions!$H$5:$H$26/30))+SUMPRODUCT((Missions!$F$5:$F$26="Discount")*(Missions!$A$5:$A$26="Diamond")*(Missions!$D$5:$D$26&lt;&gt;"One-time")*H17*Missions!$E$5:$E$26*'VIP Levels'!$E$9*(Inputs!$B$14-1)*(Missions!$H$5:$H$26/30)),0)</f>
        <v>227</v>
      </c>
      <c r="I11" s="8">
        <f>ROUND(I19*'VIP Levels'!$B$16*'VIP Levels'!$E$5*(Inputs!$B$14-1)*('VIP Levels'!$D$16/30)+I20*'VIP Levels'!$B$17*'VIP Levels'!$E$6*(Inputs!$B$14-1)*('VIP Levels'!$D$17/30)+I21*'VIP Levels'!$B$18*'VIP Levels'!$E$7*(Inputs!$B$14-1)*('VIP Levels'!$D$18/30)+I22*'VIP Levels'!$B$19*'VIP Levels'!$E$8*(Inputs!$B$14-1)*('VIP Levels'!$D$19/30)+I23*'VIP Levels'!$B$20*'VIP Levels'!$E$9*(Inputs!$B$14-1)*('VIP Levels'!$D$20/30)+I19*'VIP Levels'!$B$24*'VIP Levels'!$E$5*(Inputs!$B$14-1)*('VIP Levels'!$D$24/30)+I20*'VIP Levels'!$B$25*'VIP Levels'!$E$6*(Inputs!$B$14-1)*('VIP Levels'!$D$25/30)+I21*'VIP Levels'!$B$26*'VIP Levels'!$E$7*(Inputs!$B$14-1)*('VIP Levels'!$D$26/30)+I22*'VIP Levels'!$B$27*'VIP Levels'!$E$8*(Inputs!$B$14-1)*('VIP Levels'!$D$27/30)+I23*'VIP Levels'!$B$28*'VIP Levels'!$E$9*(Inputs!$B$14-1)*('VIP Levels'!$D$28/30)+SUMPRODUCT((Missions!$F$5:$F$26="Commission Boost")*(Missions!$A$5:$A$26="Bronze")*(Missions!$D$5:$D$26="One-time")*I19*Missions!$E$5:$E$26*'VIP Levels'!$E$5*(Inputs!$B$14-1)*(Missions!$H$5:$H$26/30))+SUMPRODUCT((Missions!$F$5:$F$26="Commission Boost")*(Missions!$A$5:$A$26="Bronze")*(Missions!$D$5:$D$26&lt;&gt;"One-time")*I13*Missions!$E$5:$E$26*'VIP Levels'!$E$5*(Inputs!$B$14-1)*(Missions!$H$5:$H$26/30))+SUMPRODUCT((Missions!$F$5:$F$26="Commission Boost")*(Missions!$A$5:$A$26="Silver")*(Missions!$D$5:$D$26="One-time")*I20*Missions!$E$5:$E$26*'VIP Levels'!$E$6*(Inputs!$B$14-1)*(Missions!$H$5:$H$26/30))+SUMPRODUCT((Missions!$F$5:$F$26="Commission Boost")*(Missions!$A$5:$A$26="Silver")*(Missions!$D$5:$D$26&lt;&gt;"One-time")*I14*Missions!$E$5:$E$26*'VIP Levels'!$E$6*(Inputs!$B$14-1)*(Missions!$H$5:$H$26/30))+SUMPRODUCT((Missions!$F$5:$F$26="Commission Boost")*(Missions!$A$5:$A$26="Gold")*(Missions!$D$5:$D$26="One-time")*I21*Missions!$E$5:$E$26*'VIP Levels'!$E$7*(Inputs!$B$14-1)*(Missions!$H$5:$H$26/30))+SUMPRODUCT((Missions!$F$5:$F$26="Commission Boost")*(Missions!$A$5:$A$26="Gold")*(Missions!$D$5:$D$26&lt;&gt;"One-time")*I15*Missions!$E$5:$E$26*'VIP Levels'!$E$7*(Inputs!$B$14-1)*(Missions!$H$5:$H$26/30))+SUMPRODUCT((Missions!$F$5:$F$26="Commission Boost")*(Missions!$A$5:$A$26="Platinum")*(Missions!$D$5:$D$26="One-time")*I22*Missions!$E$5:$E$26*'VIP Levels'!$E$8*(Inputs!$B$14-1)*(Missions!$H$5:$H$26/30))+SUMPRODUCT((Missions!$F$5:$F$26="Commission Boost")*(Missions!$A$5:$A$26="Platinum")*(Missions!$D$5:$D$26&lt;&gt;"One-time")*I16*Missions!$E$5:$E$26*'VIP Levels'!$E$8*(Inputs!$B$14-1)*(Missions!$H$5:$H$26/30))+SUMPRODUCT((Missions!$F$5:$F$26="Commission Boost")*(Missions!$A$5:$A$26="Diamond")*(Missions!$D$5:$D$26="One-time")*I23*Missions!$E$5:$E$26*'VIP Levels'!$E$9*(Inputs!$B$14-1)*(Missions!$H$5:$H$26/30))+SUMPRODUCT((Missions!$F$5:$F$26="Commission Boost")*(Missions!$A$5:$A$26="Diamond")*(Missions!$D$5:$D$26&lt;&gt;"One-time")*I17*Missions!$E$5:$E$26*'VIP Levels'!$E$9*(Inputs!$B$14-1)*(Missions!$H$5:$H$26/30))+SUMPRODUCT((Missions!$F$5:$F$26="Discount")*(Missions!$A$5:$A$26="Bronze")*(Missions!$D$5:$D$26="One-time")*I19*Missions!$E$5:$E$26*'VIP Levels'!$E$5*(Inputs!$B$14-1)*(Missions!$H$5:$H$26/30))+SUMPRODUCT((Missions!$F$5:$F$26="Discount")*(Missions!$A$5:$A$26="Bronze")*(Missions!$D$5:$D$26&lt;&gt;"One-time")*I13*Missions!$E$5:$E$26*'VIP Levels'!$E$5*(Inputs!$B$14-1)*(Missions!$H$5:$H$26/30))+SUMPRODUCT((Missions!$F$5:$F$26="Discount")*(Missions!$A$5:$A$26="Silver")*(Missions!$D$5:$D$26="One-time")*I20*Missions!$E$5:$E$26*'VIP Levels'!$E$6*(Inputs!$B$14-1)*(Missions!$H$5:$H$26/30))+SUMPRODUCT((Missions!$F$5:$F$26="Discount")*(Missions!$A$5:$A$26="Silver")*(Missions!$D$5:$D$26&lt;&gt;"One-time")*I14*Missions!$E$5:$E$26*'VIP Levels'!$E$6*(Inputs!$B$14-1)*(Missions!$H$5:$H$26/30))+SUMPRODUCT((Missions!$F$5:$F$26="Discount")*(Missions!$A$5:$A$26="Gold")*(Missions!$D$5:$D$26="One-time")*I21*Missions!$E$5:$E$26*'VIP Levels'!$E$7*(Inputs!$B$14-1)*(Missions!$H$5:$H$26/30))+SUMPRODUCT((Missions!$F$5:$F$26="Discount")*(Missions!$A$5:$A$26="Gold")*(Missions!$D$5:$D$26&lt;&gt;"One-time")*I15*Missions!$E$5:$E$26*'VIP Levels'!$E$7*(Inputs!$B$14-1)*(Missions!$H$5:$H$26/30))+SUMPRODUCT((Missions!$F$5:$F$26="Discount")*(Missions!$A$5:$A$26="Platinum")*(Missions!$D$5:$D$26="One-time")*I22*Missions!$E$5:$E$26*'VIP Levels'!$E$8*(Inputs!$B$14-1)*(Missions!$H$5:$H$26/30))+SUMPRODUCT((Missions!$F$5:$F$26="Discount")*(Missions!$A$5:$A$26="Platinum")*(Missions!$D$5:$D$26&lt;&gt;"One-time")*I16*Missions!$E$5:$E$26*'VIP Levels'!$E$8*(Inputs!$B$14-1)*(Missions!$H$5:$H$26/30))+SUMPRODUCT((Missions!$F$5:$F$26="Discount")*(Missions!$A$5:$A$26="Diamond")*(Missions!$D$5:$D$26="One-time")*I23*Missions!$E$5:$E$26*'VIP Levels'!$E$9*(Inputs!$B$14-1)*(Missions!$H$5:$H$26/30))+SUMPRODUCT((Missions!$F$5:$F$26="Discount")*(Missions!$A$5:$A$26="Diamond")*(Missions!$D$5:$D$26&lt;&gt;"One-time")*I17*Missions!$E$5:$E$26*'VIP Levels'!$E$9*(Inputs!$B$14-1)*(Missions!$H$5:$H$26/30)),0)</f>
        <v>279</v>
      </c>
      <c r="J11" s="8">
        <f>ROUND(J19*'VIP Levels'!$B$16*'VIP Levels'!$E$5*(Inputs!$B$14-1)*('VIP Levels'!$D$16/30)+J20*'VIP Levels'!$B$17*'VIP Levels'!$E$6*(Inputs!$B$14-1)*('VIP Levels'!$D$17/30)+J21*'VIP Levels'!$B$18*'VIP Levels'!$E$7*(Inputs!$B$14-1)*('VIP Levels'!$D$18/30)+J22*'VIP Levels'!$B$19*'VIP Levels'!$E$8*(Inputs!$B$14-1)*('VIP Levels'!$D$19/30)+J23*'VIP Levels'!$B$20*'VIP Levels'!$E$9*(Inputs!$B$14-1)*('VIP Levels'!$D$20/30)+J19*'VIP Levels'!$B$24*'VIP Levels'!$E$5*(Inputs!$B$14-1)*('VIP Levels'!$D$24/30)+J20*'VIP Levels'!$B$25*'VIP Levels'!$E$6*(Inputs!$B$14-1)*('VIP Levels'!$D$25/30)+J21*'VIP Levels'!$B$26*'VIP Levels'!$E$7*(Inputs!$B$14-1)*('VIP Levels'!$D$26/30)+J22*'VIP Levels'!$B$27*'VIP Levels'!$E$8*(Inputs!$B$14-1)*('VIP Levels'!$D$27/30)+J23*'VIP Levels'!$B$28*'VIP Levels'!$E$9*(Inputs!$B$14-1)*('VIP Levels'!$D$28/30)+SUMPRODUCT((Missions!$F$5:$F$26="Commission Boost")*(Missions!$A$5:$A$26="Bronze")*(Missions!$D$5:$D$26="One-time")*J19*Missions!$E$5:$E$26*'VIP Levels'!$E$5*(Inputs!$B$14-1)*(Missions!$H$5:$H$26/30))+SUMPRODUCT((Missions!$F$5:$F$26="Commission Boost")*(Missions!$A$5:$A$26="Bronze")*(Missions!$D$5:$D$26&lt;&gt;"One-time")*J13*Missions!$E$5:$E$26*'VIP Levels'!$E$5*(Inputs!$B$14-1)*(Missions!$H$5:$H$26/30))+SUMPRODUCT((Missions!$F$5:$F$26="Commission Boost")*(Missions!$A$5:$A$26="Silver")*(Missions!$D$5:$D$26="One-time")*J20*Missions!$E$5:$E$26*'VIP Levels'!$E$6*(Inputs!$B$14-1)*(Missions!$H$5:$H$26/30))+SUMPRODUCT((Missions!$F$5:$F$26="Commission Boost")*(Missions!$A$5:$A$26="Silver")*(Missions!$D$5:$D$26&lt;&gt;"One-time")*J14*Missions!$E$5:$E$26*'VIP Levels'!$E$6*(Inputs!$B$14-1)*(Missions!$H$5:$H$26/30))+SUMPRODUCT((Missions!$F$5:$F$26="Commission Boost")*(Missions!$A$5:$A$26="Gold")*(Missions!$D$5:$D$26="One-time")*J21*Missions!$E$5:$E$26*'VIP Levels'!$E$7*(Inputs!$B$14-1)*(Missions!$H$5:$H$26/30))+SUMPRODUCT((Missions!$F$5:$F$26="Commission Boost")*(Missions!$A$5:$A$26="Gold")*(Missions!$D$5:$D$26&lt;&gt;"One-time")*J15*Missions!$E$5:$E$26*'VIP Levels'!$E$7*(Inputs!$B$14-1)*(Missions!$H$5:$H$26/30))+SUMPRODUCT((Missions!$F$5:$F$26="Commission Boost")*(Missions!$A$5:$A$26="Platinum")*(Missions!$D$5:$D$26="One-time")*J22*Missions!$E$5:$E$26*'VIP Levels'!$E$8*(Inputs!$B$14-1)*(Missions!$H$5:$H$26/30))+SUMPRODUCT((Missions!$F$5:$F$26="Commission Boost")*(Missions!$A$5:$A$26="Platinum")*(Missions!$D$5:$D$26&lt;&gt;"One-time")*J16*Missions!$E$5:$E$26*'VIP Levels'!$E$8*(Inputs!$B$14-1)*(Missions!$H$5:$H$26/30))+SUMPRODUCT((Missions!$F$5:$F$26="Commission Boost")*(Missions!$A$5:$A$26="Diamond")*(Missions!$D$5:$D$26="One-time")*J23*Missions!$E$5:$E$26*'VIP Levels'!$E$9*(Inputs!$B$14-1)*(Missions!$H$5:$H$26/30))+SUMPRODUCT((Missions!$F$5:$F$26="Commission Boost")*(Missions!$A$5:$A$26="Diamond")*(Missions!$D$5:$D$26&lt;&gt;"One-time")*J17*Missions!$E$5:$E$26*'VIP Levels'!$E$9*(Inputs!$B$14-1)*(Missions!$H$5:$H$26/30))+SUMPRODUCT((Missions!$F$5:$F$26="Discount")*(Missions!$A$5:$A$26="Bronze")*(Missions!$D$5:$D$26="One-time")*J19*Missions!$E$5:$E$26*'VIP Levels'!$E$5*(Inputs!$B$14-1)*(Missions!$H$5:$H$26/30))+SUMPRODUCT((Missions!$F$5:$F$26="Discount")*(Missions!$A$5:$A$26="Bronze")*(Missions!$D$5:$D$26&lt;&gt;"One-time")*J13*Missions!$E$5:$E$26*'VIP Levels'!$E$5*(Inputs!$B$14-1)*(Missions!$H$5:$H$26/30))+SUMPRODUCT((Missions!$F$5:$F$26="Discount")*(Missions!$A$5:$A$26="Silver")*(Missions!$D$5:$D$26="One-time")*J20*Missions!$E$5:$E$26*'VIP Levels'!$E$6*(Inputs!$B$14-1)*(Missions!$H$5:$H$26/30))+SUMPRODUCT((Missions!$F$5:$F$26="Discount")*(Missions!$A$5:$A$26="Silver")*(Missions!$D$5:$D$26&lt;&gt;"One-time")*J14*Missions!$E$5:$E$26*'VIP Levels'!$E$6*(Inputs!$B$14-1)*(Missions!$H$5:$H$26/30))+SUMPRODUCT((Missions!$F$5:$F$26="Discount")*(Missions!$A$5:$A$26="Gold")*(Missions!$D$5:$D$26="One-time")*J21*Missions!$E$5:$E$26*'VIP Levels'!$E$7*(Inputs!$B$14-1)*(Missions!$H$5:$H$26/30))+SUMPRODUCT((Missions!$F$5:$F$26="Discount")*(Missions!$A$5:$A$26="Gold")*(Missions!$D$5:$D$26&lt;&gt;"One-time")*J15*Missions!$E$5:$E$26*'VIP Levels'!$E$7*(Inputs!$B$14-1)*(Missions!$H$5:$H$26/30))+SUMPRODUCT((Missions!$F$5:$F$26="Discount")*(Missions!$A$5:$A$26="Platinum")*(Missions!$D$5:$D$26="One-time")*J22*Missions!$E$5:$E$26*'VIP Levels'!$E$8*(Inputs!$B$14-1)*(Missions!$H$5:$H$26/30))+SUMPRODUCT((Missions!$F$5:$F$26="Discount")*(Missions!$A$5:$A$26="Platinum")*(Missions!$D$5:$D$26&lt;&gt;"One-time")*J16*Missions!$E$5:$E$26*'VIP Levels'!$E$8*(Inputs!$B$14-1)*(Missions!$H$5:$H$26/30))+SUMPRODUCT((Missions!$F$5:$F$26="Discount")*(Missions!$A$5:$A$26="Diamond")*(Missions!$D$5:$D$26="One-time")*J23*Missions!$E$5:$E$26*'VIP Levels'!$E$9*(Inputs!$B$14-1)*(Missions!$H$5:$H$26/30))+SUMPRODUCT((Missions!$F$5:$F$26="Discount")*(Missions!$A$5:$A$26="Diamond")*(Missions!$D$5:$D$26&lt;&gt;"One-time")*J17*Missions!$E$5:$E$26*'VIP Levels'!$E$9*(Inputs!$B$14-1)*(Missions!$H$5:$H$26/30)),0)</f>
        <v>324</v>
      </c>
      <c r="K11" s="8">
        <f>ROUND(K19*'VIP Levels'!$B$16*'VIP Levels'!$E$5*(Inputs!$B$14-1)*('VIP Levels'!$D$16/30)+K20*'VIP Levels'!$B$17*'VIP Levels'!$E$6*(Inputs!$B$14-1)*('VIP Levels'!$D$17/30)+K21*'VIP Levels'!$B$18*'VIP Levels'!$E$7*(Inputs!$B$14-1)*('VIP Levels'!$D$18/30)+K22*'VIP Levels'!$B$19*'VIP Levels'!$E$8*(Inputs!$B$14-1)*('VIP Levels'!$D$19/30)+K23*'VIP Levels'!$B$20*'VIP Levels'!$E$9*(Inputs!$B$14-1)*('VIP Levels'!$D$20/30)+K19*'VIP Levels'!$B$24*'VIP Levels'!$E$5*(Inputs!$B$14-1)*('VIP Levels'!$D$24/30)+K20*'VIP Levels'!$B$25*'VIP Levels'!$E$6*(Inputs!$B$14-1)*('VIP Levels'!$D$25/30)+K21*'VIP Levels'!$B$26*'VIP Levels'!$E$7*(Inputs!$B$14-1)*('VIP Levels'!$D$26/30)+K22*'VIP Levels'!$B$27*'VIP Levels'!$E$8*(Inputs!$B$14-1)*('VIP Levels'!$D$27/30)+K23*'VIP Levels'!$B$28*'VIP Levels'!$E$9*(Inputs!$B$14-1)*('VIP Levels'!$D$28/30)+SUMPRODUCT((Missions!$F$5:$F$26="Commission Boost")*(Missions!$A$5:$A$26="Bronze")*(Missions!$D$5:$D$26="One-time")*K19*Missions!$E$5:$E$26*'VIP Levels'!$E$5*(Inputs!$B$14-1)*(Missions!$H$5:$H$26/30))+SUMPRODUCT((Missions!$F$5:$F$26="Commission Boost")*(Missions!$A$5:$A$26="Bronze")*(Missions!$D$5:$D$26&lt;&gt;"One-time")*K13*Missions!$E$5:$E$26*'VIP Levels'!$E$5*(Inputs!$B$14-1)*(Missions!$H$5:$H$26/30))+SUMPRODUCT((Missions!$F$5:$F$26="Commission Boost")*(Missions!$A$5:$A$26="Silver")*(Missions!$D$5:$D$26="One-time")*K20*Missions!$E$5:$E$26*'VIP Levels'!$E$6*(Inputs!$B$14-1)*(Missions!$H$5:$H$26/30))+SUMPRODUCT((Missions!$F$5:$F$26="Commission Boost")*(Missions!$A$5:$A$26="Silver")*(Missions!$D$5:$D$26&lt;&gt;"One-time")*K14*Missions!$E$5:$E$26*'VIP Levels'!$E$6*(Inputs!$B$14-1)*(Missions!$H$5:$H$26/30))+SUMPRODUCT((Missions!$F$5:$F$26="Commission Boost")*(Missions!$A$5:$A$26="Gold")*(Missions!$D$5:$D$26="One-time")*K21*Missions!$E$5:$E$26*'VIP Levels'!$E$7*(Inputs!$B$14-1)*(Missions!$H$5:$H$26/30))+SUMPRODUCT((Missions!$F$5:$F$26="Commission Boost")*(Missions!$A$5:$A$26="Gold")*(Missions!$D$5:$D$26&lt;&gt;"One-time")*K15*Missions!$E$5:$E$26*'VIP Levels'!$E$7*(Inputs!$B$14-1)*(Missions!$H$5:$H$26/30))+SUMPRODUCT((Missions!$F$5:$F$26="Commission Boost")*(Missions!$A$5:$A$26="Platinum")*(Missions!$D$5:$D$26="One-time")*K22*Missions!$E$5:$E$26*'VIP Levels'!$E$8*(Inputs!$B$14-1)*(Missions!$H$5:$H$26/30))+SUMPRODUCT((Missions!$F$5:$F$26="Commission Boost")*(Missions!$A$5:$A$26="Platinum")*(Missions!$D$5:$D$26&lt;&gt;"One-time")*K16*Missions!$E$5:$E$26*'VIP Levels'!$E$8*(Inputs!$B$14-1)*(Missions!$H$5:$H$26/30))+SUMPRODUCT((Missions!$F$5:$F$26="Commission Boost")*(Missions!$A$5:$A$26="Diamond")*(Missions!$D$5:$D$26="One-time")*K23*Missions!$E$5:$E$26*'VIP Levels'!$E$9*(Inputs!$B$14-1)*(Missions!$H$5:$H$26/30))+SUMPRODUCT((Missions!$F$5:$F$26="Commission Boost")*(Missions!$A$5:$A$26="Diamond")*(Missions!$D$5:$D$26&lt;&gt;"One-time")*K17*Missions!$E$5:$E$26*'VIP Levels'!$E$9*(Inputs!$B$14-1)*(Missions!$H$5:$H$26/30))+SUMPRODUCT((Missions!$F$5:$F$26="Discount")*(Missions!$A$5:$A$26="Bronze")*(Missions!$D$5:$D$26="One-time")*K19*Missions!$E$5:$E$26*'VIP Levels'!$E$5*(Inputs!$B$14-1)*(Missions!$H$5:$H$26/30))+SUMPRODUCT((Missions!$F$5:$F$26="Discount")*(Missions!$A$5:$A$26="Bronze")*(Missions!$D$5:$D$26&lt;&gt;"One-time")*K13*Missions!$E$5:$E$26*'VIP Levels'!$E$5*(Inputs!$B$14-1)*(Missions!$H$5:$H$26/30))+SUMPRODUCT((Missions!$F$5:$F$26="Discount")*(Missions!$A$5:$A$26="Silver")*(Missions!$D$5:$D$26="One-time")*K20*Missions!$E$5:$E$26*'VIP Levels'!$E$6*(Inputs!$B$14-1)*(Missions!$H$5:$H$26/30))+SUMPRODUCT((Missions!$F$5:$F$26="Discount")*(Missions!$A$5:$A$26="Silver")*(Missions!$D$5:$D$26&lt;&gt;"One-time")*K14*Missions!$E$5:$E$26*'VIP Levels'!$E$6*(Inputs!$B$14-1)*(Missions!$H$5:$H$26/30))+SUMPRODUCT((Missions!$F$5:$F$26="Discount")*(Missions!$A$5:$A$26="Gold")*(Missions!$D$5:$D$26="One-time")*K21*Missions!$E$5:$E$26*'VIP Levels'!$E$7*(Inputs!$B$14-1)*(Missions!$H$5:$H$26/30))+SUMPRODUCT((Missions!$F$5:$F$26="Discount")*(Missions!$A$5:$A$26="Gold")*(Missions!$D$5:$D$26&lt;&gt;"One-time")*K15*Missions!$E$5:$E$26*'VIP Levels'!$E$7*(Inputs!$B$14-1)*(Missions!$H$5:$H$26/30))+SUMPRODUCT((Missions!$F$5:$F$26="Discount")*(Missions!$A$5:$A$26="Platinum")*(Missions!$D$5:$D$26="One-time")*K22*Missions!$E$5:$E$26*'VIP Levels'!$E$8*(Inputs!$B$14-1)*(Missions!$H$5:$H$26/30))+SUMPRODUCT((Missions!$F$5:$F$26="Discount")*(Missions!$A$5:$A$26="Platinum")*(Missions!$D$5:$D$26&lt;&gt;"One-time")*K16*Missions!$E$5:$E$26*'VIP Levels'!$E$8*(Inputs!$B$14-1)*(Missions!$H$5:$H$26/30))+SUMPRODUCT((Missions!$F$5:$F$26="Discount")*(Missions!$A$5:$A$26="Diamond")*(Missions!$D$5:$D$26="One-time")*K23*Missions!$E$5:$E$26*'VIP Levels'!$E$9*(Inputs!$B$14-1)*(Missions!$H$5:$H$26/30))+SUMPRODUCT((Missions!$F$5:$F$26="Discount")*(Missions!$A$5:$A$26="Diamond")*(Missions!$D$5:$D$26&lt;&gt;"One-time")*K17*Missions!$E$5:$E$26*'VIP Levels'!$E$9*(Inputs!$B$14-1)*(Missions!$H$5:$H$26/30)),0)</f>
        <v>386</v>
      </c>
      <c r="L11" s="8">
        <f>ROUND(L19*'VIP Levels'!$B$16*'VIP Levels'!$E$5*(Inputs!$B$14-1)*('VIP Levels'!$D$16/30)+L20*'VIP Levels'!$B$17*'VIP Levels'!$E$6*(Inputs!$B$14-1)*('VIP Levels'!$D$17/30)+L21*'VIP Levels'!$B$18*'VIP Levels'!$E$7*(Inputs!$B$14-1)*('VIP Levels'!$D$18/30)+L22*'VIP Levels'!$B$19*'VIP Levels'!$E$8*(Inputs!$B$14-1)*('VIP Levels'!$D$19/30)+L23*'VIP Levels'!$B$20*'VIP Levels'!$E$9*(Inputs!$B$14-1)*('VIP Levels'!$D$20/30)+L19*'VIP Levels'!$B$24*'VIP Levels'!$E$5*(Inputs!$B$14-1)*('VIP Levels'!$D$24/30)+L20*'VIP Levels'!$B$25*'VIP Levels'!$E$6*(Inputs!$B$14-1)*('VIP Levels'!$D$25/30)+L21*'VIP Levels'!$B$26*'VIP Levels'!$E$7*(Inputs!$B$14-1)*('VIP Levels'!$D$26/30)+L22*'VIP Levels'!$B$27*'VIP Levels'!$E$8*(Inputs!$B$14-1)*('VIP Levels'!$D$27/30)+L23*'VIP Levels'!$B$28*'VIP Levels'!$E$9*(Inputs!$B$14-1)*('VIP Levels'!$D$28/30)+SUMPRODUCT((Missions!$F$5:$F$26="Commission Boost")*(Missions!$A$5:$A$26="Bronze")*(Missions!$D$5:$D$26="One-time")*L19*Missions!$E$5:$E$26*'VIP Levels'!$E$5*(Inputs!$B$14-1)*(Missions!$H$5:$H$26/30))+SUMPRODUCT((Missions!$F$5:$F$26="Commission Boost")*(Missions!$A$5:$A$26="Bronze")*(Missions!$D$5:$D$26&lt;&gt;"One-time")*L13*Missions!$E$5:$E$26*'VIP Levels'!$E$5*(Inputs!$B$14-1)*(Missions!$H$5:$H$26/30))+SUMPRODUCT((Missions!$F$5:$F$26="Commission Boost")*(Missions!$A$5:$A$26="Silver")*(Missions!$D$5:$D$26="One-time")*L20*Missions!$E$5:$E$26*'VIP Levels'!$E$6*(Inputs!$B$14-1)*(Missions!$H$5:$H$26/30))+SUMPRODUCT((Missions!$F$5:$F$26="Commission Boost")*(Missions!$A$5:$A$26="Silver")*(Missions!$D$5:$D$26&lt;&gt;"One-time")*L14*Missions!$E$5:$E$26*'VIP Levels'!$E$6*(Inputs!$B$14-1)*(Missions!$H$5:$H$26/30))+SUMPRODUCT((Missions!$F$5:$F$26="Commission Boost")*(Missions!$A$5:$A$26="Gold")*(Missions!$D$5:$D$26="One-time")*L21*Missions!$E$5:$E$26*'VIP Levels'!$E$7*(Inputs!$B$14-1)*(Missions!$H$5:$H$26/30))+SUMPRODUCT((Missions!$F$5:$F$26="Commission Boost")*(Missions!$A$5:$A$26="Gold")*(Missions!$D$5:$D$26&lt;&gt;"One-time")*L15*Missions!$E$5:$E$26*'VIP Levels'!$E$7*(Inputs!$B$14-1)*(Missions!$H$5:$H$26/30))+SUMPRODUCT((Missions!$F$5:$F$26="Commission Boost")*(Missions!$A$5:$A$26="Platinum")*(Missions!$D$5:$D$26="One-time")*L22*Missions!$E$5:$E$26*'VIP Levels'!$E$8*(Inputs!$B$14-1)*(Missions!$H$5:$H$26/30))+SUMPRODUCT((Missions!$F$5:$F$26="Commission Boost")*(Missions!$A$5:$A$26="Platinum")*(Missions!$D$5:$D$26&lt;&gt;"One-time")*L16*Missions!$E$5:$E$26*'VIP Levels'!$E$8*(Inputs!$B$14-1)*(Missions!$H$5:$H$26/30))+SUMPRODUCT((Missions!$F$5:$F$26="Commission Boost")*(Missions!$A$5:$A$26="Diamond")*(Missions!$D$5:$D$26="One-time")*L23*Missions!$E$5:$E$26*'VIP Levels'!$E$9*(Inputs!$B$14-1)*(Missions!$H$5:$H$26/30))+SUMPRODUCT((Missions!$F$5:$F$26="Commission Boost")*(Missions!$A$5:$A$26="Diamond")*(Missions!$D$5:$D$26&lt;&gt;"One-time")*L17*Missions!$E$5:$E$26*'VIP Levels'!$E$9*(Inputs!$B$14-1)*(Missions!$H$5:$H$26/30))+SUMPRODUCT((Missions!$F$5:$F$26="Discount")*(Missions!$A$5:$A$26="Bronze")*(Missions!$D$5:$D$26="One-time")*L19*Missions!$E$5:$E$26*'VIP Levels'!$E$5*(Inputs!$B$14-1)*(Missions!$H$5:$H$26/30))+SUMPRODUCT((Missions!$F$5:$F$26="Discount")*(Missions!$A$5:$A$26="Bronze")*(Missions!$D$5:$D$26&lt;&gt;"One-time")*L13*Missions!$E$5:$E$26*'VIP Levels'!$E$5*(Inputs!$B$14-1)*(Missions!$H$5:$H$26/30))+SUMPRODUCT((Missions!$F$5:$F$26="Discount")*(Missions!$A$5:$A$26="Silver")*(Missions!$D$5:$D$26="One-time")*L20*Missions!$E$5:$E$26*'VIP Levels'!$E$6*(Inputs!$B$14-1)*(Missions!$H$5:$H$26/30))+SUMPRODUCT((Missions!$F$5:$F$26="Discount")*(Missions!$A$5:$A$26="Silver")*(Missions!$D$5:$D$26&lt;&gt;"One-time")*L14*Missions!$E$5:$E$26*'VIP Levels'!$E$6*(Inputs!$B$14-1)*(Missions!$H$5:$H$26/30))+SUMPRODUCT((Missions!$F$5:$F$26="Discount")*(Missions!$A$5:$A$26="Gold")*(Missions!$D$5:$D$26="One-time")*L21*Missions!$E$5:$E$26*'VIP Levels'!$E$7*(Inputs!$B$14-1)*(Missions!$H$5:$H$26/30))+SUMPRODUCT((Missions!$F$5:$F$26="Discount")*(Missions!$A$5:$A$26="Gold")*(Missions!$D$5:$D$26&lt;&gt;"One-time")*L15*Missions!$E$5:$E$26*'VIP Levels'!$E$7*(Inputs!$B$14-1)*(Missions!$H$5:$H$26/30))+SUMPRODUCT((Missions!$F$5:$F$26="Discount")*(Missions!$A$5:$A$26="Platinum")*(Missions!$D$5:$D$26="One-time")*L22*Missions!$E$5:$E$26*'VIP Levels'!$E$8*(Inputs!$B$14-1)*(Missions!$H$5:$H$26/30))+SUMPRODUCT((Missions!$F$5:$F$26="Discount")*(Missions!$A$5:$A$26="Platinum")*(Missions!$D$5:$D$26&lt;&gt;"One-time")*L16*Missions!$E$5:$E$26*'VIP Levels'!$E$8*(Inputs!$B$14-1)*(Missions!$H$5:$H$26/30))+SUMPRODUCT((Missions!$F$5:$F$26="Discount")*(Missions!$A$5:$A$26="Diamond")*(Missions!$D$5:$D$26="One-time")*L23*Missions!$E$5:$E$26*'VIP Levels'!$E$9*(Inputs!$B$14-1)*(Missions!$H$5:$H$26/30))+SUMPRODUCT((Missions!$F$5:$F$26="Discount")*(Missions!$A$5:$A$26="Diamond")*(Missions!$D$5:$D$26&lt;&gt;"One-time")*L17*Missions!$E$5:$E$26*'VIP Levels'!$E$9*(Inputs!$B$14-1)*(Missions!$H$5:$H$26/30)),0)</f>
        <v>451</v>
      </c>
      <c r="M11" s="8">
        <f>ROUND(M19*'VIP Levels'!$B$16*'VIP Levels'!$E$5*(Inputs!$B$14-1)*('VIP Levels'!$D$16/30)+M20*'VIP Levels'!$B$17*'VIP Levels'!$E$6*(Inputs!$B$14-1)*('VIP Levels'!$D$17/30)+M21*'VIP Levels'!$B$18*'VIP Levels'!$E$7*(Inputs!$B$14-1)*('VIP Levels'!$D$18/30)+M22*'VIP Levels'!$B$19*'VIP Levels'!$E$8*(Inputs!$B$14-1)*('VIP Levels'!$D$19/30)+M23*'VIP Levels'!$B$20*'VIP Levels'!$E$9*(Inputs!$B$14-1)*('VIP Levels'!$D$20/30)+M19*'VIP Levels'!$B$24*'VIP Levels'!$E$5*(Inputs!$B$14-1)*('VIP Levels'!$D$24/30)+M20*'VIP Levels'!$B$25*'VIP Levels'!$E$6*(Inputs!$B$14-1)*('VIP Levels'!$D$25/30)+M21*'VIP Levels'!$B$26*'VIP Levels'!$E$7*(Inputs!$B$14-1)*('VIP Levels'!$D$26/30)+M22*'VIP Levels'!$B$27*'VIP Levels'!$E$8*(Inputs!$B$14-1)*('VIP Levels'!$D$27/30)+M23*'VIP Levels'!$B$28*'VIP Levels'!$E$9*(Inputs!$B$14-1)*('VIP Levels'!$D$28/30)+SUMPRODUCT((Missions!$F$5:$F$26="Commission Boost")*(Missions!$A$5:$A$26="Bronze")*(Missions!$D$5:$D$26="One-time")*M19*Missions!$E$5:$E$26*'VIP Levels'!$E$5*(Inputs!$B$14-1)*(Missions!$H$5:$H$26/30))+SUMPRODUCT((Missions!$F$5:$F$26="Commission Boost")*(Missions!$A$5:$A$26="Bronze")*(Missions!$D$5:$D$26&lt;&gt;"One-time")*M13*Missions!$E$5:$E$26*'VIP Levels'!$E$5*(Inputs!$B$14-1)*(Missions!$H$5:$H$26/30))+SUMPRODUCT((Missions!$F$5:$F$26="Commission Boost")*(Missions!$A$5:$A$26="Silver")*(Missions!$D$5:$D$26="One-time")*M20*Missions!$E$5:$E$26*'VIP Levels'!$E$6*(Inputs!$B$14-1)*(Missions!$H$5:$H$26/30))+SUMPRODUCT((Missions!$F$5:$F$26="Commission Boost")*(Missions!$A$5:$A$26="Silver")*(Missions!$D$5:$D$26&lt;&gt;"One-time")*M14*Missions!$E$5:$E$26*'VIP Levels'!$E$6*(Inputs!$B$14-1)*(Missions!$H$5:$H$26/30))+SUMPRODUCT((Missions!$F$5:$F$26="Commission Boost")*(Missions!$A$5:$A$26="Gold")*(Missions!$D$5:$D$26="One-time")*M21*Missions!$E$5:$E$26*'VIP Levels'!$E$7*(Inputs!$B$14-1)*(Missions!$H$5:$H$26/30))+SUMPRODUCT((Missions!$F$5:$F$26="Commission Boost")*(Missions!$A$5:$A$26="Gold")*(Missions!$D$5:$D$26&lt;&gt;"One-time")*M15*Missions!$E$5:$E$26*'VIP Levels'!$E$7*(Inputs!$B$14-1)*(Missions!$H$5:$H$26/30))+SUMPRODUCT((Missions!$F$5:$F$26="Commission Boost")*(Missions!$A$5:$A$26="Platinum")*(Missions!$D$5:$D$26="One-time")*M22*Missions!$E$5:$E$26*'VIP Levels'!$E$8*(Inputs!$B$14-1)*(Missions!$H$5:$H$26/30))+SUMPRODUCT((Missions!$F$5:$F$26="Commission Boost")*(Missions!$A$5:$A$26="Platinum")*(Missions!$D$5:$D$26&lt;&gt;"One-time")*M16*Missions!$E$5:$E$26*'VIP Levels'!$E$8*(Inputs!$B$14-1)*(Missions!$H$5:$H$26/30))+SUMPRODUCT((Missions!$F$5:$F$26="Commission Boost")*(Missions!$A$5:$A$26="Diamond")*(Missions!$D$5:$D$26="One-time")*M23*Missions!$E$5:$E$26*'VIP Levels'!$E$9*(Inputs!$B$14-1)*(Missions!$H$5:$H$26/30))+SUMPRODUCT((Missions!$F$5:$F$26="Commission Boost")*(Missions!$A$5:$A$26="Diamond")*(Missions!$D$5:$D$26&lt;&gt;"One-time")*M17*Missions!$E$5:$E$26*'VIP Levels'!$E$9*(Inputs!$B$14-1)*(Missions!$H$5:$H$26/30))+SUMPRODUCT((Missions!$F$5:$F$26="Discount")*(Missions!$A$5:$A$26="Bronze")*(Missions!$D$5:$D$26="One-time")*M19*Missions!$E$5:$E$26*'VIP Levels'!$E$5*(Inputs!$B$14-1)*(Missions!$H$5:$H$26/30))+SUMPRODUCT((Missions!$F$5:$F$26="Discount")*(Missions!$A$5:$A$26="Bronze")*(Missions!$D$5:$D$26&lt;&gt;"One-time")*M13*Missions!$E$5:$E$26*'VIP Levels'!$E$5*(Inputs!$B$14-1)*(Missions!$H$5:$H$26/30))+SUMPRODUCT((Missions!$F$5:$F$26="Discount")*(Missions!$A$5:$A$26="Silver")*(Missions!$D$5:$D$26="One-time")*M20*Missions!$E$5:$E$26*'VIP Levels'!$E$6*(Inputs!$B$14-1)*(Missions!$H$5:$H$26/30))+SUMPRODUCT((Missions!$F$5:$F$26="Discount")*(Missions!$A$5:$A$26="Silver")*(Missions!$D$5:$D$26&lt;&gt;"One-time")*M14*Missions!$E$5:$E$26*'VIP Levels'!$E$6*(Inputs!$B$14-1)*(Missions!$H$5:$H$26/30))+SUMPRODUCT((Missions!$F$5:$F$26="Discount")*(Missions!$A$5:$A$26="Gold")*(Missions!$D$5:$D$26="One-time")*M21*Missions!$E$5:$E$26*'VIP Levels'!$E$7*(Inputs!$B$14-1)*(Missions!$H$5:$H$26/30))+SUMPRODUCT((Missions!$F$5:$F$26="Discount")*(Missions!$A$5:$A$26="Gold")*(Missions!$D$5:$D$26&lt;&gt;"One-time")*M15*Missions!$E$5:$E$26*'VIP Levels'!$E$7*(Inputs!$B$14-1)*(Missions!$H$5:$H$26/30))+SUMPRODUCT((Missions!$F$5:$F$26="Discount")*(Missions!$A$5:$A$26="Platinum")*(Missions!$D$5:$D$26="One-time")*M22*Missions!$E$5:$E$26*'VIP Levels'!$E$8*(Inputs!$B$14-1)*(Missions!$H$5:$H$26/30))+SUMPRODUCT((Missions!$F$5:$F$26="Discount")*(Missions!$A$5:$A$26="Platinum")*(Missions!$D$5:$D$26&lt;&gt;"One-time")*M16*Missions!$E$5:$E$26*'VIP Levels'!$E$8*(Inputs!$B$14-1)*(Missions!$H$5:$H$26/30))+SUMPRODUCT((Missions!$F$5:$F$26="Discount")*(Missions!$A$5:$A$26="Diamond")*(Missions!$D$5:$D$26="One-time")*M23*Missions!$E$5:$E$26*'VIP Levels'!$E$9*(Inputs!$B$14-1)*(Missions!$H$5:$H$26/30))+SUMPRODUCT((Missions!$F$5:$F$26="Discount")*(Missions!$A$5:$A$26="Diamond")*(Missions!$D$5:$D$26&lt;&gt;"One-time")*M17*Missions!$E$5:$E$26*'VIP Levels'!$E$9*(Inputs!$B$14-1)*(Missions!$H$5:$H$26/30)),0)</f>
        <v>523</v>
      </c>
    </row>
    <row r="12" spans="1:17" ht="18.75" customHeight="1" x14ac:dyDescent="0.3">
      <c r="A12" s="1" t="s">
        <v>168</v>
      </c>
    </row>
    <row r="13" spans="1:17" ht="18.75" customHeight="1" x14ac:dyDescent="0.25">
      <c r="A13" s="9" t="s">
        <v>169</v>
      </c>
      <c r="B13" s="8">
        <f>ROUND(B8*Inputs!B$23,0)</f>
        <v>100</v>
      </c>
      <c r="C13" s="8">
        <f>ROUND(C8*Inputs!C$23,0)</f>
        <v>157</v>
      </c>
      <c r="D13" s="8">
        <f>ROUND(D8*Inputs!D$23,0)</f>
        <v>206</v>
      </c>
      <c r="E13" s="8">
        <f>ROUND(E8*Inputs!E$23,0)</f>
        <v>248</v>
      </c>
      <c r="F13" s="8">
        <f>ROUND(F8*Inputs!F$23,0)</f>
        <v>282</v>
      </c>
      <c r="G13" s="8">
        <f>ROUND(G8*Inputs!G$23,0)</f>
        <v>308</v>
      </c>
      <c r="H13" s="8">
        <f>ROUND(H8*Inputs!H$23,0)</f>
        <v>327</v>
      </c>
      <c r="I13" s="8">
        <f>ROUND(I8*Inputs!I$23,0)</f>
        <v>338</v>
      </c>
      <c r="J13" s="8">
        <f>ROUND(J8*Inputs!J$23,0)</f>
        <v>342</v>
      </c>
      <c r="K13" s="8">
        <f>ROUND(K8*Inputs!K$23,0)</f>
        <v>337</v>
      </c>
      <c r="L13" s="8">
        <f>ROUND(L8*Inputs!L$23,0)</f>
        <v>326</v>
      </c>
      <c r="M13" s="8">
        <f>ROUND(M8*Inputs!M$23,0)</f>
        <v>306</v>
      </c>
    </row>
    <row r="14" spans="1:17" x14ac:dyDescent="0.25">
      <c r="A14" s="9" t="s">
        <v>170</v>
      </c>
      <c r="B14" s="8">
        <f>ROUND(B8*Inputs!B$24,0)</f>
        <v>5</v>
      </c>
      <c r="C14" s="8">
        <f>ROUND(C8*Inputs!C$24,0)</f>
        <v>16</v>
      </c>
      <c r="D14" s="8">
        <f>ROUND(D8*Inputs!D$24,0)</f>
        <v>31</v>
      </c>
      <c r="E14" s="8">
        <f>ROUND(E8*Inputs!E$24,0)</f>
        <v>53</v>
      </c>
      <c r="F14" s="8">
        <f>ROUND(F8*Inputs!F$24,0)</f>
        <v>79</v>
      </c>
      <c r="G14" s="8">
        <f>ROUND(G8*Inputs!G$24,0)</f>
        <v>112</v>
      </c>
      <c r="H14" s="8">
        <f>ROUND(H8*Inputs!H$24,0)</f>
        <v>149</v>
      </c>
      <c r="I14" s="8">
        <f>ROUND(I8*Inputs!I$24,0)</f>
        <v>193</v>
      </c>
      <c r="J14" s="8">
        <f>ROUND(J8*Inputs!J$24,0)</f>
        <v>241</v>
      </c>
      <c r="K14" s="8">
        <f>ROUND(K8*Inputs!K$24,0)</f>
        <v>295</v>
      </c>
      <c r="L14" s="8">
        <f>ROUND(L8*Inputs!L$24,0)</f>
        <v>355</v>
      </c>
      <c r="M14" s="8">
        <f>ROUND(M8*Inputs!M$24,0)</f>
        <v>420</v>
      </c>
    </row>
    <row r="15" spans="1:17" x14ac:dyDescent="0.25">
      <c r="A15" s="9" t="s">
        <v>171</v>
      </c>
      <c r="B15" s="8">
        <f>ROUND(B8*Inputs!B$25,0)</f>
        <v>0</v>
      </c>
      <c r="C15" s="8">
        <f>ROUND(C8*Inputs!C$25,0)</f>
        <v>2</v>
      </c>
      <c r="D15" s="8">
        <f>ROUND(D8*Inputs!D$25,0)</f>
        <v>4</v>
      </c>
      <c r="E15" s="8">
        <f>ROUND(E8*Inputs!E$25,0)</f>
        <v>9</v>
      </c>
      <c r="F15" s="8">
        <f>ROUND(F8*Inputs!F$25,0)</f>
        <v>14</v>
      </c>
      <c r="G15" s="8">
        <f>ROUND(G8*Inputs!G$25,0)</f>
        <v>21</v>
      </c>
      <c r="H15" s="8">
        <f>ROUND(H8*Inputs!H$25,0)</f>
        <v>29</v>
      </c>
      <c r="I15" s="8">
        <f>ROUND(I8*Inputs!I$25,0)</f>
        <v>38</v>
      </c>
      <c r="J15" s="8">
        <f>ROUND(J8*Inputs!J$25,0)</f>
        <v>48</v>
      </c>
      <c r="K15" s="8">
        <f>ROUND(K8*Inputs!K$25,0)</f>
        <v>60</v>
      </c>
      <c r="L15" s="8">
        <f>ROUND(L8*Inputs!L$25,0)</f>
        <v>73</v>
      </c>
      <c r="M15" s="8">
        <f>ROUND(M8*Inputs!M$25,0)</f>
        <v>88</v>
      </c>
    </row>
    <row r="16" spans="1:17" x14ac:dyDescent="0.25">
      <c r="A16" s="9" t="s">
        <v>172</v>
      </c>
      <c r="B16" s="8">
        <f>ROUND(B8*Inputs!B$26,0)</f>
        <v>0</v>
      </c>
      <c r="C16" s="8">
        <f>ROUND(C8*Inputs!C$26,0)</f>
        <v>1</v>
      </c>
      <c r="D16" s="8">
        <f>ROUND(D8*Inputs!D$26,0)</f>
        <v>3</v>
      </c>
      <c r="E16" s="8">
        <f>ROUND(E8*Inputs!E$26,0)</f>
        <v>6</v>
      </c>
      <c r="F16" s="8">
        <f>ROUND(F8*Inputs!F$26,0)</f>
        <v>10</v>
      </c>
      <c r="G16" s="8">
        <f>ROUND(G8*Inputs!G$26,0)</f>
        <v>14</v>
      </c>
      <c r="H16" s="8">
        <f>ROUND(H8*Inputs!H$26,0)</f>
        <v>20</v>
      </c>
      <c r="I16" s="8">
        <f>ROUND(I8*Inputs!I$26,0)</f>
        <v>27</v>
      </c>
      <c r="J16" s="8">
        <f>ROUND(J8*Inputs!J$26,0)</f>
        <v>34</v>
      </c>
      <c r="K16" s="8">
        <f>ROUND(K8*Inputs!K$26,0)</f>
        <v>42</v>
      </c>
      <c r="L16" s="8">
        <f>ROUND(L8*Inputs!L$26,0)</f>
        <v>51</v>
      </c>
      <c r="M16" s="8">
        <f>ROUND(M8*Inputs!M$26,0)</f>
        <v>61</v>
      </c>
    </row>
    <row r="17" spans="1:13" x14ac:dyDescent="0.25">
      <c r="A17" s="9" t="s">
        <v>173</v>
      </c>
      <c r="B17" s="8">
        <f>ROUND(B8*Inputs!B$27,0)</f>
        <v>0</v>
      </c>
      <c r="C17" s="8">
        <f>ROUND(C8*Inputs!B$27,0)</f>
        <v>0</v>
      </c>
      <c r="D17" s="8">
        <f>ROUND(D8*Inputs!B$27,0)</f>
        <v>0</v>
      </c>
      <c r="E17" s="8">
        <f>ROUND(E8*Inputs!B$27,0)</f>
        <v>0</v>
      </c>
      <c r="F17" s="8">
        <f>ROUND(F8*Inputs!B$27,0)</f>
        <v>0</v>
      </c>
      <c r="G17" s="8">
        <f>ROUND(G8*Inputs!B$27,0)</f>
        <v>0</v>
      </c>
      <c r="H17" s="8">
        <f>ROUND(H8*Inputs!B$27,0)</f>
        <v>0</v>
      </c>
      <c r="I17" s="8">
        <f>ROUND(I8*Inputs!B$27,0)</f>
        <v>0</v>
      </c>
      <c r="J17" s="8">
        <f>ROUND(J8*Inputs!B$27,0)</f>
        <v>0</v>
      </c>
      <c r="K17" s="8">
        <f>ROUND(K8*Inputs!B$27,0)</f>
        <v>0</v>
      </c>
      <c r="L17" s="8">
        <f>ROUND(L8*Inputs!B$27,0)</f>
        <v>0</v>
      </c>
      <c r="M17" s="8">
        <f>ROUND(M8*Inputs!B$27,0)</f>
        <v>0</v>
      </c>
    </row>
    <row r="18" spans="1:13" ht="18.75" customHeight="1" x14ac:dyDescent="0.3">
      <c r="A18" s="1" t="s">
        <v>174</v>
      </c>
    </row>
    <row r="19" spans="1:13" ht="18.75" customHeight="1" x14ac:dyDescent="0.25">
      <c r="A19" s="12" t="s">
        <v>175</v>
      </c>
      <c r="B19" s="8">
        <f t="shared" ref="B19:M19" si="4">B7</f>
        <v>105</v>
      </c>
      <c r="C19" s="8">
        <f t="shared" si="4"/>
        <v>70</v>
      </c>
      <c r="D19" s="8">
        <f t="shared" si="4"/>
        <v>70</v>
      </c>
      <c r="E19" s="8">
        <f t="shared" si="4"/>
        <v>70</v>
      </c>
      <c r="F19" s="8">
        <f t="shared" si="4"/>
        <v>70</v>
      </c>
      <c r="G19" s="8">
        <f t="shared" si="4"/>
        <v>70</v>
      </c>
      <c r="H19" s="8">
        <f t="shared" si="4"/>
        <v>70</v>
      </c>
      <c r="I19" s="8">
        <f t="shared" si="4"/>
        <v>70</v>
      </c>
      <c r="J19" s="8">
        <f t="shared" si="4"/>
        <v>70</v>
      </c>
      <c r="K19" s="8">
        <f t="shared" si="4"/>
        <v>70</v>
      </c>
      <c r="L19" s="8">
        <f t="shared" si="4"/>
        <v>70</v>
      </c>
      <c r="M19" s="8">
        <f t="shared" si="4"/>
        <v>70</v>
      </c>
    </row>
    <row r="20" spans="1:13" x14ac:dyDescent="0.25">
      <c r="A20" s="12" t="s">
        <v>176</v>
      </c>
      <c r="B20" s="8">
        <f>B14</f>
        <v>5</v>
      </c>
      <c r="C20" s="8">
        <f t="shared" ref="C20:M20" si="5">MAX(0,C14-B14)</f>
        <v>11</v>
      </c>
      <c r="D20" s="8">
        <f t="shared" si="5"/>
        <v>15</v>
      </c>
      <c r="E20" s="8">
        <f t="shared" si="5"/>
        <v>22</v>
      </c>
      <c r="F20" s="8">
        <f t="shared" si="5"/>
        <v>26</v>
      </c>
      <c r="G20" s="8">
        <f t="shared" si="5"/>
        <v>33</v>
      </c>
      <c r="H20" s="8">
        <f t="shared" si="5"/>
        <v>37</v>
      </c>
      <c r="I20" s="8">
        <f t="shared" si="5"/>
        <v>44</v>
      </c>
      <c r="J20" s="8">
        <f t="shared" si="5"/>
        <v>48</v>
      </c>
      <c r="K20" s="8">
        <f t="shared" si="5"/>
        <v>54</v>
      </c>
      <c r="L20" s="8">
        <f t="shared" si="5"/>
        <v>60</v>
      </c>
      <c r="M20" s="8">
        <f t="shared" si="5"/>
        <v>65</v>
      </c>
    </row>
    <row r="21" spans="1:13" ht="18.75" customHeight="1" x14ac:dyDescent="0.25">
      <c r="A21" s="12" t="s">
        <v>177</v>
      </c>
      <c r="B21" s="8">
        <f>B15</f>
        <v>0</v>
      </c>
      <c r="C21" s="8">
        <f t="shared" ref="C21:M21" si="6">MAX(0,C15-B15)</f>
        <v>2</v>
      </c>
      <c r="D21" s="8">
        <f t="shared" si="6"/>
        <v>2</v>
      </c>
      <c r="E21" s="8">
        <f t="shared" si="6"/>
        <v>5</v>
      </c>
      <c r="F21" s="8">
        <f t="shared" si="6"/>
        <v>5</v>
      </c>
      <c r="G21" s="8">
        <f t="shared" si="6"/>
        <v>7</v>
      </c>
      <c r="H21" s="8">
        <f t="shared" si="6"/>
        <v>8</v>
      </c>
      <c r="I21" s="8">
        <f t="shared" si="6"/>
        <v>9</v>
      </c>
      <c r="J21" s="8">
        <f t="shared" si="6"/>
        <v>10</v>
      </c>
      <c r="K21" s="8">
        <f t="shared" si="6"/>
        <v>12</v>
      </c>
      <c r="L21" s="8">
        <f t="shared" si="6"/>
        <v>13</v>
      </c>
      <c r="M21" s="8">
        <f t="shared" si="6"/>
        <v>15</v>
      </c>
    </row>
    <row r="22" spans="1:13" x14ac:dyDescent="0.25">
      <c r="A22" s="12" t="s">
        <v>178</v>
      </c>
      <c r="B22" s="8">
        <f>B16</f>
        <v>0</v>
      </c>
      <c r="C22" s="8">
        <f t="shared" ref="C22:M22" si="7">MAX(0,C16-B16)</f>
        <v>1</v>
      </c>
      <c r="D22" s="8">
        <f t="shared" si="7"/>
        <v>2</v>
      </c>
      <c r="E22" s="8">
        <f t="shared" si="7"/>
        <v>3</v>
      </c>
      <c r="F22" s="8">
        <f t="shared" si="7"/>
        <v>4</v>
      </c>
      <c r="G22" s="8">
        <f t="shared" si="7"/>
        <v>4</v>
      </c>
      <c r="H22" s="8">
        <f t="shared" si="7"/>
        <v>6</v>
      </c>
      <c r="I22" s="8">
        <f t="shared" si="7"/>
        <v>7</v>
      </c>
      <c r="J22" s="8">
        <f t="shared" si="7"/>
        <v>7</v>
      </c>
      <c r="K22" s="8">
        <f t="shared" si="7"/>
        <v>8</v>
      </c>
      <c r="L22" s="8">
        <f t="shared" si="7"/>
        <v>9</v>
      </c>
      <c r="M22" s="8">
        <f t="shared" si="7"/>
        <v>10</v>
      </c>
    </row>
    <row r="23" spans="1:13" x14ac:dyDescent="0.25">
      <c r="A23" s="12" t="s">
        <v>179</v>
      </c>
      <c r="B23" s="8">
        <f>B17</f>
        <v>0</v>
      </c>
      <c r="C23" s="8">
        <f t="shared" ref="C23:M23" si="8">MAX(0,C17-B17)</f>
        <v>0</v>
      </c>
      <c r="D23" s="8">
        <f t="shared" si="8"/>
        <v>0</v>
      </c>
      <c r="E23" s="8">
        <f t="shared" si="8"/>
        <v>0</v>
      </c>
      <c r="F23" s="8">
        <f t="shared" si="8"/>
        <v>0</v>
      </c>
      <c r="G23" s="8">
        <f t="shared" si="8"/>
        <v>0</v>
      </c>
      <c r="H23" s="8">
        <f t="shared" si="8"/>
        <v>0</v>
      </c>
      <c r="I23" s="8">
        <f t="shared" si="8"/>
        <v>0</v>
      </c>
      <c r="J23" s="8">
        <f t="shared" si="8"/>
        <v>0</v>
      </c>
      <c r="K23" s="8">
        <f t="shared" si="8"/>
        <v>0</v>
      </c>
      <c r="L23" s="8">
        <f t="shared" si="8"/>
        <v>0</v>
      </c>
      <c r="M23" s="8">
        <f t="shared" si="8"/>
        <v>0</v>
      </c>
    </row>
  </sheetData>
  <mergeCells count="1">
    <mergeCell ref="A1:N1"/>
  </mergeCells>
  <pageMargins left="0.75" right="0.75" top="1" bottom="1" header="0.5" footer="0.5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19"/>
  <sheetViews>
    <sheetView workbookViewId="0">
      <selection activeCell="D19" sqref="D19"/>
    </sheetView>
  </sheetViews>
  <sheetFormatPr defaultRowHeight="15" x14ac:dyDescent="0.25"/>
  <cols>
    <col min="1" max="1" width="35" customWidth="1"/>
    <col min="2" max="13" width="12" customWidth="1"/>
  </cols>
  <sheetData>
    <row r="1" spans="1:14" ht="21" customHeight="1" x14ac:dyDescent="0.35">
      <c r="A1" s="215" t="s">
        <v>180</v>
      </c>
      <c r="B1" s="207"/>
      <c r="C1" s="207"/>
      <c r="D1" s="207"/>
      <c r="E1" s="207"/>
      <c r="F1" s="207"/>
      <c r="G1" s="207"/>
      <c r="H1" s="207"/>
      <c r="I1" s="207"/>
      <c r="J1" s="207"/>
      <c r="K1" s="207"/>
      <c r="L1" s="207"/>
      <c r="M1" s="207"/>
      <c r="N1" s="207"/>
    </row>
    <row r="3" spans="1:14" ht="15.75" customHeight="1" x14ac:dyDescent="0.25">
      <c r="A3" s="2" t="s">
        <v>158</v>
      </c>
      <c r="B3" s="2" t="s">
        <v>67</v>
      </c>
      <c r="C3" s="2" t="s">
        <v>68</v>
      </c>
      <c r="D3" s="2" t="s">
        <v>69</v>
      </c>
      <c r="E3" s="2" t="s">
        <v>70</v>
      </c>
      <c r="F3" s="2" t="s">
        <v>71</v>
      </c>
      <c r="G3" s="2" t="s">
        <v>72</v>
      </c>
      <c r="H3" s="2" t="s">
        <v>73</v>
      </c>
      <c r="I3" s="2" t="s">
        <v>74</v>
      </c>
      <c r="J3" s="2" t="s">
        <v>75</v>
      </c>
      <c r="K3" s="2" t="s">
        <v>76</v>
      </c>
      <c r="L3" s="2" t="s">
        <v>77</v>
      </c>
      <c r="M3" s="2" t="s">
        <v>78</v>
      </c>
    </row>
    <row r="4" spans="1:14" x14ac:dyDescent="0.25">
      <c r="A4" s="9" t="s">
        <v>181</v>
      </c>
      <c r="B4" s="8">
        <f>'Affiliate Projection'!B9</f>
        <v>263</v>
      </c>
      <c r="C4" s="8">
        <f>'Affiliate Projection'!C9</f>
        <v>548</v>
      </c>
      <c r="D4" s="8">
        <f>'Affiliate Projection'!D9</f>
        <v>901</v>
      </c>
      <c r="E4" s="8">
        <f>'Affiliate Projection'!E9</f>
        <v>1407</v>
      </c>
      <c r="F4" s="8">
        <f>'Affiliate Projection'!F9</f>
        <v>1969</v>
      </c>
      <c r="G4" s="8">
        <f>'Affiliate Projection'!G9</f>
        <v>2597</v>
      </c>
      <c r="H4" s="8">
        <f>'Affiliate Projection'!H9</f>
        <v>3377</v>
      </c>
      <c r="I4" s="8">
        <f>'Affiliate Projection'!I9</f>
        <v>4255</v>
      </c>
      <c r="J4" s="8">
        <f>'Affiliate Projection'!J9</f>
        <v>5154</v>
      </c>
      <c r="K4" s="8">
        <f>'Affiliate Projection'!K9</f>
        <v>6178</v>
      </c>
      <c r="L4" s="8">
        <f>'Affiliate Projection'!L9</f>
        <v>7301</v>
      </c>
      <c r="M4" s="8">
        <f>'Affiliate Projection'!M9</f>
        <v>8533</v>
      </c>
    </row>
    <row r="5" spans="1:14" x14ac:dyDescent="0.25">
      <c r="A5" s="9" t="s">
        <v>91</v>
      </c>
      <c r="B5" s="7">
        <f>Inputs!$B$12</f>
        <v>59.99</v>
      </c>
      <c r="C5" s="7">
        <f>Inputs!$B$12</f>
        <v>59.99</v>
      </c>
      <c r="D5" s="7">
        <f>Inputs!$B$12</f>
        <v>59.99</v>
      </c>
      <c r="E5" s="7">
        <f>Inputs!$B$12</f>
        <v>59.99</v>
      </c>
      <c r="F5" s="7">
        <f>Inputs!$B$12</f>
        <v>59.99</v>
      </c>
      <c r="G5" s="7">
        <f>Inputs!$B$12</f>
        <v>59.99</v>
      </c>
      <c r="H5" s="7">
        <f>Inputs!$B$12</f>
        <v>59.99</v>
      </c>
      <c r="I5" s="7">
        <f>Inputs!$B$12</f>
        <v>59.99</v>
      </c>
      <c r="J5" s="7">
        <f>Inputs!$B$12</f>
        <v>59.99</v>
      </c>
      <c r="K5" s="7">
        <f>Inputs!$B$12</f>
        <v>59.99</v>
      </c>
      <c r="L5" s="7">
        <f>Inputs!$B$12</f>
        <v>59.99</v>
      </c>
      <c r="M5" s="7">
        <f>Inputs!$B$12</f>
        <v>59.99</v>
      </c>
    </row>
    <row r="6" spans="1:14" x14ac:dyDescent="0.25">
      <c r="A6" s="9" t="s">
        <v>182</v>
      </c>
      <c r="B6" s="10">
        <f t="shared" ref="B6:M6" si="0">B4*B5</f>
        <v>15777.37</v>
      </c>
      <c r="C6" s="10">
        <f t="shared" si="0"/>
        <v>32874.520000000004</v>
      </c>
      <c r="D6" s="10">
        <f t="shared" si="0"/>
        <v>54050.990000000005</v>
      </c>
      <c r="E6" s="10">
        <f t="shared" si="0"/>
        <v>84405.930000000008</v>
      </c>
      <c r="F6" s="10">
        <f t="shared" si="0"/>
        <v>118120.31</v>
      </c>
      <c r="G6" s="10">
        <f t="shared" si="0"/>
        <v>155794.03</v>
      </c>
      <c r="H6" s="10">
        <f t="shared" si="0"/>
        <v>202586.23</v>
      </c>
      <c r="I6" s="10">
        <f t="shared" si="0"/>
        <v>255257.45</v>
      </c>
      <c r="J6" s="10">
        <f t="shared" si="0"/>
        <v>309188.46000000002</v>
      </c>
      <c r="K6" s="10">
        <f t="shared" si="0"/>
        <v>370618.22000000003</v>
      </c>
      <c r="L6" s="10">
        <f t="shared" si="0"/>
        <v>437986.99</v>
      </c>
      <c r="M6" s="10">
        <f t="shared" si="0"/>
        <v>511894.67000000004</v>
      </c>
    </row>
    <row r="7" spans="1:14" x14ac:dyDescent="0.25">
      <c r="A7" s="9" t="s">
        <v>183</v>
      </c>
      <c r="B7" s="7">
        <f t="shared" ref="B7:M7" si="1">$B$19</f>
        <v>56.657222222222224</v>
      </c>
      <c r="C7" s="7">
        <f t="shared" si="1"/>
        <v>56.657222222222224</v>
      </c>
      <c r="D7" s="7">
        <f t="shared" si="1"/>
        <v>56.657222222222224</v>
      </c>
      <c r="E7" s="7">
        <f t="shared" si="1"/>
        <v>56.657222222222224</v>
      </c>
      <c r="F7" s="7">
        <f t="shared" si="1"/>
        <v>56.657222222222224</v>
      </c>
      <c r="G7" s="7">
        <f t="shared" si="1"/>
        <v>56.657222222222224</v>
      </c>
      <c r="H7" s="7">
        <f t="shared" si="1"/>
        <v>56.657222222222224</v>
      </c>
      <c r="I7" s="7">
        <f t="shared" si="1"/>
        <v>56.657222222222224</v>
      </c>
      <c r="J7" s="7">
        <f t="shared" si="1"/>
        <v>56.657222222222224</v>
      </c>
      <c r="K7" s="7">
        <f t="shared" si="1"/>
        <v>56.657222222222224</v>
      </c>
      <c r="L7" s="7">
        <f t="shared" si="1"/>
        <v>56.657222222222224</v>
      </c>
      <c r="M7" s="7">
        <f t="shared" si="1"/>
        <v>56.657222222222224</v>
      </c>
    </row>
    <row r="8" spans="1:14" x14ac:dyDescent="0.25">
      <c r="A8" s="9" t="s">
        <v>184</v>
      </c>
      <c r="B8" s="10">
        <f t="shared" ref="B8:M8" si="2">B4*B7</f>
        <v>14900.849444444444</v>
      </c>
      <c r="C8" s="10">
        <f t="shared" si="2"/>
        <v>31048.157777777778</v>
      </c>
      <c r="D8" s="10">
        <f t="shared" si="2"/>
        <v>51048.157222222224</v>
      </c>
      <c r="E8" s="10">
        <f t="shared" si="2"/>
        <v>79716.71166666667</v>
      </c>
      <c r="F8" s="10">
        <f t="shared" si="2"/>
        <v>111558.07055555556</v>
      </c>
      <c r="G8" s="10">
        <f t="shared" si="2"/>
        <v>147138.8061111111</v>
      </c>
      <c r="H8" s="10">
        <f t="shared" si="2"/>
        <v>191331.43944444446</v>
      </c>
      <c r="I8" s="10">
        <f t="shared" si="2"/>
        <v>241076.48055555555</v>
      </c>
      <c r="J8" s="10">
        <f t="shared" si="2"/>
        <v>292011.32333333336</v>
      </c>
      <c r="K8" s="10">
        <f t="shared" si="2"/>
        <v>350028.31888888893</v>
      </c>
      <c r="L8" s="10">
        <f t="shared" si="2"/>
        <v>413654.37944444444</v>
      </c>
      <c r="M8" s="10">
        <f t="shared" si="2"/>
        <v>483456.07722222223</v>
      </c>
    </row>
    <row r="11" spans="1:14" ht="21" customHeight="1" x14ac:dyDescent="0.35">
      <c r="A11" s="191" t="s">
        <v>185</v>
      </c>
    </row>
    <row r="12" spans="1:14" x14ac:dyDescent="0.25">
      <c r="A12" s="9" t="s">
        <v>186</v>
      </c>
      <c r="B12" s="125">
        <v>40</v>
      </c>
    </row>
    <row r="13" spans="1:14" x14ac:dyDescent="0.25">
      <c r="A13" s="9" t="s">
        <v>187</v>
      </c>
      <c r="B13" s="124">
        <v>0.25</v>
      </c>
    </row>
    <row r="14" spans="1:14" x14ac:dyDescent="0.25">
      <c r="A14" s="9" t="s">
        <v>188</v>
      </c>
      <c r="B14" s="125">
        <v>4</v>
      </c>
    </row>
    <row r="15" spans="1:14" x14ac:dyDescent="0.25">
      <c r="B15" s="100"/>
    </row>
    <row r="16" spans="1:14" ht="15.75" customHeight="1" x14ac:dyDescent="0.25">
      <c r="A16" s="216" t="s">
        <v>189</v>
      </c>
      <c r="B16" s="217"/>
    </row>
    <row r="17" spans="1:2" x14ac:dyDescent="0.25">
      <c r="A17" s="122" t="s">
        <v>190</v>
      </c>
      <c r="B17" s="124">
        <f>B12*B14/720</f>
        <v>0.22222222222222221</v>
      </c>
    </row>
    <row r="18" spans="1:2" x14ac:dyDescent="0.25">
      <c r="A18" s="123" t="s">
        <v>191</v>
      </c>
      <c r="B18" s="124">
        <f>B17*B13</f>
        <v>5.5555555555555552E-2</v>
      </c>
    </row>
    <row r="19" spans="1:2" x14ac:dyDescent="0.25">
      <c r="A19" s="123" t="s">
        <v>192</v>
      </c>
      <c r="B19" s="163">
        <f>Inputs!$B$12*(1-B18)</f>
        <v>56.657222222222224</v>
      </c>
    </row>
  </sheetData>
  <mergeCells count="2">
    <mergeCell ref="A1:N1"/>
    <mergeCell ref="A16:B1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30"/>
  <sheetViews>
    <sheetView workbookViewId="0">
      <selection activeCell="A31" sqref="A31"/>
    </sheetView>
  </sheetViews>
  <sheetFormatPr defaultRowHeight="15" x14ac:dyDescent="0.25"/>
  <cols>
    <col min="1" max="1" width="35" customWidth="1"/>
    <col min="2" max="13" width="12" customWidth="1"/>
    <col min="15" max="15" width="10.140625" bestFit="1" customWidth="1"/>
  </cols>
  <sheetData>
    <row r="1" spans="1:15" ht="21" customHeight="1" x14ac:dyDescent="0.35">
      <c r="A1" s="215" t="s">
        <v>193</v>
      </c>
      <c r="B1" s="207"/>
      <c r="C1" s="207"/>
      <c r="D1" s="207"/>
      <c r="E1" s="207"/>
      <c r="F1" s="207"/>
      <c r="G1" s="207"/>
      <c r="H1" s="207"/>
      <c r="I1" s="207"/>
      <c r="J1" s="207"/>
      <c r="K1" s="207"/>
      <c r="L1" s="207"/>
      <c r="M1" s="207"/>
      <c r="N1" s="207"/>
    </row>
    <row r="3" spans="1:15" ht="15.75" customHeight="1" x14ac:dyDescent="0.25">
      <c r="A3" s="2" t="s">
        <v>158</v>
      </c>
      <c r="B3" s="2" t="s">
        <v>67</v>
      </c>
      <c r="C3" s="2" t="s">
        <v>68</v>
      </c>
      <c r="D3" s="2" t="s">
        <v>69</v>
      </c>
      <c r="E3" s="2" t="s">
        <v>70</v>
      </c>
      <c r="F3" s="2" t="s">
        <v>71</v>
      </c>
      <c r="G3" s="2" t="s">
        <v>72</v>
      </c>
      <c r="H3" s="2" t="s">
        <v>73</v>
      </c>
      <c r="I3" s="2" t="s">
        <v>74</v>
      </c>
      <c r="J3" s="2" t="s">
        <v>75</v>
      </c>
      <c r="K3" s="2" t="s">
        <v>76</v>
      </c>
      <c r="L3" s="2" t="s">
        <v>77</v>
      </c>
      <c r="M3" s="2" t="s">
        <v>78</v>
      </c>
    </row>
    <row r="4" spans="1:15" ht="18.75" customHeight="1" x14ac:dyDescent="0.3">
      <c r="A4" s="1" t="s">
        <v>194</v>
      </c>
    </row>
    <row r="5" spans="1:15" x14ac:dyDescent="0.25">
      <c r="A5" s="9" t="s">
        <v>195</v>
      </c>
      <c r="B5" s="10">
        <f>Revenue!B8*SUMPRODUCT('VIP Levels'!$D$5:$D$9,Inputs!B$23:B$27)</f>
        <v>2980.1698888888891</v>
      </c>
      <c r="C5" s="10">
        <f>Revenue!C8*SUMPRODUCT('VIP Levels'!$D$5:$D$9,Inputs!C$23:C$27)</f>
        <v>6209.6315555555557</v>
      </c>
      <c r="D5" s="10">
        <f>Revenue!D8*SUMPRODUCT('VIP Levels'!$D$5:$D$9,Inputs!D$23:D$27)</f>
        <v>10209.631444444445</v>
      </c>
      <c r="E5" s="10">
        <f>Revenue!E8*SUMPRODUCT('VIP Levels'!$D$5:$D$9,Inputs!E$23:E$27)</f>
        <v>15943.342333333338</v>
      </c>
      <c r="F5" s="10">
        <f>Revenue!F8*SUMPRODUCT('VIP Levels'!$D$5:$D$9,Inputs!F$23:F$27)</f>
        <v>22311.61411111111</v>
      </c>
      <c r="G5" s="10">
        <f>Revenue!G8*SUMPRODUCT('VIP Levels'!$D$5:$D$9,Inputs!G$23:G$27)</f>
        <v>29427.761222222227</v>
      </c>
      <c r="H5" s="10">
        <f>Revenue!H8*SUMPRODUCT('VIP Levels'!$D$5:$D$9,Inputs!H$23:H$27)</f>
        <v>38266.287888888903</v>
      </c>
      <c r="I5" s="10">
        <f>Revenue!I8*SUMPRODUCT('VIP Levels'!$D$5:$D$9,Inputs!I$23:I$27)</f>
        <v>48215.296111111114</v>
      </c>
      <c r="J5" s="10">
        <f>Revenue!J8*SUMPRODUCT('VIP Levels'!$D$5:$D$9,Inputs!J$23:J$27)</f>
        <v>58402.264666666684</v>
      </c>
      <c r="K5" s="10">
        <f>Revenue!K8*SUMPRODUCT('VIP Levels'!$D$5:$D$9,Inputs!K$23:K$27)</f>
        <v>70005.663777777794</v>
      </c>
      <c r="L5" s="10">
        <f>Revenue!L8*SUMPRODUCT('VIP Levels'!$D$5:$D$9,Inputs!L$23:L$27)</f>
        <v>82730.875888888899</v>
      </c>
      <c r="M5" s="10">
        <f>Revenue!M8*SUMPRODUCT('VIP Levels'!$D$5:$D$9,Inputs!M$23:M$27)</f>
        <v>96691.215444444446</v>
      </c>
    </row>
    <row r="6" spans="1:15" x14ac:dyDescent="0.25">
      <c r="A6" s="9" t="s">
        <v>196</v>
      </c>
      <c r="B6" s="10">
        <f>'Affiliate Projection'!B19*'VIP Levels'!$B$16*'VIP Levels'!$E$5*Inputs!$B$14*('VIP Levels'!$D$16/30)*'VIP Levels'!$C$16*Revenue!B7+'Affiliate Projection'!B20*'VIP Levels'!$B$17*'VIP Levels'!$E$6*Inputs!$B$14*('VIP Levels'!$D$17/30)*'VIP Levels'!$C$17*Revenue!B7+'Affiliate Projection'!B21*'VIP Levels'!$B$18*'VIP Levels'!$E$7*Inputs!$B$14*('VIP Levels'!$D$18/30)*'VIP Levels'!$C$18*Revenue!B7+'Affiliate Projection'!B22*'VIP Levels'!$B$19*'VIP Levels'!$E$8*Inputs!$B$14*('VIP Levels'!$D$19/30)*'VIP Levels'!$C$19*Revenue!B7+'Affiliate Projection'!B23*'VIP Levels'!$B$20*'VIP Levels'!$E$9*Inputs!$B$14*('VIP Levels'!$D$20/30)*'VIP Levels'!$C$20*Revenue!B7</f>
        <v>44.192633333333333</v>
      </c>
      <c r="C6" s="10">
        <f>'Affiliate Projection'!C19*'VIP Levels'!$B$16*'VIP Levels'!$E$5*Inputs!$B$14*('VIP Levels'!$D$16/30)*'VIP Levels'!$C$16*Revenue!C7+'Affiliate Projection'!C20*'VIP Levels'!$B$17*'VIP Levels'!$E$6*Inputs!$B$14*('VIP Levels'!$D$17/30)*'VIP Levels'!$C$17*Revenue!C7+'Affiliate Projection'!C21*'VIP Levels'!$B$18*'VIP Levels'!$E$7*Inputs!$B$14*('VIP Levels'!$D$18/30)*'VIP Levels'!$C$18*Revenue!C7+'Affiliate Projection'!C22*'VIP Levels'!$B$19*'VIP Levels'!$E$8*Inputs!$B$14*('VIP Levels'!$D$19/30)*'VIP Levels'!$C$19*Revenue!C7+'Affiliate Projection'!C23*'VIP Levels'!$B$20*'VIP Levels'!$E$9*Inputs!$B$14*('VIP Levels'!$D$20/30)*'VIP Levels'!$C$20*Revenue!C7</f>
        <v>452.97449166666678</v>
      </c>
      <c r="D6" s="10">
        <f>'Affiliate Projection'!D19*'VIP Levels'!$B$16*'VIP Levels'!$E$5*Inputs!$B$14*('VIP Levels'!$D$16/30)*'VIP Levels'!$C$16*Revenue!D7+'Affiliate Projection'!D20*'VIP Levels'!$B$17*'VIP Levels'!$E$6*Inputs!$B$14*('VIP Levels'!$D$17/30)*'VIP Levels'!$C$17*Revenue!D7+'Affiliate Projection'!D21*'VIP Levels'!$B$18*'VIP Levels'!$E$7*Inputs!$B$14*('VIP Levels'!$D$18/30)*'VIP Levels'!$C$18*Revenue!D7+'Affiliate Projection'!D22*'VIP Levels'!$B$19*'VIP Levels'!$E$8*Inputs!$B$14*('VIP Levels'!$D$19/30)*'VIP Levels'!$C$19*Revenue!D7+'Affiliate Projection'!D23*'VIP Levels'!$B$20*'VIP Levels'!$E$9*Inputs!$B$14*('VIP Levels'!$D$20/30)*'VIP Levels'!$C$20*Revenue!D7</f>
        <v>720.33992333333345</v>
      </c>
      <c r="E6" s="10">
        <f>'Affiliate Projection'!E19*'VIP Levels'!$B$16*'VIP Levels'!$E$5*Inputs!$B$14*('VIP Levels'!$D$16/30)*'VIP Levels'!$C$16*Revenue!E7+'Affiliate Projection'!E20*'VIP Levels'!$B$17*'VIP Levels'!$E$6*Inputs!$B$14*('VIP Levels'!$D$17/30)*'VIP Levels'!$C$17*Revenue!E7+'Affiliate Projection'!E21*'VIP Levels'!$B$18*'VIP Levels'!$E$7*Inputs!$B$14*('VIP Levels'!$D$18/30)*'VIP Levels'!$C$18*Revenue!E7+'Affiliate Projection'!E22*'VIP Levels'!$B$19*'VIP Levels'!$E$8*Inputs!$B$14*('VIP Levels'!$D$19/30)*'VIP Levels'!$C$19*Revenue!E7+'Affiliate Projection'!E23*'VIP Levels'!$B$20*'VIP Levels'!$E$9*Inputs!$B$14*('VIP Levels'!$D$20/30)*'VIP Levels'!$C$20*Revenue!E7</f>
        <v>1199.8299950000001</v>
      </c>
      <c r="F6" s="10">
        <f>'Affiliate Projection'!F19*'VIP Levels'!$B$16*'VIP Levels'!$E$5*Inputs!$B$14*('VIP Levels'!$D$16/30)*'VIP Levels'!$C$16*Revenue!F7+'Affiliate Projection'!F20*'VIP Levels'!$B$17*'VIP Levels'!$E$6*Inputs!$B$14*('VIP Levels'!$D$17/30)*'VIP Levels'!$C$17*Revenue!F7+'Affiliate Projection'!F21*'VIP Levels'!$B$18*'VIP Levels'!$E$7*Inputs!$B$14*('VIP Levels'!$D$18/30)*'VIP Levels'!$C$18*Revenue!F7+'Affiliate Projection'!F22*'VIP Levels'!$B$19*'VIP Levels'!$E$8*Inputs!$B$14*('VIP Levels'!$D$19/30)*'VIP Levels'!$C$19*Revenue!F7+'Affiliate Projection'!F23*'VIP Levels'!$B$20*'VIP Levels'!$E$9*Inputs!$B$14*('VIP Levels'!$D$20/30)*'VIP Levels'!$C$20*Revenue!F7</f>
        <v>1467.1954266666669</v>
      </c>
      <c r="G6" s="10">
        <f>'Affiliate Projection'!G19*'VIP Levels'!$B$16*'VIP Levels'!$E$5*Inputs!$B$14*('VIP Levels'!$D$16/30)*'VIP Levels'!$C$16*Revenue!G7+'Affiliate Projection'!G20*'VIP Levels'!$B$17*'VIP Levels'!$E$6*Inputs!$B$14*('VIP Levels'!$D$17/30)*'VIP Levels'!$C$17*Revenue!G7+'Affiliate Projection'!G21*'VIP Levels'!$B$18*'VIP Levels'!$E$7*Inputs!$B$14*('VIP Levels'!$D$18/30)*'VIP Levels'!$C$18*Revenue!G7+'Affiliate Projection'!G22*'VIP Levels'!$B$19*'VIP Levels'!$E$8*Inputs!$B$14*('VIP Levels'!$D$19/30)*'VIP Levels'!$C$19*Revenue!G7+'Affiliate Projection'!G23*'VIP Levels'!$B$20*'VIP Levels'!$E$9*Inputs!$B$14*('VIP Levels'!$D$20/30)*'VIP Levels'!$C$20*Revenue!G7</f>
        <v>1652.8044866666671</v>
      </c>
      <c r="H6" s="10">
        <f>'Affiliate Projection'!H19*'VIP Levels'!$B$16*'VIP Levels'!$E$5*Inputs!$B$14*('VIP Levels'!$D$16/30)*'VIP Levels'!$C$16*Revenue!H7+'Affiliate Projection'!H20*'VIP Levels'!$B$17*'VIP Levels'!$E$6*Inputs!$B$14*('VIP Levels'!$D$17/30)*'VIP Levels'!$C$17*Revenue!H7+'Affiliate Projection'!H21*'VIP Levels'!$B$18*'VIP Levels'!$E$7*Inputs!$B$14*('VIP Levels'!$D$18/30)*'VIP Levels'!$C$18*Revenue!H7+'Affiliate Projection'!H22*'VIP Levels'!$B$19*'VIP Levels'!$E$8*Inputs!$B$14*('VIP Levels'!$D$19/30)*'VIP Levels'!$C$19*Revenue!H7+'Affiliate Projection'!H23*'VIP Levels'!$B$20*'VIP Levels'!$E$9*Inputs!$B$14*('VIP Levels'!$D$20/30)*'VIP Levels'!$C$20*Revenue!H7</f>
        <v>2214.0509300000003</v>
      </c>
      <c r="I6" s="10">
        <f>'Affiliate Projection'!I19*'VIP Levels'!$B$16*'VIP Levels'!$E$5*Inputs!$B$14*('VIP Levels'!$D$16/30)*'VIP Levels'!$C$16*Revenue!I7+'Affiliate Projection'!I20*'VIP Levels'!$B$17*'VIP Levels'!$E$6*Inputs!$B$14*('VIP Levels'!$D$17/30)*'VIP Levels'!$C$17*Revenue!I7+'Affiliate Projection'!I21*'VIP Levels'!$B$18*'VIP Levels'!$E$7*Inputs!$B$14*('VIP Levels'!$D$18/30)*'VIP Levels'!$C$18*Revenue!I7+'Affiliate Projection'!I22*'VIP Levels'!$B$19*'VIP Levels'!$E$8*Inputs!$B$14*('VIP Levels'!$D$19/30)*'VIP Levels'!$C$19*Revenue!I7+'Affiliate Projection'!I23*'VIP Levels'!$B$20*'VIP Levels'!$E$9*Inputs!$B$14*('VIP Levels'!$D$20/30)*'VIP Levels'!$C$20*Revenue!I7</f>
        <v>2569.8016283333336</v>
      </c>
      <c r="J6" s="10">
        <f>'Affiliate Projection'!J19*'VIP Levels'!$B$16*'VIP Levels'!$E$5*Inputs!$B$14*('VIP Levels'!$D$16/30)*'VIP Levels'!$C$16*Revenue!J7+'Affiliate Projection'!J20*'VIP Levels'!$B$17*'VIP Levels'!$E$6*Inputs!$B$14*('VIP Levels'!$D$17/30)*'VIP Levels'!$C$17*Revenue!J7+'Affiliate Projection'!J21*'VIP Levels'!$B$18*'VIP Levels'!$E$7*Inputs!$B$14*('VIP Levels'!$D$18/30)*'VIP Levels'!$C$18*Revenue!J7+'Affiliate Projection'!J22*'VIP Levels'!$B$19*'VIP Levels'!$E$8*Inputs!$B$14*('VIP Levels'!$D$19/30)*'VIP Levels'!$C$19*Revenue!J7+'Affiliate Projection'!J23*'VIP Levels'!$B$20*'VIP Levels'!$E$9*Inputs!$B$14*('VIP Levels'!$D$20/30)*'VIP Levels'!$C$20*Revenue!J7</f>
        <v>2667.0254216666672</v>
      </c>
      <c r="K6" s="10">
        <f>'Affiliate Projection'!K19*'VIP Levels'!$B$16*'VIP Levels'!$E$5*Inputs!$B$14*('VIP Levels'!$D$16/30)*'VIP Levels'!$C$16*Revenue!K7+'Affiliate Projection'!K20*'VIP Levels'!$B$17*'VIP Levels'!$E$6*Inputs!$B$14*('VIP Levels'!$D$17/30)*'VIP Levels'!$C$17*Revenue!K7+'Affiliate Projection'!K21*'VIP Levels'!$B$18*'VIP Levels'!$E$7*Inputs!$B$14*('VIP Levels'!$D$18/30)*'VIP Levels'!$C$18*Revenue!K7+'Affiliate Projection'!K22*'VIP Levels'!$B$19*'VIP Levels'!$E$8*Inputs!$B$14*('VIP Levels'!$D$19/30)*'VIP Levels'!$C$19*Revenue!K7+'Affiliate Projection'!K23*'VIP Levels'!$B$20*'VIP Levels'!$E$9*Inputs!$B$14*('VIP Levels'!$D$20/30)*'VIP Levels'!$C$20*Revenue!K7</f>
        <v>3075.8072800000009</v>
      </c>
      <c r="L6" s="10">
        <f>'Affiliate Projection'!L19*'VIP Levels'!$B$16*'VIP Levels'!$E$5*Inputs!$B$14*('VIP Levels'!$D$16/30)*'VIP Levels'!$C$16*Revenue!L7+'Affiliate Projection'!L20*'VIP Levels'!$B$17*'VIP Levels'!$E$6*Inputs!$B$14*('VIP Levels'!$D$17/30)*'VIP Levels'!$C$17*Revenue!L7+'Affiliate Projection'!L21*'VIP Levels'!$B$18*'VIP Levels'!$E$7*Inputs!$B$14*('VIP Levels'!$D$18/30)*'VIP Levels'!$C$18*Revenue!L7+'Affiliate Projection'!L22*'VIP Levels'!$B$19*'VIP Levels'!$E$8*Inputs!$B$14*('VIP Levels'!$D$19/30)*'VIP Levels'!$C$19*Revenue!L7+'Affiliate Projection'!L23*'VIP Levels'!$B$20*'VIP Levels'!$E$9*Inputs!$B$14*('VIP Levels'!$D$20/30)*'VIP Levels'!$C$20*Revenue!L7</f>
        <v>3422.7194516666673</v>
      </c>
      <c r="M6" s="10">
        <f>'Affiliate Projection'!M19*'VIP Levels'!$B$16*'VIP Levels'!$E$5*Inputs!$B$14*('VIP Levels'!$D$16/30)*'VIP Levels'!$C$16*Revenue!M7+'Affiliate Projection'!M20*'VIP Levels'!$B$17*'VIP Levels'!$E$6*Inputs!$B$14*('VIP Levels'!$D$17/30)*'VIP Levels'!$C$17*Revenue!M7+'Affiliate Projection'!M21*'VIP Levels'!$B$18*'VIP Levels'!$E$7*Inputs!$B$14*('VIP Levels'!$D$18/30)*'VIP Levels'!$C$18*Revenue!M7+'Affiliate Projection'!M22*'VIP Levels'!$B$19*'VIP Levels'!$E$8*Inputs!$B$14*('VIP Levels'!$D$19/30)*'VIP Levels'!$C$19*Revenue!M7+'Affiliate Projection'!M23*'VIP Levels'!$B$20*'VIP Levels'!$E$9*Inputs!$B$14*('VIP Levels'!$D$20/30)*'VIP Levels'!$C$20*Revenue!M7</f>
        <v>3822.6627833333341</v>
      </c>
    </row>
    <row r="7" spans="1:15" x14ac:dyDescent="0.25">
      <c r="A7" s="9" t="s">
        <v>197</v>
      </c>
      <c r="B7" s="10">
        <f t="array" ref="B7">SUMPRODUCT((Missions!$F$5:$F$26="Commission Boost")*(Missions!$A$5:$A$26="Bronze")*(Missions!$D$5:$D$26="One-time")*'Affiliate Projection'!B19*Missions!$E$5:$E$26*Missions!$J$5:$J$26)+SUMPRODUCT((Missions!$F$5:$F$26="Commission Boost")*(Missions!$A$5:$A$26="Bronze")*(Missions!$D$5:$D$26&lt;&gt;"One-time")*'Affiliate Projection'!B13*Missions!$E$5:$E$26*Missions!$J$5:$J$26)+SUMPRODUCT((Missions!$F$5:$F$26="Commission Boost")*(Missions!$A$5:$A$26="Silver")*(Missions!$D$5:$D$26="One-time")*'Affiliate Projection'!B20*Missions!$E$5:$E$26*Missions!$J$5:$J$26)+SUMPRODUCT((Missions!$F$5:$F$26="Commission Boost")*(Missions!$A$5:$A$26="Silver")*(Missions!$D$5:$D$26&lt;&gt;"One-time")*'Affiliate Projection'!B14*Missions!$E$5:$E$26*Missions!$J$5:$J$26)+SUMPRODUCT((Missions!$F$5:$F$26="Commission Boost")*(Missions!$A$5:$A$26="Gold")*(Missions!$D$5:$D$26="One-time")*'Affiliate Projection'!B21*Missions!$E$5:$E$26*Missions!$J$5:$J$26)+SUMPRODUCT((Missions!$F$5:$F$26="Commission Boost")*(Missions!$A$5:$A$26="Gold")*(Missions!$D$5:$D$26&lt;&gt;"One-time")*'Affiliate Projection'!B15*Missions!$E$5:$E$26*Missions!$J$5:$J$26)+SUMPRODUCT((Missions!$F$5:$F$26="Commission Boost")*(Missions!$A$5:$A$26="Platinum")*(Missions!$D$5:$D$26="One-time")*'Affiliate Projection'!B22*Missions!$E$5:$E$26*Missions!$J$5:$J$26)+SUMPRODUCT((Missions!$F$5:$F$26="Commission Boost")*(Missions!$A$5:$A$26="Platinum")*(Missions!$D$5:$D$26&lt;&gt;"One-time")*'Affiliate Projection'!B16*Missions!$E$5:$E$26*Missions!$J$5:$J$26)+SUMPRODUCT((Missions!$F$5:$F$26="Commission Boost")*(Missions!$A$5:$A$26="Diamond")*(Missions!$D$5:$D$26="One-time")*'Affiliate Projection'!B23*Missions!$E$5:$E$26*Missions!$J$5:$J$26)+SUMPRODUCT((Missions!$F$5:$F$26="Commission Boost")*(Missions!$A$5:$A$26="Diamond")*(Missions!$D$5:$D$26&lt;&gt;"One-time")*'Affiliate Projection'!B17*Missions!$E$5:$E$26*Missions!$J$5:$J$26)</f>
        <v>30.93484333333334</v>
      </c>
      <c r="C7" s="10">
        <f>SUMPRODUCT((Missions!$F$5:$F$26="Commission Boost")*(Missions!$A$5:$A$26="Bronze")*(Missions!$D$5:$D$26="One-time")*'Affiliate Projection'!C19*Missions!$E$5:$E$26*Missions!$J$5:$J$26)+SUMPRODUCT((Missions!$F$5:$F$26="Commission Boost")*(Missions!$A$5:$A$26="Bronze")*(Missions!$D$5:$D$26&lt;&gt;"One-time")*'Affiliate Projection'!C13*Missions!$E$5:$E$26*Missions!$J$5:$J$26)+SUMPRODUCT((Missions!$F$5:$F$26="Commission Boost")*(Missions!$A$5:$A$26="Silver")*(Missions!$D$5:$D$26="One-time")*'Affiliate Projection'!C20*Missions!$E$5:$E$26*Missions!$J$5:$J$26)+SUMPRODUCT((Missions!$F$5:$F$26="Commission Boost")*(Missions!$A$5:$A$26="Silver")*(Missions!$D$5:$D$26&lt;&gt;"One-time")*'Affiliate Projection'!C14*Missions!$E$5:$E$26*Missions!$J$5:$J$26)+SUMPRODUCT((Missions!$F$5:$F$26="Commission Boost")*(Missions!$A$5:$A$26="Gold")*(Missions!$D$5:$D$26="One-time")*'Affiliate Projection'!C21*Missions!$E$5:$E$26*Missions!$J$5:$J$26)+SUMPRODUCT((Missions!$F$5:$F$26="Commission Boost")*(Missions!$A$5:$A$26="Gold")*(Missions!$D$5:$D$26&lt;&gt;"One-time")*'Affiliate Projection'!C15*Missions!$E$5:$E$26*Missions!$J$5:$J$26)+SUMPRODUCT((Missions!$F$5:$F$26="Commission Boost")*(Missions!$A$5:$A$26="Platinum")*(Missions!$D$5:$D$26="One-time")*'Affiliate Projection'!C22*Missions!$E$5:$E$26*Missions!$J$5:$J$26)+SUMPRODUCT((Missions!$F$5:$F$26="Commission Boost")*(Missions!$A$5:$A$26="Platinum")*(Missions!$D$5:$D$26&lt;&gt;"One-time")*'Affiliate Projection'!C16*Missions!$E$5:$E$26*Missions!$J$5:$J$26)+SUMPRODUCT((Missions!$F$5:$F$26="Commission Boost")*(Missions!$A$5:$A$26="Diamond")*(Missions!$D$5:$D$26="One-time")*'Affiliate Projection'!C23*Missions!$E$5:$E$26*Missions!$J$5:$J$26)+SUMPRODUCT((Missions!$F$5:$F$26="Commission Boost")*(Missions!$A$5:$A$26="Diamond")*(Missions!$D$5:$D$26&lt;&gt;"One-time")*'Affiliate Projection'!C17*Missions!$E$5:$E$26*Missions!$J$5:$J$26)</f>
        <v>309.34843333333339</v>
      </c>
      <c r="D7" s="10">
        <f>SUMPRODUCT((Missions!$F$5:$F$26="Commission Boost")*(Missions!$A$5:$A$26="Bronze")*(Missions!$D$5:$D$26="One-time")*'Affiliate Projection'!D19*Missions!$E$5:$E$26*Missions!$J$5:$J$26)+SUMPRODUCT((Missions!$F$5:$F$26="Commission Boost")*(Missions!$A$5:$A$26="Bronze")*(Missions!$D$5:$D$26&lt;&gt;"One-time")*'Affiliate Projection'!D13*Missions!$E$5:$E$26*Missions!$J$5:$J$26)+SUMPRODUCT((Missions!$F$5:$F$26="Commission Boost")*(Missions!$A$5:$A$26="Silver")*(Missions!$D$5:$D$26="One-time")*'Affiliate Projection'!D20*Missions!$E$5:$E$26*Missions!$J$5:$J$26)+SUMPRODUCT((Missions!$F$5:$F$26="Commission Boost")*(Missions!$A$5:$A$26="Silver")*(Missions!$D$5:$D$26&lt;&gt;"One-time")*'Affiliate Projection'!D14*Missions!$E$5:$E$26*Missions!$J$5:$J$26)+SUMPRODUCT((Missions!$F$5:$F$26="Commission Boost")*(Missions!$A$5:$A$26="Gold")*(Missions!$D$5:$D$26="One-time")*'Affiliate Projection'!D21*Missions!$E$5:$E$26*Missions!$J$5:$J$26)+SUMPRODUCT((Missions!$F$5:$F$26="Commission Boost")*(Missions!$A$5:$A$26="Gold")*(Missions!$D$5:$D$26&lt;&gt;"One-time")*'Affiliate Projection'!D15*Missions!$E$5:$E$26*Missions!$J$5:$J$26)+SUMPRODUCT((Missions!$F$5:$F$26="Commission Boost")*(Missions!$A$5:$A$26="Platinum")*(Missions!$D$5:$D$26="One-time")*'Affiliate Projection'!D22*Missions!$E$5:$E$26*Missions!$J$5:$J$26)+SUMPRODUCT((Missions!$F$5:$F$26="Commission Boost")*(Missions!$A$5:$A$26="Platinum")*(Missions!$D$5:$D$26&lt;&gt;"One-time")*'Affiliate Projection'!D16*Missions!$E$5:$E$26*Missions!$J$5:$J$26)+SUMPRODUCT((Missions!$F$5:$F$26="Commission Boost")*(Missions!$A$5:$A$26="Diamond")*(Missions!$D$5:$D$26="One-time")*'Affiliate Projection'!D23*Missions!$E$5:$E$26*Missions!$J$5:$J$26)+SUMPRODUCT((Missions!$F$5:$F$26="Commission Boost")*(Missions!$A$5:$A$26="Diamond")*(Missions!$D$5:$D$26&lt;&gt;"One-time")*'Affiliate Projection'!D17*Missions!$E$5:$E$26*Missions!$J$5:$J$26)</f>
        <v>779.55805200000009</v>
      </c>
      <c r="E7" s="10">
        <f>SUMPRODUCT((Missions!$F$5:$F$26="Commission Boost")*(Missions!$A$5:$A$26="Bronze")*(Missions!$D$5:$D$26="One-time")*'Affiliate Projection'!E19*Missions!$E$5:$E$26*Missions!$J$5:$J$26)+SUMPRODUCT((Missions!$F$5:$F$26="Commission Boost")*(Missions!$A$5:$A$26="Bronze")*(Missions!$D$5:$D$26&lt;&gt;"One-time")*'Affiliate Projection'!E13*Missions!$E$5:$E$26*Missions!$J$5:$J$26)+SUMPRODUCT((Missions!$F$5:$F$26="Commission Boost")*(Missions!$A$5:$A$26="Silver")*(Missions!$D$5:$D$26="One-time")*'Affiliate Projection'!E20*Missions!$E$5:$E$26*Missions!$J$5:$J$26)+SUMPRODUCT((Missions!$F$5:$F$26="Commission Boost")*(Missions!$A$5:$A$26="Silver")*(Missions!$D$5:$D$26&lt;&gt;"One-time")*'Affiliate Projection'!E14*Missions!$E$5:$E$26*Missions!$J$5:$J$26)+SUMPRODUCT((Missions!$F$5:$F$26="Commission Boost")*(Missions!$A$5:$A$26="Gold")*(Missions!$D$5:$D$26="One-time")*'Affiliate Projection'!E21*Missions!$E$5:$E$26*Missions!$J$5:$J$26)+SUMPRODUCT((Missions!$F$5:$F$26="Commission Boost")*(Missions!$A$5:$A$26="Gold")*(Missions!$D$5:$D$26&lt;&gt;"One-time")*'Affiliate Projection'!E15*Missions!$E$5:$E$26*Missions!$J$5:$J$26)+SUMPRODUCT((Missions!$F$5:$F$26="Commission Boost")*(Missions!$A$5:$A$26="Platinum")*(Missions!$D$5:$D$26="One-time")*'Affiliate Projection'!E22*Missions!$E$5:$E$26*Missions!$J$5:$J$26)+SUMPRODUCT((Missions!$F$5:$F$26="Commission Boost")*(Missions!$A$5:$A$26="Platinum")*(Missions!$D$5:$D$26&lt;&gt;"One-time")*'Affiliate Projection'!E16*Missions!$E$5:$E$26*Missions!$J$5:$J$26)+SUMPRODUCT((Missions!$F$5:$F$26="Commission Boost")*(Missions!$A$5:$A$26="Diamond")*(Missions!$D$5:$D$26="One-time")*'Affiliate Projection'!E23*Missions!$E$5:$E$26*Missions!$J$5:$J$26)+SUMPRODUCT((Missions!$F$5:$F$26="Commission Boost")*(Missions!$A$5:$A$26="Diamond")*(Missions!$D$5:$D$26&lt;&gt;"One-time")*'Affiliate Projection'!E17*Missions!$E$5:$E$26*Missions!$J$5:$J$26)</f>
        <v>1525.0877763333333</v>
      </c>
      <c r="F7" s="10">
        <f>SUMPRODUCT((Missions!$F$5:$F$26="Commission Boost")*(Missions!$A$5:$A$26="Bronze")*(Missions!$D$5:$D$26="One-time")*'Affiliate Projection'!F19*Missions!$E$5:$E$26*Missions!$J$5:$J$26)+SUMPRODUCT((Missions!$F$5:$F$26="Commission Boost")*(Missions!$A$5:$A$26="Bronze")*(Missions!$D$5:$D$26&lt;&gt;"One-time")*'Affiliate Projection'!F13*Missions!$E$5:$E$26*Missions!$J$5:$J$26)+SUMPRODUCT((Missions!$F$5:$F$26="Commission Boost")*(Missions!$A$5:$A$26="Silver")*(Missions!$D$5:$D$26="One-time")*'Affiliate Projection'!F20*Missions!$E$5:$E$26*Missions!$J$5:$J$26)+SUMPRODUCT((Missions!$F$5:$F$26="Commission Boost")*(Missions!$A$5:$A$26="Silver")*(Missions!$D$5:$D$26&lt;&gt;"One-time")*'Affiliate Projection'!F14*Missions!$E$5:$E$26*Missions!$J$5:$J$26)+SUMPRODUCT((Missions!$F$5:$F$26="Commission Boost")*(Missions!$A$5:$A$26="Gold")*(Missions!$D$5:$D$26="One-time")*'Affiliate Projection'!F21*Missions!$E$5:$E$26*Missions!$J$5:$J$26)+SUMPRODUCT((Missions!$F$5:$F$26="Commission Boost")*(Missions!$A$5:$A$26="Gold")*(Missions!$D$5:$D$26&lt;&gt;"One-time")*'Affiliate Projection'!F15*Missions!$E$5:$E$26*Missions!$J$5:$J$26)+SUMPRODUCT((Missions!$F$5:$F$26="Commission Boost")*(Missions!$A$5:$A$26="Platinum")*(Missions!$D$5:$D$26="One-time")*'Affiliate Projection'!F22*Missions!$E$5:$E$26*Missions!$J$5:$J$26)+SUMPRODUCT((Missions!$F$5:$F$26="Commission Boost")*(Missions!$A$5:$A$26="Platinum")*(Missions!$D$5:$D$26&lt;&gt;"One-time")*'Affiliate Projection'!F16*Missions!$E$5:$E$26*Missions!$J$5:$J$26)+SUMPRODUCT((Missions!$F$5:$F$26="Commission Boost")*(Missions!$A$5:$A$26="Diamond")*(Missions!$D$5:$D$26="One-time")*'Affiliate Projection'!F23*Missions!$E$5:$E$26*Missions!$J$5:$J$26)+SUMPRODUCT((Missions!$F$5:$F$26="Commission Boost")*(Missions!$A$5:$A$26="Diamond")*(Missions!$D$5:$D$26&lt;&gt;"One-time")*'Affiliate Projection'!F17*Missions!$E$5:$E$26*Missions!$J$5:$J$26)</f>
        <v>2462.4135293333338</v>
      </c>
      <c r="G7" s="10">
        <f>SUMPRODUCT((Missions!$F$5:$F$26="Commission Boost")*(Missions!$A$5:$A$26="Bronze")*(Missions!$D$5:$D$26="One-time")*'Affiliate Projection'!G19*Missions!$E$5:$E$26*Missions!$J$5:$J$26)+SUMPRODUCT((Missions!$F$5:$F$26="Commission Boost")*(Missions!$A$5:$A$26="Bronze")*(Missions!$D$5:$D$26&lt;&gt;"One-time")*'Affiliate Projection'!G13*Missions!$E$5:$E$26*Missions!$J$5:$J$26)+SUMPRODUCT((Missions!$F$5:$F$26="Commission Boost")*(Missions!$A$5:$A$26="Silver")*(Missions!$D$5:$D$26="One-time")*'Affiliate Projection'!G20*Missions!$E$5:$E$26*Missions!$J$5:$J$26)+SUMPRODUCT((Missions!$F$5:$F$26="Commission Boost")*(Missions!$A$5:$A$26="Silver")*(Missions!$D$5:$D$26&lt;&gt;"One-time")*'Affiliate Projection'!G14*Missions!$E$5:$E$26*Missions!$J$5:$J$26)+SUMPRODUCT((Missions!$F$5:$F$26="Commission Boost")*(Missions!$A$5:$A$26="Gold")*(Missions!$D$5:$D$26="One-time")*'Affiliate Projection'!G21*Missions!$E$5:$E$26*Missions!$J$5:$J$26)+SUMPRODUCT((Missions!$F$5:$F$26="Commission Boost")*(Missions!$A$5:$A$26="Gold")*(Missions!$D$5:$D$26&lt;&gt;"One-time")*'Affiliate Projection'!G15*Missions!$E$5:$E$26*Missions!$J$5:$J$26)+SUMPRODUCT((Missions!$F$5:$F$26="Commission Boost")*(Missions!$A$5:$A$26="Platinum")*(Missions!$D$5:$D$26="One-time")*'Affiliate Projection'!G22*Missions!$E$5:$E$26*Missions!$J$5:$J$26)+SUMPRODUCT((Missions!$F$5:$F$26="Commission Boost")*(Missions!$A$5:$A$26="Platinum")*(Missions!$D$5:$D$26&lt;&gt;"One-time")*'Affiliate Projection'!G16*Missions!$E$5:$E$26*Missions!$J$5:$J$26)+SUMPRODUCT((Missions!$F$5:$F$26="Commission Boost")*(Missions!$A$5:$A$26="Diamond")*(Missions!$D$5:$D$26="One-time")*'Affiliate Projection'!G23*Missions!$E$5:$E$26*Missions!$J$5:$J$26)+SUMPRODUCT((Missions!$F$5:$F$26="Commission Boost")*(Missions!$A$5:$A$26="Diamond")*(Missions!$D$5:$D$26&lt;&gt;"One-time")*'Affiliate Projection'!G17*Missions!$E$5:$E$26*Missions!$J$5:$J$26)</f>
        <v>3486.3568436666674</v>
      </c>
      <c r="H7" s="10">
        <f>SUMPRODUCT((Missions!$F$5:$F$26="Commission Boost")*(Missions!$A$5:$A$26="Bronze")*(Missions!$D$5:$D$26="One-time")*'Affiliate Projection'!H19*Missions!$E$5:$E$26*Missions!$J$5:$J$26)+SUMPRODUCT((Missions!$F$5:$F$26="Commission Boost")*(Missions!$A$5:$A$26="Bronze")*(Missions!$D$5:$D$26&lt;&gt;"One-time")*'Affiliate Projection'!H13*Missions!$E$5:$E$26*Missions!$J$5:$J$26)+SUMPRODUCT((Missions!$F$5:$F$26="Commission Boost")*(Missions!$A$5:$A$26="Silver")*(Missions!$D$5:$D$26="One-time")*'Affiliate Projection'!H20*Missions!$E$5:$E$26*Missions!$J$5:$J$26)+SUMPRODUCT((Missions!$F$5:$F$26="Commission Boost")*(Missions!$A$5:$A$26="Silver")*(Missions!$D$5:$D$26&lt;&gt;"One-time")*'Affiliate Projection'!H14*Missions!$E$5:$E$26*Missions!$J$5:$J$26)+SUMPRODUCT((Missions!$F$5:$F$26="Commission Boost")*(Missions!$A$5:$A$26="Gold")*(Missions!$D$5:$D$26="One-time")*'Affiliate Projection'!H21*Missions!$E$5:$E$26*Missions!$J$5:$J$26)+SUMPRODUCT((Missions!$F$5:$F$26="Commission Boost")*(Missions!$A$5:$A$26="Gold")*(Missions!$D$5:$D$26&lt;&gt;"One-time")*'Affiliate Projection'!H15*Missions!$E$5:$E$26*Missions!$J$5:$J$26)+SUMPRODUCT((Missions!$F$5:$F$26="Commission Boost")*(Missions!$A$5:$A$26="Platinum")*(Missions!$D$5:$D$26="One-time")*'Affiliate Projection'!H22*Missions!$E$5:$E$26*Missions!$J$5:$J$26)+SUMPRODUCT((Missions!$F$5:$F$26="Commission Boost")*(Missions!$A$5:$A$26="Platinum")*(Missions!$D$5:$D$26&lt;&gt;"One-time")*'Affiliate Projection'!H16*Missions!$E$5:$E$26*Missions!$J$5:$J$26)+SUMPRODUCT((Missions!$F$5:$F$26="Commission Boost")*(Missions!$A$5:$A$26="Diamond")*(Missions!$D$5:$D$26="One-time")*'Affiliate Projection'!H23*Missions!$E$5:$E$26*Missions!$J$5:$J$26)+SUMPRODUCT((Missions!$F$5:$F$26="Commission Boost")*(Missions!$A$5:$A$26="Diamond")*(Missions!$D$5:$D$26&lt;&gt;"One-time")*'Affiliate Projection'!H17*Missions!$E$5:$E$26*Missions!$J$5:$J$26)</f>
        <v>4890.7987310000008</v>
      </c>
      <c r="I7" s="10">
        <f>SUMPRODUCT((Missions!$F$5:$F$26="Commission Boost")*(Missions!$A$5:$A$26="Bronze")*(Missions!$D$5:$D$26="One-time")*'Affiliate Projection'!I19*Missions!$E$5:$E$26*Missions!$J$5:$J$26)+SUMPRODUCT((Missions!$F$5:$F$26="Commission Boost")*(Missions!$A$5:$A$26="Bronze")*(Missions!$D$5:$D$26&lt;&gt;"One-time")*'Affiliate Projection'!I13*Missions!$E$5:$E$26*Missions!$J$5:$J$26)+SUMPRODUCT((Missions!$F$5:$F$26="Commission Boost")*(Missions!$A$5:$A$26="Silver")*(Missions!$D$5:$D$26="One-time")*'Affiliate Projection'!I20*Missions!$E$5:$E$26*Missions!$J$5:$J$26)+SUMPRODUCT((Missions!$F$5:$F$26="Commission Boost")*(Missions!$A$5:$A$26="Silver")*(Missions!$D$5:$D$26&lt;&gt;"One-time")*'Affiliate Projection'!I14*Missions!$E$5:$E$26*Missions!$J$5:$J$26)+SUMPRODUCT((Missions!$F$5:$F$26="Commission Boost")*(Missions!$A$5:$A$26="Gold")*(Missions!$D$5:$D$26="One-time")*'Affiliate Projection'!I21*Missions!$E$5:$E$26*Missions!$J$5:$J$26)+SUMPRODUCT((Missions!$F$5:$F$26="Commission Boost")*(Missions!$A$5:$A$26="Gold")*(Missions!$D$5:$D$26&lt;&gt;"One-time")*'Affiliate Projection'!I15*Missions!$E$5:$E$26*Missions!$J$5:$J$26)+SUMPRODUCT((Missions!$F$5:$F$26="Commission Boost")*(Missions!$A$5:$A$26="Platinum")*(Missions!$D$5:$D$26="One-time")*'Affiliate Projection'!I22*Missions!$E$5:$E$26*Missions!$J$5:$J$26)+SUMPRODUCT((Missions!$F$5:$F$26="Commission Boost")*(Missions!$A$5:$A$26="Platinum")*(Missions!$D$5:$D$26&lt;&gt;"One-time")*'Affiliate Projection'!I16*Missions!$E$5:$E$26*Missions!$J$5:$J$26)+SUMPRODUCT((Missions!$F$5:$F$26="Commission Boost")*(Missions!$A$5:$A$26="Diamond")*(Missions!$D$5:$D$26="One-time")*'Affiliate Projection'!I23*Missions!$E$5:$E$26*Missions!$J$5:$J$26)+SUMPRODUCT((Missions!$F$5:$F$26="Commission Boost")*(Missions!$A$5:$A$26="Diamond")*(Missions!$D$5:$D$26&lt;&gt;"One-time")*'Affiliate Projection'!I17*Missions!$E$5:$E$26*Missions!$J$5:$J$26)</f>
        <v>6527.2519433333346</v>
      </c>
      <c r="J7" s="10">
        <f>SUMPRODUCT((Missions!$F$5:$F$26="Commission Boost")*(Missions!$A$5:$A$26="Bronze")*(Missions!$D$5:$D$26="One-time")*'Affiliate Projection'!J19*Missions!$E$5:$E$26*Missions!$J$5:$J$26)+SUMPRODUCT((Missions!$F$5:$F$26="Commission Boost")*(Missions!$A$5:$A$26="Bronze")*(Missions!$D$5:$D$26&lt;&gt;"One-time")*'Affiliate Projection'!J13*Missions!$E$5:$E$26*Missions!$J$5:$J$26)+SUMPRODUCT((Missions!$F$5:$F$26="Commission Boost")*(Missions!$A$5:$A$26="Silver")*(Missions!$D$5:$D$26="One-time")*'Affiliate Projection'!J20*Missions!$E$5:$E$26*Missions!$J$5:$J$26)+SUMPRODUCT((Missions!$F$5:$F$26="Commission Boost")*(Missions!$A$5:$A$26="Silver")*(Missions!$D$5:$D$26&lt;&gt;"One-time")*'Affiliate Projection'!J14*Missions!$E$5:$E$26*Missions!$J$5:$J$26)+SUMPRODUCT((Missions!$F$5:$F$26="Commission Boost")*(Missions!$A$5:$A$26="Gold")*(Missions!$D$5:$D$26="One-time")*'Affiliate Projection'!J21*Missions!$E$5:$E$26*Missions!$J$5:$J$26)+SUMPRODUCT((Missions!$F$5:$F$26="Commission Boost")*(Missions!$A$5:$A$26="Gold")*(Missions!$D$5:$D$26&lt;&gt;"One-time")*'Affiliate Projection'!J15*Missions!$E$5:$E$26*Missions!$J$5:$J$26)+SUMPRODUCT((Missions!$F$5:$F$26="Commission Boost")*(Missions!$A$5:$A$26="Platinum")*(Missions!$D$5:$D$26="One-time")*'Affiliate Projection'!J22*Missions!$E$5:$E$26*Missions!$J$5:$J$26)+SUMPRODUCT((Missions!$F$5:$F$26="Commission Boost")*(Missions!$A$5:$A$26="Platinum")*(Missions!$D$5:$D$26&lt;&gt;"One-time")*'Affiliate Projection'!J16*Missions!$E$5:$E$26*Missions!$J$5:$J$26)+SUMPRODUCT((Missions!$F$5:$F$26="Commission Boost")*(Missions!$A$5:$A$26="Diamond")*(Missions!$D$5:$D$26="One-time")*'Affiliate Projection'!J23*Missions!$E$5:$E$26*Missions!$J$5:$J$26)+SUMPRODUCT((Missions!$F$5:$F$26="Commission Boost")*(Missions!$A$5:$A$26="Diamond")*(Missions!$D$5:$D$26&lt;&gt;"One-time")*'Affiliate Projection'!J17*Missions!$E$5:$E$26*Missions!$J$5:$J$26)</f>
        <v>8210.1074206666672</v>
      </c>
      <c r="K7" s="10">
        <f>SUMPRODUCT((Missions!$F$5:$F$26="Commission Boost")*(Missions!$A$5:$A$26="Bronze")*(Missions!$D$5:$D$26="One-time")*'Affiliate Projection'!K19*Missions!$E$5:$E$26*Missions!$J$5:$J$26)+SUMPRODUCT((Missions!$F$5:$F$26="Commission Boost")*(Missions!$A$5:$A$26="Bronze")*(Missions!$D$5:$D$26&lt;&gt;"One-time")*'Affiliate Projection'!K13*Missions!$E$5:$E$26*Missions!$J$5:$J$26)+SUMPRODUCT((Missions!$F$5:$F$26="Commission Boost")*(Missions!$A$5:$A$26="Silver")*(Missions!$D$5:$D$26="One-time")*'Affiliate Projection'!K20*Missions!$E$5:$E$26*Missions!$J$5:$J$26)+SUMPRODUCT((Missions!$F$5:$F$26="Commission Boost")*(Missions!$A$5:$A$26="Silver")*(Missions!$D$5:$D$26&lt;&gt;"One-time")*'Affiliate Projection'!K14*Missions!$E$5:$E$26*Missions!$J$5:$J$26)+SUMPRODUCT((Missions!$F$5:$F$26="Commission Boost")*(Missions!$A$5:$A$26="Gold")*(Missions!$D$5:$D$26="One-time")*'Affiliate Projection'!K21*Missions!$E$5:$E$26*Missions!$J$5:$J$26)+SUMPRODUCT((Missions!$F$5:$F$26="Commission Boost")*(Missions!$A$5:$A$26="Gold")*(Missions!$D$5:$D$26&lt;&gt;"One-time")*'Affiliate Projection'!K15*Missions!$E$5:$E$26*Missions!$J$5:$J$26)+SUMPRODUCT((Missions!$F$5:$F$26="Commission Boost")*(Missions!$A$5:$A$26="Platinum")*(Missions!$D$5:$D$26="One-time")*'Affiliate Projection'!K22*Missions!$E$5:$E$26*Missions!$J$5:$J$26)+SUMPRODUCT((Missions!$F$5:$F$26="Commission Boost")*(Missions!$A$5:$A$26="Platinum")*(Missions!$D$5:$D$26&lt;&gt;"One-time")*'Affiliate Projection'!K16*Missions!$E$5:$E$26*Missions!$J$5:$J$26)+SUMPRODUCT((Missions!$F$5:$F$26="Commission Boost")*(Missions!$A$5:$A$26="Diamond")*(Missions!$D$5:$D$26="One-time")*'Affiliate Projection'!K23*Missions!$E$5:$E$26*Missions!$J$5:$J$26)+SUMPRODUCT((Missions!$F$5:$F$26="Commission Boost")*(Missions!$A$5:$A$26="Diamond")*(Missions!$D$5:$D$26&lt;&gt;"One-time")*'Affiliate Projection'!K17*Missions!$E$5:$E$26*Missions!$J$5:$J$26)</f>
        <v>10140.441644666669</v>
      </c>
      <c r="L7" s="10">
        <f>SUMPRODUCT((Missions!$F$5:$F$26="Commission Boost")*(Missions!$A$5:$A$26="Bronze")*(Missions!$D$5:$D$26="One-time")*'Affiliate Projection'!L19*Missions!$E$5:$E$26*Missions!$J$5:$J$26)+SUMPRODUCT((Missions!$F$5:$F$26="Commission Boost")*(Missions!$A$5:$A$26="Bronze")*(Missions!$D$5:$D$26&lt;&gt;"One-time")*'Affiliate Projection'!L13*Missions!$E$5:$E$26*Missions!$J$5:$J$26)+SUMPRODUCT((Missions!$F$5:$F$26="Commission Boost")*(Missions!$A$5:$A$26="Silver")*(Missions!$D$5:$D$26="One-time")*'Affiliate Projection'!L20*Missions!$E$5:$E$26*Missions!$J$5:$J$26)+SUMPRODUCT((Missions!$F$5:$F$26="Commission Boost")*(Missions!$A$5:$A$26="Silver")*(Missions!$D$5:$D$26&lt;&gt;"One-time")*'Affiliate Projection'!L14*Missions!$E$5:$E$26*Missions!$J$5:$J$26)+SUMPRODUCT((Missions!$F$5:$F$26="Commission Boost")*(Missions!$A$5:$A$26="Gold")*(Missions!$D$5:$D$26="One-time")*'Affiliate Projection'!L21*Missions!$E$5:$E$26*Missions!$J$5:$J$26)+SUMPRODUCT((Missions!$F$5:$F$26="Commission Boost")*(Missions!$A$5:$A$26="Gold")*(Missions!$D$5:$D$26&lt;&gt;"One-time")*'Affiliate Projection'!L15*Missions!$E$5:$E$26*Missions!$J$5:$J$26)+SUMPRODUCT((Missions!$F$5:$F$26="Commission Boost")*(Missions!$A$5:$A$26="Platinum")*(Missions!$D$5:$D$26="One-time")*'Affiliate Projection'!L22*Missions!$E$5:$E$26*Missions!$J$5:$J$26)+SUMPRODUCT((Missions!$F$5:$F$26="Commission Boost")*(Missions!$A$5:$A$26="Platinum")*(Missions!$D$5:$D$26&lt;&gt;"One-time")*'Affiliate Projection'!L16*Missions!$E$5:$E$26*Missions!$J$5:$J$26)+SUMPRODUCT((Missions!$F$5:$F$26="Commission Boost")*(Missions!$A$5:$A$26="Diamond")*(Missions!$D$5:$D$26="One-time")*'Affiliate Projection'!L23*Missions!$E$5:$E$26*Missions!$J$5:$J$26)+SUMPRODUCT((Missions!$F$5:$F$26="Commission Boost")*(Missions!$A$5:$A$26="Diamond")*(Missions!$D$5:$D$26&lt;&gt;"One-time")*'Affiliate Projection'!L17*Missions!$E$5:$E$26*Missions!$J$5:$J$26)</f>
        <v>12296.600225000002</v>
      </c>
      <c r="M7" s="10">
        <f>SUMPRODUCT((Missions!$F$5:$F$26="Commission Boost")*(Missions!$A$5:$A$26="Bronze")*(Missions!$D$5:$D$26="One-time")*'Affiliate Projection'!M19*Missions!$E$5:$E$26*Missions!$J$5:$J$26)+SUMPRODUCT((Missions!$F$5:$F$26="Commission Boost")*(Missions!$A$5:$A$26="Bronze")*(Missions!$D$5:$D$26&lt;&gt;"One-time")*'Affiliate Projection'!M13*Missions!$E$5:$E$26*Missions!$J$5:$J$26)+SUMPRODUCT((Missions!$F$5:$F$26="Commission Boost")*(Missions!$A$5:$A$26="Silver")*(Missions!$D$5:$D$26="One-time")*'Affiliate Projection'!M20*Missions!$E$5:$E$26*Missions!$J$5:$J$26)+SUMPRODUCT((Missions!$F$5:$F$26="Commission Boost")*(Missions!$A$5:$A$26="Silver")*(Missions!$D$5:$D$26&lt;&gt;"One-time")*'Affiliate Projection'!M14*Missions!$E$5:$E$26*Missions!$J$5:$J$26)+SUMPRODUCT((Missions!$F$5:$F$26="Commission Boost")*(Missions!$A$5:$A$26="Gold")*(Missions!$D$5:$D$26="One-time")*'Affiliate Projection'!M21*Missions!$E$5:$E$26*Missions!$J$5:$J$26)+SUMPRODUCT((Missions!$F$5:$F$26="Commission Boost")*(Missions!$A$5:$A$26="Gold")*(Missions!$D$5:$D$26&lt;&gt;"One-time")*'Affiliate Projection'!M15*Missions!$E$5:$E$26*Missions!$J$5:$J$26)+SUMPRODUCT((Missions!$F$5:$F$26="Commission Boost")*(Missions!$A$5:$A$26="Platinum")*(Missions!$D$5:$D$26="One-time")*'Affiliate Projection'!M22*Missions!$E$5:$E$26*Missions!$J$5:$J$26)+SUMPRODUCT((Missions!$F$5:$F$26="Commission Boost")*(Missions!$A$5:$A$26="Platinum")*(Missions!$D$5:$D$26&lt;&gt;"One-time")*'Affiliate Projection'!M16*Missions!$E$5:$E$26*Missions!$J$5:$J$26)+SUMPRODUCT((Missions!$F$5:$F$26="Commission Boost")*(Missions!$A$5:$A$26="Diamond")*(Missions!$D$5:$D$26="One-time")*'Affiliate Projection'!M23*Missions!$E$5:$E$26*Missions!$J$5:$J$26)+SUMPRODUCT((Missions!$F$5:$F$26="Commission Boost")*(Missions!$A$5:$A$26="Diamond")*(Missions!$D$5:$D$26&lt;&gt;"One-time")*'Affiliate Projection'!M17*Missions!$E$5:$E$26*Missions!$J$5:$J$26)</f>
        <v>14694.050583333334</v>
      </c>
    </row>
    <row r="8" spans="1:15" x14ac:dyDescent="0.25">
      <c r="A8" s="22" t="s">
        <v>198</v>
      </c>
      <c r="B8" s="23">
        <f>'Affiliate Projection'!B19*'VIP Levels'!$B$24*'VIP Levels'!$E$5*Inputs!$B$14*('VIP Levels'!$D$24/30)*'VIP Levels'!$C$24*Inputs!$B$12+'Affiliate Projection'!B20*'VIP Levels'!$B$25*'VIP Levels'!$E$6*Inputs!$B$14*('VIP Levels'!$D$25/30)*'VIP Levels'!$C$25*Inputs!$B$12+'Affiliate Projection'!B21*'VIP Levels'!$B$26*'VIP Levels'!$E$7*Inputs!$B$14*('VIP Levels'!$D$26/30)*'VIP Levels'!$C$26*Inputs!$B$12+'Affiliate Projection'!B22*'VIP Levels'!$B$27*'VIP Levels'!$E$8*Inputs!$B$14*('VIP Levels'!$D$27/30)*'VIP Levels'!$C$27*Inputs!$B$12+'Affiliate Projection'!B23*'VIP Levels'!$B$28*'VIP Levels'!$E$9*Inputs!$B$14*('VIP Levels'!$D$28/30)*'VIP Levels'!$C$28*Inputs!$B$12</f>
        <v>655.09079999999994</v>
      </c>
      <c r="C8" s="23">
        <f>'Affiliate Projection'!C19*'VIP Levels'!$B$24*'VIP Levels'!$E$5*Inputs!$B$14*('VIP Levels'!$D$24/30)*'VIP Levels'!$C$24*Inputs!$B$12+'Affiliate Projection'!C20*'VIP Levels'!$B$25*'VIP Levels'!$E$6*Inputs!$B$14*('VIP Levels'!$D$25/30)*'VIP Levels'!$C$25*Inputs!$B$12+'Affiliate Projection'!C21*'VIP Levels'!$B$26*'VIP Levels'!$E$7*Inputs!$B$14*('VIP Levels'!$D$26/30)*'VIP Levels'!$C$26*Inputs!$B$12+'Affiliate Projection'!C22*'VIP Levels'!$B$27*'VIP Levels'!$E$8*Inputs!$B$14*('VIP Levels'!$D$27/30)*'VIP Levels'!$C$27*Inputs!$B$12+'Affiliate Projection'!C23*'VIP Levels'!$B$28*'VIP Levels'!$E$9*Inputs!$B$14*('VIP Levels'!$D$28/30)*'VIP Levels'!$C$28*Inputs!$B$12</f>
        <v>889.83167000000014</v>
      </c>
      <c r="D8" s="23">
        <f>'Affiliate Projection'!D19*'VIP Levels'!$B$24*'VIP Levels'!$E$5*Inputs!$B$14*('VIP Levels'!$D$24/30)*'VIP Levels'!$C$24*Inputs!$B$12+'Affiliate Projection'!D20*'VIP Levels'!$B$25*'VIP Levels'!$E$6*Inputs!$B$14*('VIP Levels'!$D$25/30)*'VIP Levels'!$C$25*Inputs!$B$12+'Affiliate Projection'!D21*'VIP Levels'!$B$26*'VIP Levels'!$E$7*Inputs!$B$14*('VIP Levels'!$D$26/30)*'VIP Levels'!$C$26*Inputs!$B$12+'Affiliate Projection'!D22*'VIP Levels'!$B$27*'VIP Levels'!$E$8*Inputs!$B$14*('VIP Levels'!$D$27/30)*'VIP Levels'!$C$27*Inputs!$B$12+'Affiliate Projection'!D23*'VIP Levels'!$B$28*'VIP Levels'!$E$9*Inputs!$B$14*('VIP Levels'!$D$28/30)*'VIP Levels'!$C$28*Inputs!$B$12</f>
        <v>1151.8679900000002</v>
      </c>
      <c r="E8" s="23">
        <f>'Affiliate Projection'!E19*'VIP Levels'!$B$24*'VIP Levels'!$E$5*Inputs!$B$14*('VIP Levels'!$D$24/30)*'VIP Levels'!$C$24*Inputs!$B$12+'Affiliate Projection'!E20*'VIP Levels'!$B$25*'VIP Levels'!$E$6*Inputs!$B$14*('VIP Levels'!$D$25/30)*'VIP Levels'!$C$25*Inputs!$B$12+'Affiliate Projection'!E21*'VIP Levels'!$B$26*'VIP Levels'!$E$7*Inputs!$B$14*('VIP Levels'!$D$26/30)*'VIP Levels'!$C$26*Inputs!$B$12+'Affiliate Projection'!E22*'VIP Levels'!$B$27*'VIP Levels'!$E$8*Inputs!$B$14*('VIP Levels'!$D$27/30)*'VIP Levels'!$C$27*Inputs!$B$12+'Affiliate Projection'!E23*'VIP Levels'!$B$28*'VIP Levels'!$E$9*Inputs!$B$14*('VIP Levels'!$D$28/30)*'VIP Levels'!$C$28*Inputs!$B$12</f>
        <v>1659.5633600000001</v>
      </c>
      <c r="F8" s="23">
        <f>'Affiliate Projection'!F19*'VIP Levels'!$B$24*'VIP Levels'!$E$5*Inputs!$B$14*('VIP Levels'!$D$24/30)*'VIP Levels'!$C$24*Inputs!$B$12+'Affiliate Projection'!F20*'VIP Levels'!$B$25*'VIP Levels'!$E$6*Inputs!$B$14*('VIP Levels'!$D$25/30)*'VIP Levels'!$C$25*Inputs!$B$12+'Affiliate Projection'!F21*'VIP Levels'!$B$26*'VIP Levels'!$E$7*Inputs!$B$14*('VIP Levels'!$D$26/30)*'VIP Levels'!$C$26*Inputs!$B$12+'Affiliate Projection'!F22*'VIP Levels'!$B$27*'VIP Levels'!$E$8*Inputs!$B$14*('VIP Levels'!$D$27/30)*'VIP Levels'!$C$27*Inputs!$B$12+'Affiliate Projection'!F23*'VIP Levels'!$B$28*'VIP Levels'!$E$9*Inputs!$B$14*('VIP Levels'!$D$28/30)*'VIP Levels'!$C$28*Inputs!$B$12</f>
        <v>1921.5996800000003</v>
      </c>
      <c r="G8" s="23">
        <f>'Affiliate Projection'!G19*'VIP Levels'!$B$24*'VIP Levels'!$E$5*Inputs!$B$14*('VIP Levels'!$D$24/30)*'VIP Levels'!$C$24*Inputs!$B$12+'Affiliate Projection'!G20*'VIP Levels'!$B$25*'VIP Levels'!$E$6*Inputs!$B$14*('VIP Levels'!$D$25/30)*'VIP Levels'!$C$25*Inputs!$B$12+'Affiliate Projection'!G21*'VIP Levels'!$B$26*'VIP Levels'!$E$7*Inputs!$B$14*('VIP Levels'!$D$26/30)*'VIP Levels'!$C$26*Inputs!$B$12+'Affiliate Projection'!G22*'VIP Levels'!$B$27*'VIP Levels'!$E$8*Inputs!$B$14*('VIP Levels'!$D$27/30)*'VIP Levels'!$C$27*Inputs!$B$12+'Affiliate Projection'!G23*'VIP Levels'!$B$28*'VIP Levels'!$E$9*Inputs!$B$14*('VIP Levels'!$D$28/30)*'VIP Levels'!$C$28*Inputs!$B$12</f>
        <v>2167.2587300000005</v>
      </c>
      <c r="H8" s="23">
        <f>'Affiliate Projection'!H19*'VIP Levels'!$B$24*'VIP Levels'!$E$5*Inputs!$B$14*('VIP Levels'!$D$24/30)*'VIP Levels'!$C$24*Inputs!$B$12+'Affiliate Projection'!H20*'VIP Levels'!$B$25*'VIP Levels'!$E$6*Inputs!$B$14*('VIP Levels'!$D$25/30)*'VIP Levels'!$C$25*Inputs!$B$12+'Affiliate Projection'!H21*'VIP Levels'!$B$26*'VIP Levels'!$E$7*Inputs!$B$14*('VIP Levels'!$D$26/30)*'VIP Levels'!$C$26*Inputs!$B$12+'Affiliate Projection'!H22*'VIP Levels'!$B$27*'VIP Levels'!$E$8*Inputs!$B$14*('VIP Levels'!$D$27/30)*'VIP Levels'!$C$27*Inputs!$B$12+'Affiliate Projection'!H23*'VIP Levels'!$B$28*'VIP Levels'!$E$9*Inputs!$B$14*('VIP Levels'!$D$28/30)*'VIP Levels'!$C$28*Inputs!$B$12</f>
        <v>2691.3313700000008</v>
      </c>
      <c r="I8" s="23">
        <f>'Affiliate Projection'!I19*'VIP Levels'!$B$24*'VIP Levels'!$E$5*Inputs!$B$14*('VIP Levels'!$D$24/30)*'VIP Levels'!$C$24*Inputs!$B$12+'Affiliate Projection'!I20*'VIP Levels'!$B$25*'VIP Levels'!$E$6*Inputs!$B$14*('VIP Levels'!$D$25/30)*'VIP Levels'!$C$25*Inputs!$B$12+'Affiliate Projection'!I21*'VIP Levels'!$B$26*'VIP Levels'!$E$7*Inputs!$B$14*('VIP Levels'!$D$26/30)*'VIP Levels'!$C$26*Inputs!$B$12+'Affiliate Projection'!I22*'VIP Levels'!$B$27*'VIP Levels'!$E$8*Inputs!$B$14*('VIP Levels'!$D$27/30)*'VIP Levels'!$C$27*Inputs!$B$12+'Affiliate Projection'!I23*'VIP Levels'!$B$28*'VIP Levels'!$E$9*Inputs!$B$14*('VIP Levels'!$D$28/30)*'VIP Levels'!$C$28*Inputs!$B$12</f>
        <v>3068.0085800000002</v>
      </c>
      <c r="J8" s="23">
        <f>'Affiliate Projection'!J19*'VIP Levels'!$B$24*'VIP Levels'!$E$5*Inputs!$B$14*('VIP Levels'!$D$24/30)*'VIP Levels'!$C$24*Inputs!$B$12+'Affiliate Projection'!J20*'VIP Levels'!$B$25*'VIP Levels'!$E$6*Inputs!$B$14*('VIP Levels'!$D$25/30)*'VIP Levels'!$C$25*Inputs!$B$12+'Affiliate Projection'!J21*'VIP Levels'!$B$26*'VIP Levels'!$E$7*Inputs!$B$14*('VIP Levels'!$D$26/30)*'VIP Levels'!$C$26*Inputs!$B$12+'Affiliate Projection'!J22*'VIP Levels'!$B$27*'VIP Levels'!$E$8*Inputs!$B$14*('VIP Levels'!$D$27/30)*'VIP Levels'!$C$27*Inputs!$B$12+'Affiliate Projection'!J23*'VIP Levels'!$B$28*'VIP Levels'!$E$9*Inputs!$B$14*('VIP Levels'!$D$28/30)*'VIP Levels'!$C$28*Inputs!$B$12</f>
        <v>3199.0267400000002</v>
      </c>
      <c r="K8" s="23">
        <f>'Affiliate Projection'!K19*'VIP Levels'!$B$24*'VIP Levels'!$E$5*Inputs!$B$14*('VIP Levels'!$D$24/30)*'VIP Levels'!$C$24*Inputs!$B$12+'Affiliate Projection'!K20*'VIP Levels'!$B$25*'VIP Levels'!$E$6*Inputs!$B$14*('VIP Levels'!$D$25/30)*'VIP Levels'!$C$25*Inputs!$B$12+'Affiliate Projection'!K21*'VIP Levels'!$B$26*'VIP Levels'!$E$7*Inputs!$B$14*('VIP Levels'!$D$26/30)*'VIP Levels'!$C$26*Inputs!$B$12+'Affiliate Projection'!K22*'VIP Levels'!$B$27*'VIP Levels'!$E$8*Inputs!$B$14*('VIP Levels'!$D$27/30)*'VIP Levels'!$C$27*Inputs!$B$12+'Affiliate Projection'!K23*'VIP Levels'!$B$28*'VIP Levels'!$E$9*Inputs!$B$14*('VIP Levels'!$D$28/30)*'VIP Levels'!$C$28*Inputs!$B$12</f>
        <v>3624.8357599999999</v>
      </c>
      <c r="L8" s="23">
        <f>'Affiliate Projection'!L19*'VIP Levels'!$B$24*'VIP Levels'!$E$5*Inputs!$B$14*('VIP Levels'!$D$24/30)*'VIP Levels'!$C$24*Inputs!$B$12+'Affiliate Projection'!L20*'VIP Levels'!$B$25*'VIP Levels'!$E$6*Inputs!$B$14*('VIP Levels'!$D$25/30)*'VIP Levels'!$C$25*Inputs!$B$12+'Affiliate Projection'!L21*'VIP Levels'!$B$26*'VIP Levels'!$E$7*Inputs!$B$14*('VIP Levels'!$D$26/30)*'VIP Levels'!$C$26*Inputs!$B$12+'Affiliate Projection'!L22*'VIP Levels'!$B$27*'VIP Levels'!$E$8*Inputs!$B$14*('VIP Levels'!$D$27/30)*'VIP Levels'!$C$27*Inputs!$B$12+'Affiliate Projection'!L23*'VIP Levels'!$B$28*'VIP Levels'!$E$9*Inputs!$B$14*('VIP Levels'!$D$28/30)*'VIP Levels'!$C$28*Inputs!$B$12</f>
        <v>3985.1357000000007</v>
      </c>
      <c r="M8" s="23">
        <f>'Affiliate Projection'!M19*'VIP Levels'!$B$24*'VIP Levels'!$E$5*Inputs!$B$14*('VIP Levels'!$D$24/30)*'VIP Levels'!$C$24*Inputs!$B$12+'Affiliate Projection'!M20*'VIP Levels'!$B$25*'VIP Levels'!$E$6*Inputs!$B$14*('VIP Levels'!$D$25/30)*'VIP Levels'!$C$25*Inputs!$B$12+'Affiliate Projection'!M21*'VIP Levels'!$B$26*'VIP Levels'!$E$7*Inputs!$B$14*('VIP Levels'!$D$26/30)*'VIP Levels'!$C$26*Inputs!$B$12+'Affiliate Projection'!M22*'VIP Levels'!$B$27*'VIP Levels'!$E$8*Inputs!$B$14*('VIP Levels'!$D$27/30)*'VIP Levels'!$C$27*Inputs!$B$12+'Affiliate Projection'!M23*'VIP Levels'!$B$28*'VIP Levels'!$E$9*Inputs!$B$14*('VIP Levels'!$D$28/30)*'VIP Levels'!$C$28*Inputs!$B$12</f>
        <v>4394.5674500000005</v>
      </c>
    </row>
    <row r="9" spans="1:15" x14ac:dyDescent="0.25">
      <c r="A9" s="12" t="s">
        <v>199</v>
      </c>
      <c r="B9" s="10">
        <f t="array" ref="B9">SUMPRODUCT((Missions!$F$5:$F$26="Discount")*(Missions!$A$5:$A$26="Bronze")*(Missions!$D$5:$D$26="One-time")*'Affiliate Projection'!B19*Missions!$E$5:$E$26*Missions!$J$5:$J$26)+SUMPRODUCT((Missions!$F$5:$F$26="Discount")*(Missions!$A$5:$A$26="Bronze")*(Missions!$D$5:$D$26&lt;&gt;"One-time")*'Affiliate Projection'!B13*Missions!$E$5:$E$26*Missions!$J$5:$J$26)+SUMPRODUCT((Missions!$F$5:$F$26="Discount")*(Missions!$A$5:$A$26="Silver")*(Missions!$D$5:$D$26="One-time")*'Affiliate Projection'!B20*Missions!$E$5:$E$26*Missions!$J$5:$J$26)+SUMPRODUCT((Missions!$F$5:$F$26="Discount")*(Missions!$A$5:$A$26="Silver")*(Missions!$D$5:$D$26&lt;&gt;"One-time")*'Affiliate Projection'!B14*Missions!$E$5:$E$26*Missions!$J$5:$J$26)+SUMPRODUCT((Missions!$F$5:$F$26="Discount")*(Missions!$A$5:$A$26="Gold")*(Missions!$D$5:$D$26="One-time")*'Affiliate Projection'!B21*Missions!$E$5:$E$26*Missions!$J$5:$J$26)+SUMPRODUCT((Missions!$F$5:$F$26="Discount")*(Missions!$A$5:$A$26="Gold")*(Missions!$D$5:$D$26&lt;&gt;"One-time")*'Affiliate Projection'!B15*Missions!$E$5:$E$26*Missions!$J$5:$J$26)+SUMPRODUCT((Missions!$F$5:$F$26="Discount")*(Missions!$A$5:$A$26="Platinum")*(Missions!$D$5:$D$26="One-time")*'Affiliate Projection'!B22*Missions!$E$5:$E$26*Missions!$J$5:$J$26)+SUMPRODUCT((Missions!$F$5:$F$26="Discount")*(Missions!$A$5:$A$26="Platinum")*(Missions!$D$5:$D$26&lt;&gt;"One-time")*'Affiliate Projection'!B16*Missions!$E$5:$E$26*Missions!$J$5:$J$26)+SUMPRODUCT((Missions!$F$5:$F$26="Discount")*(Missions!$A$5:$A$26="Diamond")*(Missions!$D$5:$D$26="One-time")*'Affiliate Projection'!B23*Missions!$E$5:$E$26*Missions!$J$5:$J$26)+SUMPRODUCT((Missions!$F$5:$F$26="Discount")*(Missions!$A$5:$A$26="Diamond")*(Missions!$D$5:$D$26&lt;&gt;"One-time")*'Affiliate Projection'!B17*Missions!$E$5:$E$26*Missions!$J$5:$J$26)</f>
        <v>534.60088499999995</v>
      </c>
      <c r="C9" s="10">
        <f>SUMPRODUCT((Missions!$F$5:$F$26="Discount")*(Missions!$A$5:$A$26="Bronze")*(Missions!$D$5:$D$26="One-time")*'Affiliate Projection'!C19*Missions!$E$5:$E$26*Missions!$J$5:$J$26)+SUMPRODUCT((Missions!$F$5:$F$26="Discount")*(Missions!$A$5:$A$26="Bronze")*(Missions!$D$5:$D$26&lt;&gt;"One-time")*'Affiliate Projection'!C13*Missions!$E$5:$E$26*Missions!$J$5:$J$26)+SUMPRODUCT((Missions!$F$5:$F$26="Discount")*(Missions!$A$5:$A$26="Silver")*(Missions!$D$5:$D$26="One-time")*'Affiliate Projection'!C20*Missions!$E$5:$E$26*Missions!$J$5:$J$26)+SUMPRODUCT((Missions!$F$5:$F$26="Discount")*(Missions!$A$5:$A$26="Silver")*(Missions!$D$5:$D$26&lt;&gt;"One-time")*'Affiliate Projection'!C14*Missions!$E$5:$E$26*Missions!$J$5:$J$26)+SUMPRODUCT((Missions!$F$5:$F$26="Discount")*(Missions!$A$5:$A$26="Gold")*(Missions!$D$5:$D$26="One-time")*'Affiliate Projection'!C21*Missions!$E$5:$E$26*Missions!$J$5:$J$26)+SUMPRODUCT((Missions!$F$5:$F$26="Discount")*(Missions!$A$5:$A$26="Gold")*(Missions!$D$5:$D$26&lt;&gt;"One-time")*'Affiliate Projection'!C15*Missions!$E$5:$E$26*Missions!$J$5:$J$26)+SUMPRODUCT((Missions!$F$5:$F$26="Discount")*(Missions!$A$5:$A$26="Platinum")*(Missions!$D$5:$D$26="One-time")*'Affiliate Projection'!C22*Missions!$E$5:$E$26*Missions!$J$5:$J$26)+SUMPRODUCT((Missions!$F$5:$F$26="Discount")*(Missions!$A$5:$A$26="Platinum")*(Missions!$D$5:$D$26&lt;&gt;"One-time")*'Affiliate Projection'!C16*Missions!$E$5:$E$26*Missions!$J$5:$J$26)+SUMPRODUCT((Missions!$F$5:$F$26="Discount")*(Missions!$A$5:$A$26="Diamond")*(Missions!$D$5:$D$26="One-time")*'Affiliate Projection'!C23*Missions!$E$5:$E$26*Missions!$J$5:$J$26)+SUMPRODUCT((Missions!$F$5:$F$26="Discount")*(Missions!$A$5:$A$26="Diamond")*(Missions!$D$5:$D$26&lt;&gt;"One-time")*'Affiliate Projection'!C17*Missions!$E$5:$E$26*Missions!$J$5:$J$26)</f>
        <v>540.44991000000005</v>
      </c>
      <c r="D9" s="10">
        <f>SUMPRODUCT((Missions!$F$5:$F$26="Discount")*(Missions!$A$5:$A$26="Bronze")*(Missions!$D$5:$D$26="One-time")*'Affiliate Projection'!D19*Missions!$E$5:$E$26*Missions!$J$5:$J$26)+SUMPRODUCT((Missions!$F$5:$F$26="Discount")*(Missions!$A$5:$A$26="Bronze")*(Missions!$D$5:$D$26&lt;&gt;"One-time")*'Affiliate Projection'!D13*Missions!$E$5:$E$26*Missions!$J$5:$J$26)+SUMPRODUCT((Missions!$F$5:$F$26="Discount")*(Missions!$A$5:$A$26="Silver")*(Missions!$D$5:$D$26="One-time")*'Affiliate Projection'!D20*Missions!$E$5:$E$26*Missions!$J$5:$J$26)+SUMPRODUCT((Missions!$F$5:$F$26="Discount")*(Missions!$A$5:$A$26="Silver")*(Missions!$D$5:$D$26&lt;&gt;"One-time")*'Affiliate Projection'!D14*Missions!$E$5:$E$26*Missions!$J$5:$J$26)+SUMPRODUCT((Missions!$F$5:$F$26="Discount")*(Missions!$A$5:$A$26="Gold")*(Missions!$D$5:$D$26="One-time")*'Affiliate Projection'!D21*Missions!$E$5:$E$26*Missions!$J$5:$J$26)+SUMPRODUCT((Missions!$F$5:$F$26="Discount")*(Missions!$A$5:$A$26="Gold")*(Missions!$D$5:$D$26&lt;&gt;"One-time")*'Affiliate Projection'!D15*Missions!$E$5:$E$26*Missions!$J$5:$J$26)+SUMPRODUCT((Missions!$F$5:$F$26="Discount")*(Missions!$A$5:$A$26="Platinum")*(Missions!$D$5:$D$26="One-time")*'Affiliate Projection'!D22*Missions!$E$5:$E$26*Missions!$J$5:$J$26)+SUMPRODUCT((Missions!$F$5:$F$26="Discount")*(Missions!$A$5:$A$26="Platinum")*(Missions!$D$5:$D$26&lt;&gt;"One-time")*'Affiliate Projection'!D16*Missions!$E$5:$E$26*Missions!$J$5:$J$26)+SUMPRODUCT((Missions!$F$5:$F$26="Discount")*(Missions!$A$5:$A$26="Diamond")*(Missions!$D$5:$D$26="One-time")*'Affiliate Projection'!D23*Missions!$E$5:$E$26*Missions!$J$5:$J$26)+SUMPRODUCT((Missions!$F$5:$F$26="Discount")*(Missions!$A$5:$A$26="Diamond")*(Missions!$D$5:$D$26&lt;&gt;"One-time")*'Affiliate Projection'!D17*Missions!$E$5:$E$26*Missions!$J$5:$J$26)</f>
        <v>817.45973400000003</v>
      </c>
      <c r="E9" s="10">
        <f>SUMPRODUCT((Missions!$F$5:$F$26="Discount")*(Missions!$A$5:$A$26="Bronze")*(Missions!$D$5:$D$26="One-time")*'Affiliate Projection'!E19*Missions!$E$5:$E$26*Missions!$J$5:$J$26)+SUMPRODUCT((Missions!$F$5:$F$26="Discount")*(Missions!$A$5:$A$26="Bronze")*(Missions!$D$5:$D$26&lt;&gt;"One-time")*'Affiliate Projection'!E13*Missions!$E$5:$E$26*Missions!$J$5:$J$26)+SUMPRODUCT((Missions!$F$5:$F$26="Discount")*(Missions!$A$5:$A$26="Silver")*(Missions!$D$5:$D$26="One-time")*'Affiliate Projection'!E20*Missions!$E$5:$E$26*Missions!$J$5:$J$26)+SUMPRODUCT((Missions!$F$5:$F$26="Discount")*(Missions!$A$5:$A$26="Silver")*(Missions!$D$5:$D$26&lt;&gt;"One-time")*'Affiliate Projection'!E14*Missions!$E$5:$E$26*Missions!$J$5:$J$26)+SUMPRODUCT((Missions!$F$5:$F$26="Discount")*(Missions!$A$5:$A$26="Gold")*(Missions!$D$5:$D$26="One-time")*'Affiliate Projection'!E21*Missions!$E$5:$E$26*Missions!$J$5:$J$26)+SUMPRODUCT((Missions!$F$5:$F$26="Discount")*(Missions!$A$5:$A$26="Gold")*(Missions!$D$5:$D$26&lt;&gt;"One-time")*'Affiliate Projection'!E15*Missions!$E$5:$E$26*Missions!$J$5:$J$26)+SUMPRODUCT((Missions!$F$5:$F$26="Discount")*(Missions!$A$5:$A$26="Platinum")*(Missions!$D$5:$D$26="One-time")*'Affiliate Projection'!E22*Missions!$E$5:$E$26*Missions!$J$5:$J$26)+SUMPRODUCT((Missions!$F$5:$F$26="Discount")*(Missions!$A$5:$A$26="Platinum")*(Missions!$D$5:$D$26&lt;&gt;"One-time")*'Affiliate Projection'!E16*Missions!$E$5:$E$26*Missions!$J$5:$J$26)+SUMPRODUCT((Missions!$F$5:$F$26="Discount")*(Missions!$A$5:$A$26="Diamond")*(Missions!$D$5:$D$26="One-time")*'Affiliate Projection'!E23*Missions!$E$5:$E$26*Missions!$J$5:$J$26)+SUMPRODUCT((Missions!$F$5:$F$26="Discount")*(Missions!$A$5:$A$26="Diamond")*(Missions!$D$5:$D$26&lt;&gt;"One-time")*'Affiliate Projection'!E17*Missions!$E$5:$E$26*Missions!$J$5:$J$26)</f>
        <v>1283.5100460000001</v>
      </c>
      <c r="F9" s="10">
        <f>SUMPRODUCT((Missions!$F$5:$F$26="Discount")*(Missions!$A$5:$A$26="Bronze")*(Missions!$D$5:$D$26="One-time")*'Affiliate Projection'!F19*Missions!$E$5:$E$26*Missions!$J$5:$J$26)+SUMPRODUCT((Missions!$F$5:$F$26="Discount")*(Missions!$A$5:$A$26="Bronze")*(Missions!$D$5:$D$26&lt;&gt;"One-time")*'Affiliate Projection'!F13*Missions!$E$5:$E$26*Missions!$J$5:$J$26)+SUMPRODUCT((Missions!$F$5:$F$26="Discount")*(Missions!$A$5:$A$26="Silver")*(Missions!$D$5:$D$26="One-time")*'Affiliate Projection'!F20*Missions!$E$5:$E$26*Missions!$J$5:$J$26)+SUMPRODUCT((Missions!$F$5:$F$26="Discount")*(Missions!$A$5:$A$26="Silver")*(Missions!$D$5:$D$26&lt;&gt;"One-time")*'Affiliate Projection'!F14*Missions!$E$5:$E$26*Missions!$J$5:$J$26)+SUMPRODUCT((Missions!$F$5:$F$26="Discount")*(Missions!$A$5:$A$26="Gold")*(Missions!$D$5:$D$26="One-time")*'Affiliate Projection'!F21*Missions!$E$5:$E$26*Missions!$J$5:$J$26)+SUMPRODUCT((Missions!$F$5:$F$26="Discount")*(Missions!$A$5:$A$26="Gold")*(Missions!$D$5:$D$26&lt;&gt;"One-time")*'Affiliate Projection'!F15*Missions!$E$5:$E$26*Missions!$J$5:$J$26)+SUMPRODUCT((Missions!$F$5:$F$26="Discount")*(Missions!$A$5:$A$26="Platinum")*(Missions!$D$5:$D$26="One-time")*'Affiliate Projection'!F22*Missions!$E$5:$E$26*Missions!$J$5:$J$26)+SUMPRODUCT((Missions!$F$5:$F$26="Discount")*(Missions!$A$5:$A$26="Platinum")*(Missions!$D$5:$D$26&lt;&gt;"One-time")*'Affiliate Projection'!F16*Missions!$E$5:$E$26*Missions!$J$5:$J$26)+SUMPRODUCT((Missions!$F$5:$F$26="Discount")*(Missions!$A$5:$A$26="Diamond")*(Missions!$D$5:$D$26="One-time")*'Affiliate Projection'!F23*Missions!$E$5:$E$26*Missions!$J$5:$J$26)+SUMPRODUCT((Missions!$F$5:$F$26="Discount")*(Missions!$A$5:$A$26="Diamond")*(Missions!$D$5:$D$26&lt;&gt;"One-time")*'Affiliate Projection'!F17*Missions!$E$5:$E$26*Missions!$J$5:$J$26)</f>
        <v>1848.759822</v>
      </c>
      <c r="G9" s="10">
        <f>SUMPRODUCT((Missions!$F$5:$F$26="Discount")*(Missions!$A$5:$A$26="Bronze")*(Missions!$D$5:$D$26="One-time")*'Affiliate Projection'!G19*Missions!$E$5:$E$26*Missions!$J$5:$J$26)+SUMPRODUCT((Missions!$F$5:$F$26="Discount")*(Missions!$A$5:$A$26="Bronze")*(Missions!$D$5:$D$26&lt;&gt;"One-time")*'Affiliate Projection'!G13*Missions!$E$5:$E$26*Missions!$J$5:$J$26)+SUMPRODUCT((Missions!$F$5:$F$26="Discount")*(Missions!$A$5:$A$26="Silver")*(Missions!$D$5:$D$26="One-time")*'Affiliate Projection'!G20*Missions!$E$5:$E$26*Missions!$J$5:$J$26)+SUMPRODUCT((Missions!$F$5:$F$26="Discount")*(Missions!$A$5:$A$26="Silver")*(Missions!$D$5:$D$26&lt;&gt;"One-time")*'Affiliate Projection'!G14*Missions!$E$5:$E$26*Missions!$J$5:$J$26)+SUMPRODUCT((Missions!$F$5:$F$26="Discount")*(Missions!$A$5:$A$26="Gold")*(Missions!$D$5:$D$26="One-time")*'Affiliate Projection'!G21*Missions!$E$5:$E$26*Missions!$J$5:$J$26)+SUMPRODUCT((Missions!$F$5:$F$26="Discount")*(Missions!$A$5:$A$26="Gold")*(Missions!$D$5:$D$26&lt;&gt;"One-time")*'Affiliate Projection'!G15*Missions!$E$5:$E$26*Missions!$J$5:$J$26)+SUMPRODUCT((Missions!$F$5:$F$26="Discount")*(Missions!$A$5:$A$26="Platinum")*(Missions!$D$5:$D$26="One-time")*'Affiliate Projection'!G22*Missions!$E$5:$E$26*Missions!$J$5:$J$26)+SUMPRODUCT((Missions!$F$5:$F$26="Discount")*(Missions!$A$5:$A$26="Platinum")*(Missions!$D$5:$D$26&lt;&gt;"One-time")*'Affiliate Projection'!G16*Missions!$E$5:$E$26*Missions!$J$5:$J$26)+SUMPRODUCT((Missions!$F$5:$F$26="Discount")*(Missions!$A$5:$A$26="Diamond")*(Missions!$D$5:$D$26="One-time")*'Affiliate Projection'!G23*Missions!$E$5:$E$26*Missions!$J$5:$J$26)+SUMPRODUCT((Missions!$F$5:$F$26="Discount")*(Missions!$A$5:$A$26="Diamond")*(Missions!$D$5:$D$26&lt;&gt;"One-time")*'Affiliate Projection'!G17*Missions!$E$5:$E$26*Missions!$J$5:$J$26)</f>
        <v>2492.6204940000002</v>
      </c>
      <c r="H9" s="10">
        <f>SUMPRODUCT((Missions!$F$5:$F$26="Discount")*(Missions!$A$5:$A$26="Bronze")*(Missions!$D$5:$D$26="One-time")*'Affiliate Projection'!H19*Missions!$E$5:$E$26*Missions!$J$5:$J$26)+SUMPRODUCT((Missions!$F$5:$F$26="Discount")*(Missions!$A$5:$A$26="Bronze")*(Missions!$D$5:$D$26&lt;&gt;"One-time")*'Affiliate Projection'!H13*Missions!$E$5:$E$26*Missions!$J$5:$J$26)+SUMPRODUCT((Missions!$F$5:$F$26="Discount")*(Missions!$A$5:$A$26="Silver")*(Missions!$D$5:$D$26="One-time")*'Affiliate Projection'!H20*Missions!$E$5:$E$26*Missions!$J$5:$J$26)+SUMPRODUCT((Missions!$F$5:$F$26="Discount")*(Missions!$A$5:$A$26="Silver")*(Missions!$D$5:$D$26&lt;&gt;"One-time")*'Affiliate Projection'!H14*Missions!$E$5:$E$26*Missions!$J$5:$J$26)+SUMPRODUCT((Missions!$F$5:$F$26="Discount")*(Missions!$A$5:$A$26="Gold")*(Missions!$D$5:$D$26="One-time")*'Affiliate Projection'!H21*Missions!$E$5:$E$26*Missions!$J$5:$J$26)+SUMPRODUCT((Missions!$F$5:$F$26="Discount")*(Missions!$A$5:$A$26="Gold")*(Missions!$D$5:$D$26&lt;&gt;"One-time")*'Affiliate Projection'!H15*Missions!$E$5:$E$26*Missions!$J$5:$J$26)+SUMPRODUCT((Missions!$F$5:$F$26="Discount")*(Missions!$A$5:$A$26="Platinum")*(Missions!$D$5:$D$26="One-time")*'Affiliate Projection'!H22*Missions!$E$5:$E$26*Missions!$J$5:$J$26)+SUMPRODUCT((Missions!$F$5:$F$26="Discount")*(Missions!$A$5:$A$26="Platinum")*(Missions!$D$5:$D$26&lt;&gt;"One-time")*'Affiliate Projection'!H16*Missions!$E$5:$E$26*Missions!$J$5:$J$26)+SUMPRODUCT((Missions!$F$5:$F$26="Discount")*(Missions!$A$5:$A$26="Diamond")*(Missions!$D$5:$D$26="One-time")*'Affiliate Projection'!H23*Missions!$E$5:$E$26*Missions!$J$5:$J$26)+SUMPRODUCT((Missions!$F$5:$F$26="Discount")*(Missions!$A$5:$A$26="Diamond")*(Missions!$D$5:$D$26&lt;&gt;"One-time")*'Affiliate Projection'!H17*Missions!$E$5:$E$26*Missions!$J$5:$J$26)</f>
        <v>3346.1102220000002</v>
      </c>
      <c r="I9" s="10">
        <f>SUMPRODUCT((Missions!$F$5:$F$26="Discount")*(Missions!$A$5:$A$26="Bronze")*(Missions!$D$5:$D$26="One-time")*'Affiliate Projection'!I19*Missions!$E$5:$E$26*Missions!$J$5:$J$26)+SUMPRODUCT((Missions!$F$5:$F$26="Discount")*(Missions!$A$5:$A$26="Bronze")*(Missions!$D$5:$D$26&lt;&gt;"One-time")*'Affiliate Projection'!I13*Missions!$E$5:$E$26*Missions!$J$5:$J$26)+SUMPRODUCT((Missions!$F$5:$F$26="Discount")*(Missions!$A$5:$A$26="Silver")*(Missions!$D$5:$D$26="One-time")*'Affiliate Projection'!I20*Missions!$E$5:$E$26*Missions!$J$5:$J$26)+SUMPRODUCT((Missions!$F$5:$F$26="Discount")*(Missions!$A$5:$A$26="Silver")*(Missions!$D$5:$D$26&lt;&gt;"One-time")*'Affiliate Projection'!I14*Missions!$E$5:$E$26*Missions!$J$5:$J$26)+SUMPRODUCT((Missions!$F$5:$F$26="Discount")*(Missions!$A$5:$A$26="Gold")*(Missions!$D$5:$D$26="One-time")*'Affiliate Projection'!I21*Missions!$E$5:$E$26*Missions!$J$5:$J$26)+SUMPRODUCT((Missions!$F$5:$F$26="Discount")*(Missions!$A$5:$A$26="Gold")*(Missions!$D$5:$D$26&lt;&gt;"One-time")*'Affiliate Projection'!I15*Missions!$E$5:$E$26*Missions!$J$5:$J$26)+SUMPRODUCT((Missions!$F$5:$F$26="Discount")*(Missions!$A$5:$A$26="Platinum")*(Missions!$D$5:$D$26="One-time")*'Affiliate Projection'!I22*Missions!$E$5:$E$26*Missions!$J$5:$J$26)+SUMPRODUCT((Missions!$F$5:$F$26="Discount")*(Missions!$A$5:$A$26="Platinum")*(Missions!$D$5:$D$26&lt;&gt;"One-time")*'Affiliate Projection'!I16*Missions!$E$5:$E$26*Missions!$J$5:$J$26)+SUMPRODUCT((Missions!$F$5:$F$26="Discount")*(Missions!$A$5:$A$26="Diamond")*(Missions!$D$5:$D$26="One-time")*'Affiliate Projection'!I23*Missions!$E$5:$E$26*Missions!$J$5:$J$26)+SUMPRODUCT((Missions!$F$5:$F$26="Discount")*(Missions!$A$5:$A$26="Diamond")*(Missions!$D$5:$D$26&lt;&gt;"One-time")*'Affiliate Projection'!I17*Missions!$E$5:$E$26*Missions!$J$5:$J$26)</f>
        <v>4336.2331740000009</v>
      </c>
      <c r="J9" s="10">
        <f>SUMPRODUCT((Missions!$F$5:$F$26="Discount")*(Missions!$A$5:$A$26="Bronze")*(Missions!$D$5:$D$26="One-time")*'Affiliate Projection'!J19*Missions!$E$5:$E$26*Missions!$J$5:$J$26)+SUMPRODUCT((Missions!$F$5:$F$26="Discount")*(Missions!$A$5:$A$26="Bronze")*(Missions!$D$5:$D$26&lt;&gt;"One-time")*'Affiliate Projection'!J13*Missions!$E$5:$E$26*Missions!$J$5:$J$26)+SUMPRODUCT((Missions!$F$5:$F$26="Discount")*(Missions!$A$5:$A$26="Silver")*(Missions!$D$5:$D$26="One-time")*'Affiliate Projection'!J20*Missions!$E$5:$E$26*Missions!$J$5:$J$26)+SUMPRODUCT((Missions!$F$5:$F$26="Discount")*(Missions!$A$5:$A$26="Silver")*(Missions!$D$5:$D$26&lt;&gt;"One-time")*'Affiliate Projection'!J14*Missions!$E$5:$E$26*Missions!$J$5:$J$26)+SUMPRODUCT((Missions!$F$5:$F$26="Discount")*(Missions!$A$5:$A$26="Gold")*(Missions!$D$5:$D$26="One-time")*'Affiliate Projection'!J21*Missions!$E$5:$E$26*Missions!$J$5:$J$26)+SUMPRODUCT((Missions!$F$5:$F$26="Discount")*(Missions!$A$5:$A$26="Gold")*(Missions!$D$5:$D$26&lt;&gt;"One-time")*'Affiliate Projection'!J15*Missions!$E$5:$E$26*Missions!$J$5:$J$26)+SUMPRODUCT((Missions!$F$5:$F$26="Discount")*(Missions!$A$5:$A$26="Platinum")*(Missions!$D$5:$D$26="One-time")*'Affiliate Projection'!J22*Missions!$E$5:$E$26*Missions!$J$5:$J$26)+SUMPRODUCT((Missions!$F$5:$F$26="Discount")*(Missions!$A$5:$A$26="Platinum")*(Missions!$D$5:$D$26&lt;&gt;"One-time")*'Affiliate Projection'!J16*Missions!$E$5:$E$26*Missions!$J$5:$J$26)+SUMPRODUCT((Missions!$F$5:$F$26="Discount")*(Missions!$A$5:$A$26="Diamond")*(Missions!$D$5:$D$26="One-time")*'Affiliate Projection'!J23*Missions!$E$5:$E$26*Missions!$J$5:$J$26)+SUMPRODUCT((Missions!$F$5:$F$26="Discount")*(Missions!$A$5:$A$26="Diamond")*(Missions!$D$5:$D$26&lt;&gt;"One-time")*'Affiliate Projection'!J17*Missions!$E$5:$E$26*Missions!$J$5:$J$26)</f>
        <v>5367.5332620000008</v>
      </c>
      <c r="K9" s="10">
        <f>SUMPRODUCT((Missions!$F$5:$F$26="Discount")*(Missions!$A$5:$A$26="Bronze")*(Missions!$D$5:$D$26="One-time")*'Affiliate Projection'!K19*Missions!$E$5:$E$26*Missions!$J$5:$J$26)+SUMPRODUCT((Missions!$F$5:$F$26="Discount")*(Missions!$A$5:$A$26="Bronze")*(Missions!$D$5:$D$26&lt;&gt;"One-time")*'Affiliate Projection'!K13*Missions!$E$5:$E$26*Missions!$J$5:$J$26)+SUMPRODUCT((Missions!$F$5:$F$26="Discount")*(Missions!$A$5:$A$26="Silver")*(Missions!$D$5:$D$26="One-time")*'Affiliate Projection'!K20*Missions!$E$5:$E$26*Missions!$J$5:$J$26)+SUMPRODUCT((Missions!$F$5:$F$26="Discount")*(Missions!$A$5:$A$26="Silver")*(Missions!$D$5:$D$26&lt;&gt;"One-time")*'Affiliate Projection'!K14*Missions!$E$5:$E$26*Missions!$J$5:$J$26)+SUMPRODUCT((Missions!$F$5:$F$26="Discount")*(Missions!$A$5:$A$26="Gold")*(Missions!$D$5:$D$26="One-time")*'Affiliate Projection'!K21*Missions!$E$5:$E$26*Missions!$J$5:$J$26)+SUMPRODUCT((Missions!$F$5:$F$26="Discount")*(Missions!$A$5:$A$26="Gold")*(Missions!$D$5:$D$26&lt;&gt;"One-time")*'Affiliate Projection'!K15*Missions!$E$5:$E$26*Missions!$J$5:$J$26)+SUMPRODUCT((Missions!$F$5:$F$26="Discount")*(Missions!$A$5:$A$26="Platinum")*(Missions!$D$5:$D$26="One-time")*'Affiliate Projection'!K22*Missions!$E$5:$E$26*Missions!$J$5:$J$26)+SUMPRODUCT((Missions!$F$5:$F$26="Discount")*(Missions!$A$5:$A$26="Platinum")*(Missions!$D$5:$D$26&lt;&gt;"One-time")*'Affiliate Projection'!K16*Missions!$E$5:$E$26*Missions!$J$5:$J$26)+SUMPRODUCT((Missions!$F$5:$F$26="Discount")*(Missions!$A$5:$A$26="Diamond")*(Missions!$D$5:$D$26="One-time")*'Affiliate Projection'!K23*Missions!$E$5:$E$26*Missions!$J$5:$J$26)+SUMPRODUCT((Missions!$F$5:$F$26="Discount")*(Missions!$A$5:$A$26="Diamond")*(Missions!$D$5:$D$26&lt;&gt;"One-time")*'Affiliate Projection'!K17*Missions!$E$5:$E$26*Missions!$J$5:$J$26)</f>
        <v>6557.9268300000012</v>
      </c>
      <c r="L9" s="10">
        <f>SUMPRODUCT((Missions!$F$5:$F$26="Discount")*(Missions!$A$5:$A$26="Bronze")*(Missions!$D$5:$D$26="One-time")*'Affiliate Projection'!L19*Missions!$E$5:$E$26*Missions!$J$5:$J$26)+SUMPRODUCT((Missions!$F$5:$F$26="Discount")*(Missions!$A$5:$A$26="Bronze")*(Missions!$D$5:$D$26&lt;&gt;"One-time")*'Affiliate Projection'!L13*Missions!$E$5:$E$26*Missions!$J$5:$J$26)+SUMPRODUCT((Missions!$F$5:$F$26="Discount")*(Missions!$A$5:$A$26="Silver")*(Missions!$D$5:$D$26="One-time")*'Affiliate Projection'!L20*Missions!$E$5:$E$26*Missions!$J$5:$J$26)+SUMPRODUCT((Missions!$F$5:$F$26="Discount")*(Missions!$A$5:$A$26="Silver")*(Missions!$D$5:$D$26&lt;&gt;"One-time")*'Affiliate Projection'!L14*Missions!$E$5:$E$26*Missions!$J$5:$J$26)+SUMPRODUCT((Missions!$F$5:$F$26="Discount")*(Missions!$A$5:$A$26="Gold")*(Missions!$D$5:$D$26="One-time")*'Affiliate Projection'!L21*Missions!$E$5:$E$26*Missions!$J$5:$J$26)+SUMPRODUCT((Missions!$F$5:$F$26="Discount")*(Missions!$A$5:$A$26="Gold")*(Missions!$D$5:$D$26&lt;&gt;"One-time")*'Affiliate Projection'!L15*Missions!$E$5:$E$26*Missions!$J$5:$J$26)+SUMPRODUCT((Missions!$F$5:$F$26="Discount")*(Missions!$A$5:$A$26="Platinum")*(Missions!$D$5:$D$26="One-time")*'Affiliate Projection'!L22*Missions!$E$5:$E$26*Missions!$J$5:$J$26)+SUMPRODUCT((Missions!$F$5:$F$26="Discount")*(Missions!$A$5:$A$26="Platinum")*(Missions!$D$5:$D$26&lt;&gt;"One-time")*'Affiliate Projection'!L16*Missions!$E$5:$E$26*Missions!$J$5:$J$26)+SUMPRODUCT((Missions!$F$5:$F$26="Discount")*(Missions!$A$5:$A$26="Diamond")*(Missions!$D$5:$D$26="One-time")*'Affiliate Projection'!L23*Missions!$E$5:$E$26*Missions!$J$5:$J$26)+SUMPRODUCT((Missions!$F$5:$F$26="Discount")*(Missions!$A$5:$A$26="Diamond")*(Missions!$D$5:$D$26&lt;&gt;"One-time")*'Affiliate Projection'!L17*Missions!$E$5:$E$26*Missions!$J$5:$J$26)</f>
        <v>7881.2102460000006</v>
      </c>
      <c r="M9" s="10">
        <f>SUMPRODUCT((Missions!$F$5:$F$26="Discount")*(Missions!$A$5:$A$26="Bronze")*(Missions!$D$5:$D$26="One-time")*'Affiliate Projection'!M19*Missions!$E$5:$E$26*Missions!$J$5:$J$26)+SUMPRODUCT((Missions!$F$5:$F$26="Discount")*(Missions!$A$5:$A$26="Bronze")*(Missions!$D$5:$D$26&lt;&gt;"One-time")*'Affiliate Projection'!M13*Missions!$E$5:$E$26*Missions!$J$5:$J$26)+SUMPRODUCT((Missions!$F$5:$F$26="Discount")*(Missions!$A$5:$A$26="Silver")*(Missions!$D$5:$D$26="One-time")*'Affiliate Projection'!M20*Missions!$E$5:$E$26*Missions!$J$5:$J$26)+SUMPRODUCT((Missions!$F$5:$F$26="Discount")*(Missions!$A$5:$A$26="Silver")*(Missions!$D$5:$D$26&lt;&gt;"One-time")*'Affiliate Projection'!M14*Missions!$E$5:$E$26*Missions!$J$5:$J$26)+SUMPRODUCT((Missions!$F$5:$F$26="Discount")*(Missions!$A$5:$A$26="Gold")*(Missions!$D$5:$D$26="One-time")*'Affiliate Projection'!M21*Missions!$E$5:$E$26*Missions!$J$5:$J$26)+SUMPRODUCT((Missions!$F$5:$F$26="Discount")*(Missions!$A$5:$A$26="Gold")*(Missions!$D$5:$D$26&lt;&gt;"One-time")*'Affiliate Projection'!M15*Missions!$E$5:$E$26*Missions!$J$5:$J$26)+SUMPRODUCT((Missions!$F$5:$F$26="Discount")*(Missions!$A$5:$A$26="Platinum")*(Missions!$D$5:$D$26="One-time")*'Affiliate Projection'!M22*Missions!$E$5:$E$26*Missions!$J$5:$J$26)+SUMPRODUCT((Missions!$F$5:$F$26="Discount")*(Missions!$A$5:$A$26="Platinum")*(Missions!$D$5:$D$26&lt;&gt;"One-time")*'Affiliate Projection'!M16*Missions!$E$5:$E$26*Missions!$J$5:$J$26)+SUMPRODUCT((Missions!$F$5:$F$26="Discount")*(Missions!$A$5:$A$26="Diamond")*(Missions!$D$5:$D$26="One-time")*'Affiliate Projection'!M23*Missions!$E$5:$E$26*Missions!$J$5:$J$26)+SUMPRODUCT((Missions!$F$5:$F$26="Discount")*(Missions!$A$5:$A$26="Diamond")*(Missions!$D$5:$D$26&lt;&gt;"One-time")*'Affiliate Projection'!M17*Missions!$E$5:$E$26*Missions!$J$5:$J$26)</f>
        <v>9359.8437660000018</v>
      </c>
    </row>
    <row r="10" spans="1:15" x14ac:dyDescent="0.25">
      <c r="A10" s="9" t="s">
        <v>200</v>
      </c>
      <c r="B10" s="11">
        <f t="shared" ref="B10:M10" si="0">SUM(B5:B9)</f>
        <v>4244.9890505555559</v>
      </c>
      <c r="C10" s="11">
        <f t="shared" si="0"/>
        <v>8402.2360605555568</v>
      </c>
      <c r="D10" s="11">
        <f t="shared" si="0"/>
        <v>13678.857143777779</v>
      </c>
      <c r="E10" s="11">
        <f t="shared" si="0"/>
        <v>21611.333510666671</v>
      </c>
      <c r="F10" s="11">
        <f t="shared" si="0"/>
        <v>30011.582569111109</v>
      </c>
      <c r="G10" s="11">
        <f t="shared" si="0"/>
        <v>39226.801776555563</v>
      </c>
      <c r="H10" s="11">
        <f t="shared" si="0"/>
        <v>51408.579141888906</v>
      </c>
      <c r="I10" s="11">
        <f t="shared" si="0"/>
        <v>64716.591436777788</v>
      </c>
      <c r="J10" s="11">
        <f t="shared" si="0"/>
        <v>77845.957511000015</v>
      </c>
      <c r="K10" s="11">
        <f t="shared" si="0"/>
        <v>93404.675292444459</v>
      </c>
      <c r="L10" s="11">
        <f t="shared" si="0"/>
        <v>110316.54151155557</v>
      </c>
      <c r="M10" s="11">
        <f t="shared" si="0"/>
        <v>128962.34002711112</v>
      </c>
      <c r="O10" s="66"/>
    </row>
    <row r="11" spans="1:15" ht="18.75" customHeight="1" x14ac:dyDescent="0.25">
      <c r="A11" s="9"/>
    </row>
    <row r="12" spans="1:15" ht="18.75" customHeight="1" x14ac:dyDescent="0.3">
      <c r="A12" s="1" t="s">
        <v>201</v>
      </c>
    </row>
    <row r="13" spans="1:15" x14ac:dyDescent="0.25">
      <c r="A13" s="9" t="s">
        <v>202</v>
      </c>
      <c r="B13" s="10">
        <f>'Affiliate Projection'!B19*'VIP Levels'!$G$16*'VIP Levels'!$H$16+'Affiliate Projection'!B20*'VIP Levels'!$G$17*'VIP Levels'!$H$17+'Affiliate Projection'!B21*'VIP Levels'!$G$18*'VIP Levels'!$H$18+'Affiliate Projection'!B22*'VIP Levels'!$G$19*'VIP Levels'!$H$19+'Affiliate Projection'!B23*'VIP Levels'!$G$20*'VIP Levels'!$H$20</f>
        <v>250</v>
      </c>
      <c r="C13" s="10">
        <f>'Affiliate Projection'!C19*'VIP Levels'!$G$16*'VIP Levels'!$H$16+'Affiliate Projection'!C20*'VIP Levels'!$G$17*'VIP Levels'!$H$17+'Affiliate Projection'!C21*'VIP Levels'!$G$18*'VIP Levels'!$H$18+'Affiliate Projection'!C22*'VIP Levels'!$G$19*'VIP Levels'!$H$19+'Affiliate Projection'!C23*'VIP Levels'!$G$20*'VIP Levels'!$H$20</f>
        <v>1050</v>
      </c>
      <c r="D13" s="10">
        <f>'Affiliate Projection'!D19*'VIP Levels'!$G$16*'VIP Levels'!$H$16+'Affiliate Projection'!D20*'VIP Levels'!$G$17*'VIP Levels'!$H$17+'Affiliate Projection'!D21*'VIP Levels'!$G$18*'VIP Levels'!$H$18+'Affiliate Projection'!D22*'VIP Levels'!$G$19*'VIP Levels'!$H$19+'Affiliate Projection'!D23*'VIP Levels'!$G$20*'VIP Levels'!$H$20</f>
        <v>1550</v>
      </c>
      <c r="E13" s="10">
        <f>'Affiliate Projection'!E19*'VIP Levels'!$G$16*'VIP Levels'!$H$16+'Affiliate Projection'!E20*'VIP Levels'!$G$17*'VIP Levels'!$H$17+'Affiliate Projection'!E21*'VIP Levels'!$G$18*'VIP Levels'!$H$18+'Affiliate Projection'!E22*'VIP Levels'!$G$19*'VIP Levels'!$H$19+'Affiliate Projection'!E23*'VIP Levels'!$G$20*'VIP Levels'!$H$20</f>
        <v>2500</v>
      </c>
      <c r="F13" s="10">
        <f>'Affiliate Projection'!F19*'VIP Levels'!$G$16*'VIP Levels'!$H$16+'Affiliate Projection'!F20*'VIP Levels'!$G$17*'VIP Levels'!$H$17+'Affiliate Projection'!F21*'VIP Levels'!$G$18*'VIP Levels'!$H$18+'Affiliate Projection'!F22*'VIP Levels'!$G$19*'VIP Levels'!$H$19+'Affiliate Projection'!F23*'VIP Levels'!$G$20*'VIP Levels'!$H$20</f>
        <v>3000</v>
      </c>
      <c r="G13" s="10">
        <f>'Affiliate Projection'!G19*'VIP Levels'!$G$16*'VIP Levels'!$H$16+'Affiliate Projection'!G20*'VIP Levels'!$G$17*'VIP Levels'!$H$17+'Affiliate Projection'!G21*'VIP Levels'!$G$18*'VIP Levels'!$H$18+'Affiliate Projection'!G22*'VIP Levels'!$G$19*'VIP Levels'!$H$19+'Affiliate Projection'!G23*'VIP Levels'!$G$20*'VIP Levels'!$H$20</f>
        <v>3550</v>
      </c>
      <c r="H13" s="10">
        <f>'Affiliate Projection'!H19*'VIP Levels'!$G$16*'VIP Levels'!$H$16+'Affiliate Projection'!H20*'VIP Levels'!$G$17*'VIP Levels'!$H$17+'Affiliate Projection'!H21*'VIP Levels'!$G$18*'VIP Levels'!$H$18+'Affiliate Projection'!H22*'VIP Levels'!$G$19*'VIP Levels'!$H$19+'Affiliate Projection'!H23*'VIP Levels'!$G$20*'VIP Levels'!$H$20</f>
        <v>4450</v>
      </c>
      <c r="I13" s="10">
        <f>'Affiliate Projection'!I19*'VIP Levels'!$G$16*'VIP Levels'!$H$16+'Affiliate Projection'!I20*'VIP Levels'!$G$17*'VIP Levels'!$H$17+'Affiliate Projection'!I21*'VIP Levels'!$G$18*'VIP Levels'!$H$18+'Affiliate Projection'!I22*'VIP Levels'!$G$19*'VIP Levels'!$H$19+'Affiliate Projection'!I23*'VIP Levels'!$G$20*'VIP Levels'!$H$20</f>
        <v>5200</v>
      </c>
      <c r="J13" s="10">
        <f>'Affiliate Projection'!J19*'VIP Levels'!$G$16*'VIP Levels'!$H$16+'Affiliate Projection'!J20*'VIP Levels'!$G$17*'VIP Levels'!$H$17+'Affiliate Projection'!J21*'VIP Levels'!$G$18*'VIP Levels'!$H$18+'Affiliate Projection'!J22*'VIP Levels'!$G$19*'VIP Levels'!$H$19+'Affiliate Projection'!J23*'VIP Levels'!$G$20*'VIP Levels'!$H$20</f>
        <v>5500</v>
      </c>
      <c r="K13" s="10">
        <f>'Affiliate Projection'!K19*'VIP Levels'!$G$16*'VIP Levels'!$H$16+'Affiliate Projection'!K20*'VIP Levels'!$G$17*'VIP Levels'!$H$17+'Affiliate Projection'!K21*'VIP Levels'!$G$18*'VIP Levels'!$H$18+'Affiliate Projection'!K22*'VIP Levels'!$G$19*'VIP Levels'!$H$19+'Affiliate Projection'!K23*'VIP Levels'!$G$20*'VIP Levels'!$H$20</f>
        <v>6300</v>
      </c>
      <c r="L13" s="10">
        <f>'Affiliate Projection'!L19*'VIP Levels'!$G$16*'VIP Levels'!$H$16+'Affiliate Projection'!L20*'VIP Levels'!$G$17*'VIP Levels'!$H$17+'Affiliate Projection'!L21*'VIP Levels'!$G$18*'VIP Levels'!$H$18+'Affiliate Projection'!L22*'VIP Levels'!$G$19*'VIP Levels'!$H$19+'Affiliate Projection'!L23*'VIP Levels'!$G$20*'VIP Levels'!$H$20</f>
        <v>7000</v>
      </c>
      <c r="M13" s="10">
        <f>'Affiliate Projection'!M19*'VIP Levels'!$G$16*'VIP Levels'!$H$16+'Affiliate Projection'!M20*'VIP Levels'!$G$17*'VIP Levels'!$H$17+'Affiliate Projection'!M21*'VIP Levels'!$G$18*'VIP Levels'!$H$18+'Affiliate Projection'!M22*'VIP Levels'!$G$19*'VIP Levels'!$H$19+'Affiliate Projection'!M23*'VIP Levels'!$G$20*'VIP Levels'!$H$20</f>
        <v>7750</v>
      </c>
    </row>
    <row r="14" spans="1:15" x14ac:dyDescent="0.25">
      <c r="A14" s="9" t="s">
        <v>203</v>
      </c>
      <c r="B14" s="10">
        <f t="array" ref="B14">SUMPRODUCT((Missions!$F$5:$F$26="Gift Card")*(Missions!$A$5:$A$26="Bronze")*(Missions!$D$5:$D$26="One-time")*'Affiliate Projection'!B19*Missions!$E$5:$E$26*Missions!$J$5:$J$26)+SUMPRODUCT((Missions!$F$5:$F$26="Gift Card")*(Missions!$A$5:$A$26="Bronze")*(Missions!$D$5:$D$26&lt;&gt;"One-time")*'Affiliate Projection'!B13*Missions!$E$5:$E$26*Missions!$J$5:$J$26)+SUMPRODUCT((Missions!$F$5:$F$26="Gift Card")*(Missions!$A$5:$A$26="Silver")*(Missions!$D$5:$D$26="One-time")*'Affiliate Projection'!B20*Missions!$E$5:$E$26*Missions!$J$5:$J$26)+SUMPRODUCT((Missions!$F$5:$F$26="Gift Card")*(Missions!$A$5:$A$26="Silver")*(Missions!$D$5:$D$26&lt;&gt;"One-time")*'Affiliate Projection'!B14*Missions!$E$5:$E$26*Missions!$J$5:$J$26)+SUMPRODUCT((Missions!$F$5:$F$26="Gift Card")*(Missions!$A$5:$A$26="Gold")*(Missions!$D$5:$D$26="One-time")*'Affiliate Projection'!B21*Missions!$E$5:$E$26*Missions!$J$5:$J$26)+SUMPRODUCT((Missions!$F$5:$F$26="Gift Card")*(Missions!$A$5:$A$26="Gold")*(Missions!$D$5:$D$26&lt;&gt;"One-time")*'Affiliate Projection'!B15*Missions!$E$5:$E$26*Missions!$J$5:$J$26)+SUMPRODUCT((Missions!$F$5:$F$26="Gift Card")*(Missions!$A$5:$A$26="Platinum")*(Missions!$D$5:$D$26="One-time")*'Affiliate Projection'!B22*Missions!$E$5:$E$26*Missions!$J$5:$J$26)+SUMPRODUCT((Missions!$F$5:$F$26="Gift Card")*(Missions!$A$5:$A$26="Platinum")*(Missions!$D$5:$D$26&lt;&gt;"One-time")*'Affiliate Projection'!B16*Missions!$E$5:$E$26*Missions!$J$5:$J$26)+SUMPRODUCT((Missions!$F$5:$F$26="Gift Card")*(Missions!$A$5:$A$26="Diamond")*(Missions!$D$5:$D$26="One-time")*'Affiliate Projection'!B23*Missions!$E$5:$E$26*Missions!$J$5:$J$26)+SUMPRODUCT((Missions!$F$5:$F$26="Gift Card")*(Missions!$A$5:$A$26="Diamond")*(Missions!$D$5:$D$26&lt;&gt;"One-time")*'Affiliate Projection'!B17*Missions!$E$5:$E$26*Missions!$J$5:$J$26)</f>
        <v>1807.5</v>
      </c>
      <c r="C14" s="10">
        <f>SUMPRODUCT((Missions!$F$5:$F$26="Gift Card")*(Missions!$A$5:$A$26="Bronze")*(Missions!$D$5:$D$26="One-time")*'Affiliate Projection'!C19*Missions!$E$5:$E$26*Missions!$J$5:$J$26)+SUMPRODUCT((Missions!$F$5:$F$26="Gift Card")*(Missions!$A$5:$A$26="Bronze")*(Missions!$D$5:$D$26&lt;&gt;"One-time")*'Affiliate Projection'!C13*Missions!$E$5:$E$26*Missions!$J$5:$J$26)+SUMPRODUCT((Missions!$F$5:$F$26="Gift Card")*(Missions!$A$5:$A$26="Silver")*(Missions!$D$5:$D$26="One-time")*'Affiliate Projection'!C20*Missions!$E$5:$E$26*Missions!$J$5:$J$26)+SUMPRODUCT((Missions!$F$5:$F$26="Gift Card")*(Missions!$A$5:$A$26="Silver")*(Missions!$D$5:$D$26&lt;&gt;"One-time")*'Affiliate Projection'!C14*Missions!$E$5:$E$26*Missions!$J$5:$J$26)+SUMPRODUCT((Missions!$F$5:$F$26="Gift Card")*(Missions!$A$5:$A$26="Gold")*(Missions!$D$5:$D$26="One-time")*'Affiliate Projection'!C21*Missions!$E$5:$E$26*Missions!$J$5:$J$26)+SUMPRODUCT((Missions!$F$5:$F$26="Gift Card")*(Missions!$A$5:$A$26="Gold")*(Missions!$D$5:$D$26&lt;&gt;"One-time")*'Affiliate Projection'!C15*Missions!$E$5:$E$26*Missions!$J$5:$J$26)+SUMPRODUCT((Missions!$F$5:$F$26="Gift Card")*(Missions!$A$5:$A$26="Platinum")*(Missions!$D$5:$D$26="One-time")*'Affiliate Projection'!C22*Missions!$E$5:$E$26*Missions!$J$5:$J$26)+SUMPRODUCT((Missions!$F$5:$F$26="Gift Card")*(Missions!$A$5:$A$26="Platinum")*(Missions!$D$5:$D$26&lt;&gt;"One-time")*'Affiliate Projection'!C16*Missions!$E$5:$E$26*Missions!$J$5:$J$26)+SUMPRODUCT((Missions!$F$5:$F$26="Gift Card")*(Missions!$A$5:$A$26="Diamond")*(Missions!$D$5:$D$26="One-time")*'Affiliate Projection'!C23*Missions!$E$5:$E$26*Missions!$J$5:$J$26)+SUMPRODUCT((Missions!$F$5:$F$26="Gift Card")*(Missions!$A$5:$A$26="Diamond")*(Missions!$D$5:$D$26&lt;&gt;"One-time")*'Affiliate Projection'!C17*Missions!$E$5:$E$26*Missions!$J$5:$J$26)</f>
        <v>1322.75</v>
      </c>
      <c r="D14" s="10">
        <f>SUMPRODUCT((Missions!$F$5:$F$26="Gift Card")*(Missions!$A$5:$A$26="Bronze")*(Missions!$D$5:$D$26="One-time")*'Affiliate Projection'!D19*Missions!$E$5:$E$26*Missions!$J$5:$J$26)+SUMPRODUCT((Missions!$F$5:$F$26="Gift Card")*(Missions!$A$5:$A$26="Bronze")*(Missions!$D$5:$D$26&lt;&gt;"One-time")*'Affiliate Projection'!D13*Missions!$E$5:$E$26*Missions!$J$5:$J$26)+SUMPRODUCT((Missions!$F$5:$F$26="Gift Card")*(Missions!$A$5:$A$26="Silver")*(Missions!$D$5:$D$26="One-time")*'Affiliate Projection'!D20*Missions!$E$5:$E$26*Missions!$J$5:$J$26)+SUMPRODUCT((Missions!$F$5:$F$26="Gift Card")*(Missions!$A$5:$A$26="Silver")*(Missions!$D$5:$D$26&lt;&gt;"One-time")*'Affiliate Projection'!D14*Missions!$E$5:$E$26*Missions!$J$5:$J$26)+SUMPRODUCT((Missions!$F$5:$F$26="Gift Card")*(Missions!$A$5:$A$26="Gold")*(Missions!$D$5:$D$26="One-time")*'Affiliate Projection'!D21*Missions!$E$5:$E$26*Missions!$J$5:$J$26)+SUMPRODUCT((Missions!$F$5:$F$26="Gift Card")*(Missions!$A$5:$A$26="Gold")*(Missions!$D$5:$D$26&lt;&gt;"One-time")*'Affiliate Projection'!D15*Missions!$E$5:$E$26*Missions!$J$5:$J$26)+SUMPRODUCT((Missions!$F$5:$F$26="Gift Card")*(Missions!$A$5:$A$26="Platinum")*(Missions!$D$5:$D$26="One-time")*'Affiliate Projection'!D22*Missions!$E$5:$E$26*Missions!$J$5:$J$26)+SUMPRODUCT((Missions!$F$5:$F$26="Gift Card")*(Missions!$A$5:$A$26="Platinum")*(Missions!$D$5:$D$26&lt;&gt;"One-time")*'Affiliate Projection'!D16*Missions!$E$5:$E$26*Missions!$J$5:$J$26)+SUMPRODUCT((Missions!$F$5:$F$26="Gift Card")*(Missions!$A$5:$A$26="Diamond")*(Missions!$D$5:$D$26="One-time")*'Affiliate Projection'!D23*Missions!$E$5:$E$26*Missions!$J$5:$J$26)+SUMPRODUCT((Missions!$F$5:$F$26="Gift Card")*(Missions!$A$5:$A$26="Diamond")*(Missions!$D$5:$D$26&lt;&gt;"One-time")*'Affiliate Projection'!D17*Missions!$E$5:$E$26*Missions!$J$5:$J$26)</f>
        <v>1484.75</v>
      </c>
      <c r="E14" s="10">
        <f>SUMPRODUCT((Missions!$F$5:$F$26="Gift Card")*(Missions!$A$5:$A$26="Bronze")*(Missions!$D$5:$D$26="One-time")*'Affiliate Projection'!E19*Missions!$E$5:$E$26*Missions!$J$5:$J$26)+SUMPRODUCT((Missions!$F$5:$F$26="Gift Card")*(Missions!$A$5:$A$26="Bronze")*(Missions!$D$5:$D$26&lt;&gt;"One-time")*'Affiliate Projection'!E13*Missions!$E$5:$E$26*Missions!$J$5:$J$26)+SUMPRODUCT((Missions!$F$5:$F$26="Gift Card")*(Missions!$A$5:$A$26="Silver")*(Missions!$D$5:$D$26="One-time")*'Affiliate Projection'!E20*Missions!$E$5:$E$26*Missions!$J$5:$J$26)+SUMPRODUCT((Missions!$F$5:$F$26="Gift Card")*(Missions!$A$5:$A$26="Silver")*(Missions!$D$5:$D$26&lt;&gt;"One-time")*'Affiliate Projection'!E14*Missions!$E$5:$E$26*Missions!$J$5:$J$26)+SUMPRODUCT((Missions!$F$5:$F$26="Gift Card")*(Missions!$A$5:$A$26="Gold")*(Missions!$D$5:$D$26="One-time")*'Affiliate Projection'!E21*Missions!$E$5:$E$26*Missions!$J$5:$J$26)+SUMPRODUCT((Missions!$F$5:$F$26="Gift Card")*(Missions!$A$5:$A$26="Gold")*(Missions!$D$5:$D$26&lt;&gt;"One-time")*'Affiliate Projection'!E15*Missions!$E$5:$E$26*Missions!$J$5:$J$26)+SUMPRODUCT((Missions!$F$5:$F$26="Gift Card")*(Missions!$A$5:$A$26="Platinum")*(Missions!$D$5:$D$26="One-time")*'Affiliate Projection'!E22*Missions!$E$5:$E$26*Missions!$J$5:$J$26)+SUMPRODUCT((Missions!$F$5:$F$26="Gift Card")*(Missions!$A$5:$A$26="Platinum")*(Missions!$D$5:$D$26&lt;&gt;"One-time")*'Affiliate Projection'!E16*Missions!$E$5:$E$26*Missions!$J$5:$J$26)+SUMPRODUCT((Missions!$F$5:$F$26="Gift Card")*(Missions!$A$5:$A$26="Diamond")*(Missions!$D$5:$D$26="One-time")*'Affiliate Projection'!E23*Missions!$E$5:$E$26*Missions!$J$5:$J$26)+SUMPRODUCT((Missions!$F$5:$F$26="Gift Card")*(Missions!$A$5:$A$26="Diamond")*(Missions!$D$5:$D$26&lt;&gt;"One-time")*'Affiliate Projection'!E17*Missions!$E$5:$E$26*Missions!$J$5:$J$26)</f>
        <v>1752.5</v>
      </c>
      <c r="F14" s="10">
        <f>SUMPRODUCT((Missions!$F$5:$F$26="Gift Card")*(Missions!$A$5:$A$26="Bronze")*(Missions!$D$5:$D$26="One-time")*'Affiliate Projection'!F19*Missions!$E$5:$E$26*Missions!$J$5:$J$26)+SUMPRODUCT((Missions!$F$5:$F$26="Gift Card")*(Missions!$A$5:$A$26="Bronze")*(Missions!$D$5:$D$26&lt;&gt;"One-time")*'Affiliate Projection'!F13*Missions!$E$5:$E$26*Missions!$J$5:$J$26)+SUMPRODUCT((Missions!$F$5:$F$26="Gift Card")*(Missions!$A$5:$A$26="Silver")*(Missions!$D$5:$D$26="One-time")*'Affiliate Projection'!F20*Missions!$E$5:$E$26*Missions!$J$5:$J$26)+SUMPRODUCT((Missions!$F$5:$F$26="Gift Card")*(Missions!$A$5:$A$26="Silver")*(Missions!$D$5:$D$26&lt;&gt;"One-time")*'Affiliate Projection'!F14*Missions!$E$5:$E$26*Missions!$J$5:$J$26)+SUMPRODUCT((Missions!$F$5:$F$26="Gift Card")*(Missions!$A$5:$A$26="Gold")*(Missions!$D$5:$D$26="One-time")*'Affiliate Projection'!F21*Missions!$E$5:$E$26*Missions!$J$5:$J$26)+SUMPRODUCT((Missions!$F$5:$F$26="Gift Card")*(Missions!$A$5:$A$26="Gold")*(Missions!$D$5:$D$26&lt;&gt;"One-time")*'Affiliate Projection'!F15*Missions!$E$5:$E$26*Missions!$J$5:$J$26)+SUMPRODUCT((Missions!$F$5:$F$26="Gift Card")*(Missions!$A$5:$A$26="Platinum")*(Missions!$D$5:$D$26="One-time")*'Affiliate Projection'!F22*Missions!$E$5:$E$26*Missions!$J$5:$J$26)+SUMPRODUCT((Missions!$F$5:$F$26="Gift Card")*(Missions!$A$5:$A$26="Platinum")*(Missions!$D$5:$D$26&lt;&gt;"One-time")*'Affiliate Projection'!F16*Missions!$E$5:$E$26*Missions!$J$5:$J$26)+SUMPRODUCT((Missions!$F$5:$F$26="Gift Card")*(Missions!$A$5:$A$26="Diamond")*(Missions!$D$5:$D$26="One-time")*'Affiliate Projection'!F23*Missions!$E$5:$E$26*Missions!$J$5:$J$26)+SUMPRODUCT((Missions!$F$5:$F$26="Gift Card")*(Missions!$A$5:$A$26="Diamond")*(Missions!$D$5:$D$26&lt;&gt;"One-time")*'Affiliate Projection'!F17*Missions!$E$5:$E$26*Missions!$J$5:$J$26)</f>
        <v>2072</v>
      </c>
      <c r="G14" s="10">
        <f>SUMPRODUCT((Missions!$F$5:$F$26="Gift Card")*(Missions!$A$5:$A$26="Bronze")*(Missions!$D$5:$D$26="One-time")*'Affiliate Projection'!G19*Missions!$E$5:$E$26*Missions!$J$5:$J$26)+SUMPRODUCT((Missions!$F$5:$F$26="Gift Card")*(Missions!$A$5:$A$26="Bronze")*(Missions!$D$5:$D$26&lt;&gt;"One-time")*'Affiliate Projection'!G13*Missions!$E$5:$E$26*Missions!$J$5:$J$26)+SUMPRODUCT((Missions!$F$5:$F$26="Gift Card")*(Missions!$A$5:$A$26="Silver")*(Missions!$D$5:$D$26="One-time")*'Affiliate Projection'!G20*Missions!$E$5:$E$26*Missions!$J$5:$J$26)+SUMPRODUCT((Missions!$F$5:$F$26="Gift Card")*(Missions!$A$5:$A$26="Silver")*(Missions!$D$5:$D$26&lt;&gt;"One-time")*'Affiliate Projection'!G14*Missions!$E$5:$E$26*Missions!$J$5:$J$26)+SUMPRODUCT((Missions!$F$5:$F$26="Gift Card")*(Missions!$A$5:$A$26="Gold")*(Missions!$D$5:$D$26="One-time")*'Affiliate Projection'!G21*Missions!$E$5:$E$26*Missions!$J$5:$J$26)+SUMPRODUCT((Missions!$F$5:$F$26="Gift Card")*(Missions!$A$5:$A$26="Gold")*(Missions!$D$5:$D$26&lt;&gt;"One-time")*'Affiliate Projection'!G15*Missions!$E$5:$E$26*Missions!$J$5:$J$26)+SUMPRODUCT((Missions!$F$5:$F$26="Gift Card")*(Missions!$A$5:$A$26="Platinum")*(Missions!$D$5:$D$26="One-time")*'Affiliate Projection'!G22*Missions!$E$5:$E$26*Missions!$J$5:$J$26)+SUMPRODUCT((Missions!$F$5:$F$26="Gift Card")*(Missions!$A$5:$A$26="Platinum")*(Missions!$D$5:$D$26&lt;&gt;"One-time")*'Affiliate Projection'!G16*Missions!$E$5:$E$26*Missions!$J$5:$J$26)+SUMPRODUCT((Missions!$F$5:$F$26="Gift Card")*(Missions!$A$5:$A$26="Diamond")*(Missions!$D$5:$D$26="One-time")*'Affiliate Projection'!G23*Missions!$E$5:$E$26*Missions!$J$5:$J$26)+SUMPRODUCT((Missions!$F$5:$F$26="Gift Card")*(Missions!$A$5:$A$26="Diamond")*(Missions!$D$5:$D$26&lt;&gt;"One-time")*'Affiliate Projection'!G17*Missions!$E$5:$E$26*Missions!$J$5:$J$26)</f>
        <v>2450</v>
      </c>
      <c r="H14" s="10">
        <f>SUMPRODUCT((Missions!$F$5:$F$26="Gift Card")*(Missions!$A$5:$A$26="Bronze")*(Missions!$D$5:$D$26="One-time")*'Affiliate Projection'!H19*Missions!$E$5:$E$26*Missions!$J$5:$J$26)+SUMPRODUCT((Missions!$F$5:$F$26="Gift Card")*(Missions!$A$5:$A$26="Bronze")*(Missions!$D$5:$D$26&lt;&gt;"One-time")*'Affiliate Projection'!H13*Missions!$E$5:$E$26*Missions!$J$5:$J$26)+SUMPRODUCT((Missions!$F$5:$F$26="Gift Card")*(Missions!$A$5:$A$26="Silver")*(Missions!$D$5:$D$26="One-time")*'Affiliate Projection'!H20*Missions!$E$5:$E$26*Missions!$J$5:$J$26)+SUMPRODUCT((Missions!$F$5:$F$26="Gift Card")*(Missions!$A$5:$A$26="Silver")*(Missions!$D$5:$D$26&lt;&gt;"One-time")*'Affiliate Projection'!H14*Missions!$E$5:$E$26*Missions!$J$5:$J$26)+SUMPRODUCT((Missions!$F$5:$F$26="Gift Card")*(Missions!$A$5:$A$26="Gold")*(Missions!$D$5:$D$26="One-time")*'Affiliate Projection'!H21*Missions!$E$5:$E$26*Missions!$J$5:$J$26)+SUMPRODUCT((Missions!$F$5:$F$26="Gift Card")*(Missions!$A$5:$A$26="Gold")*(Missions!$D$5:$D$26&lt;&gt;"One-time")*'Affiliate Projection'!H15*Missions!$E$5:$E$26*Missions!$J$5:$J$26)+SUMPRODUCT((Missions!$F$5:$F$26="Gift Card")*(Missions!$A$5:$A$26="Platinum")*(Missions!$D$5:$D$26="One-time")*'Affiliate Projection'!H22*Missions!$E$5:$E$26*Missions!$J$5:$J$26)+SUMPRODUCT((Missions!$F$5:$F$26="Gift Card")*(Missions!$A$5:$A$26="Platinum")*(Missions!$D$5:$D$26&lt;&gt;"One-time")*'Affiliate Projection'!H16*Missions!$E$5:$E$26*Missions!$J$5:$J$26)+SUMPRODUCT((Missions!$F$5:$F$26="Gift Card")*(Missions!$A$5:$A$26="Diamond")*(Missions!$D$5:$D$26="One-time")*'Affiliate Projection'!H23*Missions!$E$5:$E$26*Missions!$J$5:$J$26)+SUMPRODUCT((Missions!$F$5:$F$26="Gift Card")*(Missions!$A$5:$A$26="Diamond")*(Missions!$D$5:$D$26&lt;&gt;"One-time")*'Affiliate Projection'!H17*Missions!$E$5:$E$26*Missions!$J$5:$J$26)</f>
        <v>2927</v>
      </c>
      <c r="I14" s="10">
        <f>SUMPRODUCT((Missions!$F$5:$F$26="Gift Card")*(Missions!$A$5:$A$26="Bronze")*(Missions!$D$5:$D$26="One-time")*'Affiliate Projection'!I19*Missions!$E$5:$E$26*Missions!$J$5:$J$26)+SUMPRODUCT((Missions!$F$5:$F$26="Gift Card")*(Missions!$A$5:$A$26="Bronze")*(Missions!$D$5:$D$26&lt;&gt;"One-time")*'Affiliate Projection'!I13*Missions!$E$5:$E$26*Missions!$J$5:$J$26)+SUMPRODUCT((Missions!$F$5:$F$26="Gift Card")*(Missions!$A$5:$A$26="Silver")*(Missions!$D$5:$D$26="One-time")*'Affiliate Projection'!I20*Missions!$E$5:$E$26*Missions!$J$5:$J$26)+SUMPRODUCT((Missions!$F$5:$F$26="Gift Card")*(Missions!$A$5:$A$26="Silver")*(Missions!$D$5:$D$26&lt;&gt;"One-time")*'Affiliate Projection'!I14*Missions!$E$5:$E$26*Missions!$J$5:$J$26)+SUMPRODUCT((Missions!$F$5:$F$26="Gift Card")*(Missions!$A$5:$A$26="Gold")*(Missions!$D$5:$D$26="One-time")*'Affiliate Projection'!I21*Missions!$E$5:$E$26*Missions!$J$5:$J$26)+SUMPRODUCT((Missions!$F$5:$F$26="Gift Card")*(Missions!$A$5:$A$26="Gold")*(Missions!$D$5:$D$26&lt;&gt;"One-time")*'Affiliate Projection'!I15*Missions!$E$5:$E$26*Missions!$J$5:$J$26)+SUMPRODUCT((Missions!$F$5:$F$26="Gift Card")*(Missions!$A$5:$A$26="Platinum")*(Missions!$D$5:$D$26="One-time")*'Affiliate Projection'!I22*Missions!$E$5:$E$26*Missions!$J$5:$J$26)+SUMPRODUCT((Missions!$F$5:$F$26="Gift Card")*(Missions!$A$5:$A$26="Platinum")*(Missions!$D$5:$D$26&lt;&gt;"One-time")*'Affiliate Projection'!I16*Missions!$E$5:$E$26*Missions!$J$5:$J$26)+SUMPRODUCT((Missions!$F$5:$F$26="Gift Card")*(Missions!$A$5:$A$26="Diamond")*(Missions!$D$5:$D$26="One-time")*'Affiliate Projection'!I23*Missions!$E$5:$E$26*Missions!$J$5:$J$26)+SUMPRODUCT((Missions!$F$5:$F$26="Gift Card")*(Missions!$A$5:$A$26="Diamond")*(Missions!$D$5:$D$26&lt;&gt;"One-time")*'Affiliate Projection'!I17*Missions!$E$5:$E$26*Missions!$J$5:$J$26)</f>
        <v>3482.75</v>
      </c>
      <c r="J14" s="10">
        <f>SUMPRODUCT((Missions!$F$5:$F$26="Gift Card")*(Missions!$A$5:$A$26="Bronze")*(Missions!$D$5:$D$26="One-time")*'Affiliate Projection'!J19*Missions!$E$5:$E$26*Missions!$J$5:$J$26)+SUMPRODUCT((Missions!$F$5:$F$26="Gift Card")*(Missions!$A$5:$A$26="Bronze")*(Missions!$D$5:$D$26&lt;&gt;"One-time")*'Affiliate Projection'!J13*Missions!$E$5:$E$26*Missions!$J$5:$J$26)+SUMPRODUCT((Missions!$F$5:$F$26="Gift Card")*(Missions!$A$5:$A$26="Silver")*(Missions!$D$5:$D$26="One-time")*'Affiliate Projection'!J20*Missions!$E$5:$E$26*Missions!$J$5:$J$26)+SUMPRODUCT((Missions!$F$5:$F$26="Gift Card")*(Missions!$A$5:$A$26="Silver")*(Missions!$D$5:$D$26&lt;&gt;"One-time")*'Affiliate Projection'!J14*Missions!$E$5:$E$26*Missions!$J$5:$J$26)+SUMPRODUCT((Missions!$F$5:$F$26="Gift Card")*(Missions!$A$5:$A$26="Gold")*(Missions!$D$5:$D$26="One-time")*'Affiliate Projection'!J21*Missions!$E$5:$E$26*Missions!$J$5:$J$26)+SUMPRODUCT((Missions!$F$5:$F$26="Gift Card")*(Missions!$A$5:$A$26="Gold")*(Missions!$D$5:$D$26&lt;&gt;"One-time")*'Affiliate Projection'!J15*Missions!$E$5:$E$26*Missions!$J$5:$J$26)+SUMPRODUCT((Missions!$F$5:$F$26="Gift Card")*(Missions!$A$5:$A$26="Platinum")*(Missions!$D$5:$D$26="One-time")*'Affiliate Projection'!J22*Missions!$E$5:$E$26*Missions!$J$5:$J$26)+SUMPRODUCT((Missions!$F$5:$F$26="Gift Card")*(Missions!$A$5:$A$26="Platinum")*(Missions!$D$5:$D$26&lt;&gt;"One-time")*'Affiliate Projection'!J16*Missions!$E$5:$E$26*Missions!$J$5:$J$26)+SUMPRODUCT((Missions!$F$5:$F$26="Gift Card")*(Missions!$A$5:$A$26="Diamond")*(Missions!$D$5:$D$26="One-time")*'Affiliate Projection'!J23*Missions!$E$5:$E$26*Missions!$J$5:$J$26)+SUMPRODUCT((Missions!$F$5:$F$26="Gift Card")*(Missions!$A$5:$A$26="Diamond")*(Missions!$D$5:$D$26&lt;&gt;"One-time")*'Affiliate Projection'!J17*Missions!$E$5:$E$26*Missions!$J$5:$J$26)</f>
        <v>4070</v>
      </c>
      <c r="K14" s="10">
        <f>SUMPRODUCT((Missions!$F$5:$F$26="Gift Card")*(Missions!$A$5:$A$26="Bronze")*(Missions!$D$5:$D$26="One-time")*'Affiliate Projection'!K19*Missions!$E$5:$E$26*Missions!$J$5:$J$26)+SUMPRODUCT((Missions!$F$5:$F$26="Gift Card")*(Missions!$A$5:$A$26="Bronze")*(Missions!$D$5:$D$26&lt;&gt;"One-time")*'Affiliate Projection'!K13*Missions!$E$5:$E$26*Missions!$J$5:$J$26)+SUMPRODUCT((Missions!$F$5:$F$26="Gift Card")*(Missions!$A$5:$A$26="Silver")*(Missions!$D$5:$D$26="One-time")*'Affiliate Projection'!K20*Missions!$E$5:$E$26*Missions!$J$5:$J$26)+SUMPRODUCT((Missions!$F$5:$F$26="Gift Card")*(Missions!$A$5:$A$26="Silver")*(Missions!$D$5:$D$26&lt;&gt;"One-time")*'Affiliate Projection'!K14*Missions!$E$5:$E$26*Missions!$J$5:$J$26)+SUMPRODUCT((Missions!$F$5:$F$26="Gift Card")*(Missions!$A$5:$A$26="Gold")*(Missions!$D$5:$D$26="One-time")*'Affiliate Projection'!K21*Missions!$E$5:$E$26*Missions!$J$5:$J$26)+SUMPRODUCT((Missions!$F$5:$F$26="Gift Card")*(Missions!$A$5:$A$26="Gold")*(Missions!$D$5:$D$26&lt;&gt;"One-time")*'Affiliate Projection'!K15*Missions!$E$5:$E$26*Missions!$J$5:$J$26)+SUMPRODUCT((Missions!$F$5:$F$26="Gift Card")*(Missions!$A$5:$A$26="Platinum")*(Missions!$D$5:$D$26="One-time")*'Affiliate Projection'!K22*Missions!$E$5:$E$26*Missions!$J$5:$J$26)+SUMPRODUCT((Missions!$F$5:$F$26="Gift Card")*(Missions!$A$5:$A$26="Platinum")*(Missions!$D$5:$D$26&lt;&gt;"One-time")*'Affiliate Projection'!K16*Missions!$E$5:$E$26*Missions!$J$5:$J$26)+SUMPRODUCT((Missions!$F$5:$F$26="Gift Card")*(Missions!$A$5:$A$26="Diamond")*(Missions!$D$5:$D$26="One-time")*'Affiliate Projection'!K23*Missions!$E$5:$E$26*Missions!$J$5:$J$26)+SUMPRODUCT((Missions!$F$5:$F$26="Gift Card")*(Missions!$A$5:$A$26="Diamond")*(Missions!$D$5:$D$26&lt;&gt;"One-time")*'Affiliate Projection'!K17*Missions!$E$5:$E$26*Missions!$J$5:$J$26)</f>
        <v>4745</v>
      </c>
      <c r="L14" s="10">
        <f>SUMPRODUCT((Missions!$F$5:$F$26="Gift Card")*(Missions!$A$5:$A$26="Bronze")*(Missions!$D$5:$D$26="One-time")*'Affiliate Projection'!L19*Missions!$E$5:$E$26*Missions!$J$5:$J$26)+SUMPRODUCT((Missions!$F$5:$F$26="Gift Card")*(Missions!$A$5:$A$26="Bronze")*(Missions!$D$5:$D$26&lt;&gt;"One-time")*'Affiliate Projection'!L13*Missions!$E$5:$E$26*Missions!$J$5:$J$26)+SUMPRODUCT((Missions!$F$5:$F$26="Gift Card")*(Missions!$A$5:$A$26="Silver")*(Missions!$D$5:$D$26="One-time")*'Affiliate Projection'!L20*Missions!$E$5:$E$26*Missions!$J$5:$J$26)+SUMPRODUCT((Missions!$F$5:$F$26="Gift Card")*(Missions!$A$5:$A$26="Silver")*(Missions!$D$5:$D$26&lt;&gt;"One-time")*'Affiliate Projection'!L14*Missions!$E$5:$E$26*Missions!$J$5:$J$26)+SUMPRODUCT((Missions!$F$5:$F$26="Gift Card")*(Missions!$A$5:$A$26="Gold")*(Missions!$D$5:$D$26="One-time")*'Affiliate Projection'!L21*Missions!$E$5:$E$26*Missions!$J$5:$J$26)+SUMPRODUCT((Missions!$F$5:$F$26="Gift Card")*(Missions!$A$5:$A$26="Gold")*(Missions!$D$5:$D$26&lt;&gt;"One-time")*'Affiliate Projection'!L15*Missions!$E$5:$E$26*Missions!$J$5:$J$26)+SUMPRODUCT((Missions!$F$5:$F$26="Gift Card")*(Missions!$A$5:$A$26="Platinum")*(Missions!$D$5:$D$26="One-time")*'Affiliate Projection'!L22*Missions!$E$5:$E$26*Missions!$J$5:$J$26)+SUMPRODUCT((Missions!$F$5:$F$26="Gift Card")*(Missions!$A$5:$A$26="Platinum")*(Missions!$D$5:$D$26&lt;&gt;"One-time")*'Affiliate Projection'!L16*Missions!$E$5:$E$26*Missions!$J$5:$J$26)+SUMPRODUCT((Missions!$F$5:$F$26="Gift Card")*(Missions!$A$5:$A$26="Diamond")*(Missions!$D$5:$D$26="One-time")*'Affiliate Projection'!L23*Missions!$E$5:$E$26*Missions!$J$5:$J$26)+SUMPRODUCT((Missions!$F$5:$F$26="Gift Card")*(Missions!$A$5:$A$26="Diamond")*(Missions!$D$5:$D$26&lt;&gt;"One-time")*'Affiliate Projection'!L17*Missions!$E$5:$E$26*Missions!$J$5:$J$26)</f>
        <v>5494.25</v>
      </c>
      <c r="M14" s="10">
        <f>SUMPRODUCT((Missions!$F$5:$F$26="Gift Card")*(Missions!$A$5:$A$26="Bronze")*(Missions!$D$5:$D$26="One-time")*'Affiliate Projection'!M19*Missions!$E$5:$E$26*Missions!$J$5:$J$26)+SUMPRODUCT((Missions!$F$5:$F$26="Gift Card")*(Missions!$A$5:$A$26="Bronze")*(Missions!$D$5:$D$26&lt;&gt;"One-time")*'Affiliate Projection'!M13*Missions!$E$5:$E$26*Missions!$J$5:$J$26)+SUMPRODUCT((Missions!$F$5:$F$26="Gift Card")*(Missions!$A$5:$A$26="Silver")*(Missions!$D$5:$D$26="One-time")*'Affiliate Projection'!M20*Missions!$E$5:$E$26*Missions!$J$5:$J$26)+SUMPRODUCT((Missions!$F$5:$F$26="Gift Card")*(Missions!$A$5:$A$26="Silver")*(Missions!$D$5:$D$26&lt;&gt;"One-time")*'Affiliate Projection'!M14*Missions!$E$5:$E$26*Missions!$J$5:$J$26)+SUMPRODUCT((Missions!$F$5:$F$26="Gift Card")*(Missions!$A$5:$A$26="Gold")*(Missions!$D$5:$D$26="One-time")*'Affiliate Projection'!M21*Missions!$E$5:$E$26*Missions!$J$5:$J$26)+SUMPRODUCT((Missions!$F$5:$F$26="Gift Card")*(Missions!$A$5:$A$26="Gold")*(Missions!$D$5:$D$26&lt;&gt;"One-time")*'Affiliate Projection'!M15*Missions!$E$5:$E$26*Missions!$J$5:$J$26)+SUMPRODUCT((Missions!$F$5:$F$26="Gift Card")*(Missions!$A$5:$A$26="Platinum")*(Missions!$D$5:$D$26="One-time")*'Affiliate Projection'!M22*Missions!$E$5:$E$26*Missions!$J$5:$J$26)+SUMPRODUCT((Missions!$F$5:$F$26="Gift Card")*(Missions!$A$5:$A$26="Platinum")*(Missions!$D$5:$D$26&lt;&gt;"One-time")*'Affiliate Projection'!M16*Missions!$E$5:$E$26*Missions!$J$5:$J$26)+SUMPRODUCT((Missions!$F$5:$F$26="Gift Card")*(Missions!$A$5:$A$26="Diamond")*(Missions!$D$5:$D$26="One-time")*'Affiliate Projection'!M23*Missions!$E$5:$E$26*Missions!$J$5:$J$26)+SUMPRODUCT((Missions!$F$5:$F$26="Gift Card")*(Missions!$A$5:$A$26="Diamond")*(Missions!$D$5:$D$26&lt;&gt;"One-time")*'Affiliate Projection'!M17*Missions!$E$5:$E$26*Missions!$J$5:$J$26)</f>
        <v>6326.75</v>
      </c>
    </row>
    <row r="15" spans="1:15" x14ac:dyDescent="0.25">
      <c r="A15" s="9" t="s">
        <v>204</v>
      </c>
      <c r="B15" s="10">
        <f t="shared" ref="B15:M15" si="1">B13+B14</f>
        <v>2057.5</v>
      </c>
      <c r="C15" s="10">
        <f t="shared" si="1"/>
        <v>2372.75</v>
      </c>
      <c r="D15" s="10">
        <f t="shared" si="1"/>
        <v>3034.75</v>
      </c>
      <c r="E15" s="10">
        <f t="shared" si="1"/>
        <v>4252.5</v>
      </c>
      <c r="F15" s="10">
        <f t="shared" si="1"/>
        <v>5072</v>
      </c>
      <c r="G15" s="10">
        <f t="shared" si="1"/>
        <v>6000</v>
      </c>
      <c r="H15" s="10">
        <f t="shared" si="1"/>
        <v>7377</v>
      </c>
      <c r="I15" s="10">
        <f t="shared" si="1"/>
        <v>8682.75</v>
      </c>
      <c r="J15" s="10">
        <f t="shared" si="1"/>
        <v>9570</v>
      </c>
      <c r="K15" s="10">
        <f t="shared" si="1"/>
        <v>11045</v>
      </c>
      <c r="L15" s="10">
        <f t="shared" si="1"/>
        <v>12494.25</v>
      </c>
      <c r="M15" s="10">
        <f t="shared" si="1"/>
        <v>14076.75</v>
      </c>
      <c r="O15" s="66"/>
    </row>
    <row r="16" spans="1:15" x14ac:dyDescent="0.25">
      <c r="A16" s="9" t="s">
        <v>205</v>
      </c>
      <c r="B16" s="11">
        <f t="shared" ref="B16:M16" si="2">B15</f>
        <v>2057.5</v>
      </c>
      <c r="C16" s="11">
        <f t="shared" si="2"/>
        <v>2372.75</v>
      </c>
      <c r="D16" s="11">
        <f t="shared" si="2"/>
        <v>3034.75</v>
      </c>
      <c r="E16" s="11">
        <f t="shared" si="2"/>
        <v>4252.5</v>
      </c>
      <c r="F16" s="11">
        <f t="shared" si="2"/>
        <v>5072</v>
      </c>
      <c r="G16" s="11">
        <f t="shared" si="2"/>
        <v>6000</v>
      </c>
      <c r="H16" s="11">
        <f t="shared" si="2"/>
        <v>7377</v>
      </c>
      <c r="I16" s="11">
        <f t="shared" si="2"/>
        <v>8682.75</v>
      </c>
      <c r="J16" s="11">
        <f t="shared" si="2"/>
        <v>9570</v>
      </c>
      <c r="K16" s="11">
        <f t="shared" si="2"/>
        <v>11045</v>
      </c>
      <c r="L16" s="11">
        <f t="shared" si="2"/>
        <v>12494.25</v>
      </c>
      <c r="M16" s="11">
        <f t="shared" si="2"/>
        <v>14076.75</v>
      </c>
    </row>
    <row r="17" spans="1:15" ht="18.75" customHeight="1" x14ac:dyDescent="0.25">
      <c r="A17" s="9"/>
    </row>
    <row r="18" spans="1:15" ht="16.5" hidden="1" customHeight="1" x14ac:dyDescent="0.25"/>
    <row r="19" spans="1:15" hidden="1" x14ac:dyDescent="0.25"/>
    <row r="20" spans="1:15" ht="18.75" customHeight="1" x14ac:dyDescent="0.3">
      <c r="A20" s="1" t="s">
        <v>206</v>
      </c>
    </row>
    <row r="21" spans="1:15" x14ac:dyDescent="0.25">
      <c r="A21" s="9" t="s">
        <v>207</v>
      </c>
      <c r="B21" s="11">
        <f t="shared" ref="B21:M21" si="3">B10+B16</f>
        <v>6302.4890505555559</v>
      </c>
      <c r="C21" s="11">
        <f t="shared" si="3"/>
        <v>10774.986060555557</v>
      </c>
      <c r="D21" s="11">
        <f t="shared" si="3"/>
        <v>16713.607143777779</v>
      </c>
      <c r="E21" s="11">
        <f t="shared" si="3"/>
        <v>25863.833510666671</v>
      </c>
      <c r="F21" s="11">
        <f t="shared" si="3"/>
        <v>35083.582569111109</v>
      </c>
      <c r="G21" s="11">
        <f t="shared" si="3"/>
        <v>45226.801776555563</v>
      </c>
      <c r="H21" s="11">
        <f t="shared" si="3"/>
        <v>58785.579141888906</v>
      </c>
      <c r="I21" s="11">
        <f t="shared" si="3"/>
        <v>73399.341436777788</v>
      </c>
      <c r="J21" s="11">
        <f t="shared" si="3"/>
        <v>87415.957511000015</v>
      </c>
      <c r="K21" s="11">
        <f t="shared" si="3"/>
        <v>104449.67529244446</v>
      </c>
      <c r="L21" s="11">
        <f t="shared" si="3"/>
        <v>122810.79151155557</v>
      </c>
      <c r="M21" s="11">
        <f t="shared" si="3"/>
        <v>143039.09002711112</v>
      </c>
      <c r="O21" s="66"/>
    </row>
    <row r="23" spans="1:15" ht="18.75" customHeight="1" x14ac:dyDescent="0.3">
      <c r="A23" s="67" t="s">
        <v>208</v>
      </c>
    </row>
    <row r="24" spans="1:15" ht="18.75" hidden="1" customHeight="1" x14ac:dyDescent="0.25">
      <c r="A24" s="68" t="s">
        <v>209</v>
      </c>
      <c r="B24" s="10" t="e">
        <f>'Affiliate Projection'!B19*'VIP Levels'!$B$45*'VIP Levels'!$C$45+'Affiliate Projection'!B20*'VIP Levels'!$B$46*'VIP Levels'!$C$46+'Affiliate Projection'!B21*'VIP Levels'!$B$47*'VIP Levels'!$C$47+'Affiliate Projection'!B22*'VIP Levels'!$B$48*'VIP Levels'!$C$48+'Affiliate Projection'!B23*'VIP Levels'!$K$19*'VIP Levels'!#REF!</f>
        <v>#REF!</v>
      </c>
      <c r="C24" s="10" t="e">
        <f>'Affiliate Projection'!C19*'VIP Levels'!$B$45*'VIP Levels'!$C$45+'Affiliate Projection'!C20*'VIP Levels'!$B$46*'VIP Levels'!$C$46+'Affiliate Projection'!C21*'VIP Levels'!$B$47*'VIP Levels'!$C$47+'Affiliate Projection'!C22*'VIP Levels'!$B$48*'VIP Levels'!$C$48+'Affiliate Projection'!C23*'VIP Levels'!$K$19*'VIP Levels'!#REF!</f>
        <v>#REF!</v>
      </c>
      <c r="D24" s="10" t="e">
        <f>'Affiliate Projection'!D19*'VIP Levels'!$B$45*'VIP Levels'!$C$45+'Affiliate Projection'!D20*'VIP Levels'!$B$46*'VIP Levels'!$C$46+'Affiliate Projection'!D21*'VIP Levels'!$B$47*'VIP Levels'!$C$47+'Affiliate Projection'!D22*'VIP Levels'!$B$48*'VIP Levels'!$C$48+'Affiliate Projection'!D23*'VIP Levels'!$K$19*'VIP Levels'!#REF!</f>
        <v>#REF!</v>
      </c>
      <c r="E24" s="10" t="e">
        <f>'Affiliate Projection'!E19*'VIP Levels'!$B$45*'VIP Levels'!$C$45+'Affiliate Projection'!E20*'VIP Levels'!$B$46*'VIP Levels'!$C$46+'Affiliate Projection'!E21*'VIP Levels'!$B$47*'VIP Levels'!$C$47+'Affiliate Projection'!E22*'VIP Levels'!$B$48*'VIP Levels'!$C$48+'Affiliate Projection'!E23*'VIP Levels'!$K$19*'VIP Levels'!#REF!</f>
        <v>#REF!</v>
      </c>
      <c r="F24" s="10" t="e">
        <f>'Affiliate Projection'!F19*'VIP Levels'!$B$45*'VIP Levels'!$C$45+'Affiliate Projection'!F20*'VIP Levels'!$B$46*'VIP Levels'!$C$46+'Affiliate Projection'!F21*'VIP Levels'!$B$47*'VIP Levels'!$C$47+'Affiliate Projection'!F22*'VIP Levels'!$B$48*'VIP Levels'!$C$48+'Affiliate Projection'!F23*'VIP Levels'!$K$19*'VIP Levels'!#REF!</f>
        <v>#REF!</v>
      </c>
      <c r="G24" s="10" t="e">
        <f>'Affiliate Projection'!G19*'VIP Levels'!$B$45*'VIP Levels'!$C$45+'Affiliate Projection'!G20*'VIP Levels'!$B$46*'VIP Levels'!$C$46+'Affiliate Projection'!G21*'VIP Levels'!$B$47*'VIP Levels'!$C$47+'Affiliate Projection'!G22*'VIP Levels'!$B$48*'VIP Levels'!$C$48+'Affiliate Projection'!G23*'VIP Levels'!$K$19*'VIP Levels'!#REF!</f>
        <v>#REF!</v>
      </c>
      <c r="H24" s="10" t="e">
        <f>'Affiliate Projection'!H19*'VIP Levels'!$B$45*'VIP Levels'!$C$45+'Affiliate Projection'!H20*'VIP Levels'!$B$46*'VIP Levels'!$C$46+'Affiliate Projection'!H21*'VIP Levels'!$B$47*'VIP Levels'!$C$47+'Affiliate Projection'!H22*'VIP Levels'!$B$48*'VIP Levels'!$C$48+'Affiliate Projection'!H23*'VIP Levels'!$K$19*'VIP Levels'!#REF!</f>
        <v>#REF!</v>
      </c>
      <c r="I24" s="10" t="e">
        <f>'Affiliate Projection'!I19*'VIP Levels'!$B$45*'VIP Levels'!$C$45+'Affiliate Projection'!I20*'VIP Levels'!$B$46*'VIP Levels'!$C$46+'Affiliate Projection'!I21*'VIP Levels'!$B$47*'VIP Levels'!$C$47+'Affiliate Projection'!I22*'VIP Levels'!$B$48*'VIP Levels'!$C$48+'Affiliate Projection'!I23*'VIP Levels'!$K$19*'VIP Levels'!#REF!</f>
        <v>#REF!</v>
      </c>
      <c r="J24" s="10" t="e">
        <f>'Affiliate Projection'!J19*'VIP Levels'!$B$45*'VIP Levels'!$C$45+'Affiliate Projection'!J20*'VIP Levels'!$B$46*'VIP Levels'!$C$46+'Affiliate Projection'!J21*'VIP Levels'!$B$47*'VIP Levels'!$C$47+'Affiliate Projection'!J22*'VIP Levels'!$B$48*'VIP Levels'!$C$48+'Affiliate Projection'!J23*'VIP Levels'!$K$19*'VIP Levels'!#REF!</f>
        <v>#REF!</v>
      </c>
      <c r="K24" s="10" t="e">
        <f>'Affiliate Projection'!K19*'VIP Levels'!$B$45*'VIP Levels'!$C$45+'Affiliate Projection'!K20*'VIP Levels'!$B$46*'VIP Levels'!$C$46+'Affiliate Projection'!K21*'VIP Levels'!$B$47*'VIP Levels'!$C$47+'Affiliate Projection'!K22*'VIP Levels'!$B$48*'VIP Levels'!$C$48+'Affiliate Projection'!K23*'VIP Levels'!$K$19*'VIP Levels'!#REF!</f>
        <v>#REF!</v>
      </c>
      <c r="L24" s="10" t="e">
        <f>'Affiliate Projection'!L19*'VIP Levels'!$B$45*'VIP Levels'!$C$45+'Affiliate Projection'!L20*'VIP Levels'!$B$46*'VIP Levels'!$C$46+'Affiliate Projection'!L21*'VIP Levels'!$B$47*'VIP Levels'!$C$47+'Affiliate Projection'!L22*'VIP Levels'!$B$48*'VIP Levels'!$C$48+'Affiliate Projection'!L23*'VIP Levels'!$K$19*'VIP Levels'!#REF!</f>
        <v>#REF!</v>
      </c>
      <c r="M24" s="10" t="e">
        <f>'Affiliate Projection'!M19*'VIP Levels'!$B$45*'VIP Levels'!$C$45+'Affiliate Projection'!M20*'VIP Levels'!$B$46*'VIP Levels'!$C$46+'Affiliate Projection'!M21*'VIP Levels'!$B$47*'VIP Levels'!$C$47+'Affiliate Projection'!M22*'VIP Levels'!$B$48*'VIP Levels'!$C$48+'Affiliate Projection'!M23*'VIP Levels'!$K$19*'VIP Levels'!#REF!</f>
        <v>#REF!</v>
      </c>
    </row>
    <row r="25" spans="1:15" ht="18.75" hidden="1" customHeight="1" x14ac:dyDescent="0.25">
      <c r="A25" s="68" t="s">
        <v>210</v>
      </c>
      <c r="B25" s="10">
        <f>SUMPRODUCT((Missions!$F$5:$F$26="Spark Ads")*(Missions!$A$5:$A$26="Bronze")*(Missions!$D$5:$D$26="One-time")*'Affiliate Projection'!B19*Missions!$E$5:$E$26*Missions!$J$5:$J$26)+SUMPRODUCT((Missions!$F$5:$F$26="Spark Ads")*(Missions!$A$5:$A$26="Bronze")*(Missions!$D$5:$D$26&lt;&gt;"One-time")*'Affiliate Projection'!B13*Missions!$E$5:$E$26*Missions!$J$5:$J$26)+SUMPRODUCT((Missions!$F$5:$F$26="Spark Ads")*(Missions!$A$5:$A$26="Silver")*(Missions!$D$5:$D$26="One-time")*'Affiliate Projection'!B20*Missions!$E$5:$E$26*Missions!$J$5:$J$26)+SUMPRODUCT((Missions!$F$5:$F$26="Spark Ads")*(Missions!$A$5:$A$26="Silver")*(Missions!$D$5:$D$26&lt;&gt;"One-time")*'Affiliate Projection'!B14*Missions!$E$5:$E$26*Missions!$J$5:$J$26)+SUMPRODUCT((Missions!$F$5:$F$26="Spark Ads")*(Missions!$A$5:$A$26="Gold")*(Missions!$D$5:$D$26="One-time")*'Affiliate Projection'!B21*Missions!$E$5:$E$26*Missions!$J$5:$J$26)+SUMPRODUCT((Missions!$F$5:$F$26="Spark Ads")*(Missions!$A$5:$A$26="Gold")*(Missions!$D$5:$D$26&lt;&gt;"One-time")*'Affiliate Projection'!B15*Missions!$E$5:$E$26*Missions!$J$5:$J$26)+SUMPRODUCT((Missions!$F$5:$F$26="Spark Ads")*(Missions!$A$5:$A$26="Platinum")*(Missions!$D$5:$D$26="One-time")*'Affiliate Projection'!B22*Missions!$E$5:$E$26*Missions!$J$5:$J$26)+SUMPRODUCT((Missions!$F$5:$F$26="Spark Ads")*(Missions!$A$5:$A$26="Platinum")*(Missions!$D$5:$D$26&lt;&gt;"One-time")*'Affiliate Projection'!B16*Missions!$E$5:$E$26*Missions!$J$5:$J$26)+SUMPRODUCT((Missions!$F$5:$F$26="Spark Ads")*(Missions!$A$5:$A$26="Diamond")*(Missions!$D$5:$D$26="One-time")*'Affiliate Projection'!B23*Missions!$E$5:$E$26*Missions!$J$5:$J$26)+SUMPRODUCT((Missions!$F$5:$F$26="Spark Ads")*(Missions!$A$5:$A$26="Diamond")*(Missions!$D$5:$D$26&lt;&gt;"One-time")*'Affiliate Projection'!B17*Missions!$E$5:$E$26*Missions!$J$5:$J$26)</f>
        <v>0</v>
      </c>
      <c r="C25" s="10">
        <f>SUMPRODUCT((Missions!$F$5:$F$26="Spark Ads")*(Missions!$A$5:$A$26="Bronze")*(Missions!$D$5:$D$26="One-time")*'Affiliate Projection'!C19*Missions!$E$5:$E$26*Missions!$J$5:$J$26)+SUMPRODUCT((Missions!$F$5:$F$26="Spark Ads")*(Missions!$A$5:$A$26="Bronze")*(Missions!$D$5:$D$26&lt;&gt;"One-time")*'Affiliate Projection'!C13*Missions!$E$5:$E$26*Missions!$J$5:$J$26)+SUMPRODUCT((Missions!$F$5:$F$26="Spark Ads")*(Missions!$A$5:$A$26="Silver")*(Missions!$D$5:$D$26="One-time")*'Affiliate Projection'!C20*Missions!$E$5:$E$26*Missions!$J$5:$J$26)+SUMPRODUCT((Missions!$F$5:$F$26="Spark Ads")*(Missions!$A$5:$A$26="Silver")*(Missions!$D$5:$D$26&lt;&gt;"One-time")*'Affiliate Projection'!C14*Missions!$E$5:$E$26*Missions!$J$5:$J$26)+SUMPRODUCT((Missions!$F$5:$F$26="Spark Ads")*(Missions!$A$5:$A$26="Gold")*(Missions!$D$5:$D$26="One-time")*'Affiliate Projection'!C21*Missions!$E$5:$E$26*Missions!$J$5:$J$26)+SUMPRODUCT((Missions!$F$5:$F$26="Spark Ads")*(Missions!$A$5:$A$26="Gold")*(Missions!$D$5:$D$26&lt;&gt;"One-time")*'Affiliate Projection'!C15*Missions!$E$5:$E$26*Missions!$J$5:$J$26)+SUMPRODUCT((Missions!$F$5:$F$26="Spark Ads")*(Missions!$A$5:$A$26="Platinum")*(Missions!$D$5:$D$26="One-time")*'Affiliate Projection'!C22*Missions!$E$5:$E$26*Missions!$J$5:$J$26)+SUMPRODUCT((Missions!$F$5:$F$26="Spark Ads")*(Missions!$A$5:$A$26="Platinum")*(Missions!$D$5:$D$26&lt;&gt;"One-time")*'Affiliate Projection'!C16*Missions!$E$5:$E$26*Missions!$J$5:$J$26)+SUMPRODUCT((Missions!$F$5:$F$26="Spark Ads")*(Missions!$A$5:$A$26="Diamond")*(Missions!$D$5:$D$26="One-time")*'Affiliate Projection'!C23*Missions!$E$5:$E$26*Missions!$J$5:$J$26)+SUMPRODUCT((Missions!$F$5:$F$26="Spark Ads")*(Missions!$A$5:$A$26="Diamond")*(Missions!$D$5:$D$26&lt;&gt;"One-time")*'Affiliate Projection'!C17*Missions!$E$5:$E$26*Missions!$J$5:$J$26)</f>
        <v>0</v>
      </c>
      <c r="D25" s="10">
        <f>SUMPRODUCT((Missions!$F$5:$F$26="Spark Ads")*(Missions!$A$5:$A$26="Bronze")*(Missions!$D$5:$D$26="One-time")*'Affiliate Projection'!D19*Missions!$E$5:$E$26*Missions!$J$5:$J$26)+SUMPRODUCT((Missions!$F$5:$F$26="Spark Ads")*(Missions!$A$5:$A$26="Bronze")*(Missions!$D$5:$D$26&lt;&gt;"One-time")*'Affiliate Projection'!D13*Missions!$E$5:$E$26*Missions!$J$5:$J$26)+SUMPRODUCT((Missions!$F$5:$F$26="Spark Ads")*(Missions!$A$5:$A$26="Silver")*(Missions!$D$5:$D$26="One-time")*'Affiliate Projection'!D20*Missions!$E$5:$E$26*Missions!$J$5:$J$26)+SUMPRODUCT((Missions!$F$5:$F$26="Spark Ads")*(Missions!$A$5:$A$26="Silver")*(Missions!$D$5:$D$26&lt;&gt;"One-time")*'Affiliate Projection'!D14*Missions!$E$5:$E$26*Missions!$J$5:$J$26)+SUMPRODUCT((Missions!$F$5:$F$26="Spark Ads")*(Missions!$A$5:$A$26="Gold")*(Missions!$D$5:$D$26="One-time")*'Affiliate Projection'!D21*Missions!$E$5:$E$26*Missions!$J$5:$J$26)+SUMPRODUCT((Missions!$F$5:$F$26="Spark Ads")*(Missions!$A$5:$A$26="Gold")*(Missions!$D$5:$D$26&lt;&gt;"One-time")*'Affiliate Projection'!D15*Missions!$E$5:$E$26*Missions!$J$5:$J$26)+SUMPRODUCT((Missions!$F$5:$F$26="Spark Ads")*(Missions!$A$5:$A$26="Platinum")*(Missions!$D$5:$D$26="One-time")*'Affiliate Projection'!D22*Missions!$E$5:$E$26*Missions!$J$5:$J$26)+SUMPRODUCT((Missions!$F$5:$F$26="Spark Ads")*(Missions!$A$5:$A$26="Platinum")*(Missions!$D$5:$D$26&lt;&gt;"One-time")*'Affiliate Projection'!D16*Missions!$E$5:$E$26*Missions!$J$5:$J$26)+SUMPRODUCT((Missions!$F$5:$F$26="Spark Ads")*(Missions!$A$5:$A$26="Diamond")*(Missions!$D$5:$D$26="One-time")*'Affiliate Projection'!D23*Missions!$E$5:$E$26*Missions!$J$5:$J$26)+SUMPRODUCT((Missions!$F$5:$F$26="Spark Ads")*(Missions!$A$5:$A$26="Diamond")*(Missions!$D$5:$D$26&lt;&gt;"One-time")*'Affiliate Projection'!D17*Missions!$E$5:$E$26*Missions!$J$5:$J$26)</f>
        <v>0</v>
      </c>
      <c r="E25" s="10">
        <f>SUMPRODUCT((Missions!$F$5:$F$26="Spark Ads")*(Missions!$A$5:$A$26="Bronze")*(Missions!$D$5:$D$26="One-time")*'Affiliate Projection'!E19*Missions!$E$5:$E$26*Missions!$J$5:$J$26)+SUMPRODUCT((Missions!$F$5:$F$26="Spark Ads")*(Missions!$A$5:$A$26="Bronze")*(Missions!$D$5:$D$26&lt;&gt;"One-time")*'Affiliate Projection'!E13*Missions!$E$5:$E$26*Missions!$J$5:$J$26)+SUMPRODUCT((Missions!$F$5:$F$26="Spark Ads")*(Missions!$A$5:$A$26="Silver")*(Missions!$D$5:$D$26="One-time")*'Affiliate Projection'!E20*Missions!$E$5:$E$26*Missions!$J$5:$J$26)+SUMPRODUCT((Missions!$F$5:$F$26="Spark Ads")*(Missions!$A$5:$A$26="Silver")*(Missions!$D$5:$D$26&lt;&gt;"One-time")*'Affiliate Projection'!E14*Missions!$E$5:$E$26*Missions!$J$5:$J$26)+SUMPRODUCT((Missions!$F$5:$F$26="Spark Ads")*(Missions!$A$5:$A$26="Gold")*(Missions!$D$5:$D$26="One-time")*'Affiliate Projection'!E21*Missions!$E$5:$E$26*Missions!$J$5:$J$26)+SUMPRODUCT((Missions!$F$5:$F$26="Spark Ads")*(Missions!$A$5:$A$26="Gold")*(Missions!$D$5:$D$26&lt;&gt;"One-time")*'Affiliate Projection'!E15*Missions!$E$5:$E$26*Missions!$J$5:$J$26)+SUMPRODUCT((Missions!$F$5:$F$26="Spark Ads")*(Missions!$A$5:$A$26="Platinum")*(Missions!$D$5:$D$26="One-time")*'Affiliate Projection'!E22*Missions!$E$5:$E$26*Missions!$J$5:$J$26)+SUMPRODUCT((Missions!$F$5:$F$26="Spark Ads")*(Missions!$A$5:$A$26="Platinum")*(Missions!$D$5:$D$26&lt;&gt;"One-time")*'Affiliate Projection'!E16*Missions!$E$5:$E$26*Missions!$J$5:$J$26)+SUMPRODUCT((Missions!$F$5:$F$26="Spark Ads")*(Missions!$A$5:$A$26="Diamond")*(Missions!$D$5:$D$26="One-time")*'Affiliate Projection'!E23*Missions!$E$5:$E$26*Missions!$J$5:$J$26)+SUMPRODUCT((Missions!$F$5:$F$26="Spark Ads")*(Missions!$A$5:$A$26="Diamond")*(Missions!$D$5:$D$26&lt;&gt;"One-time")*'Affiliate Projection'!E17*Missions!$E$5:$E$26*Missions!$J$5:$J$26)</f>
        <v>0</v>
      </c>
      <c r="F25" s="10">
        <f>SUMPRODUCT((Missions!$F$5:$F$26="Spark Ads")*(Missions!$A$5:$A$26="Bronze")*(Missions!$D$5:$D$26="One-time")*'Affiliate Projection'!F19*Missions!$E$5:$E$26*Missions!$J$5:$J$26)+SUMPRODUCT((Missions!$F$5:$F$26="Spark Ads")*(Missions!$A$5:$A$26="Bronze")*(Missions!$D$5:$D$26&lt;&gt;"One-time")*'Affiliate Projection'!F13*Missions!$E$5:$E$26*Missions!$J$5:$J$26)+SUMPRODUCT((Missions!$F$5:$F$26="Spark Ads")*(Missions!$A$5:$A$26="Silver")*(Missions!$D$5:$D$26="One-time")*'Affiliate Projection'!F20*Missions!$E$5:$E$26*Missions!$J$5:$J$26)+SUMPRODUCT((Missions!$F$5:$F$26="Spark Ads")*(Missions!$A$5:$A$26="Silver")*(Missions!$D$5:$D$26&lt;&gt;"One-time")*'Affiliate Projection'!F14*Missions!$E$5:$E$26*Missions!$J$5:$J$26)+SUMPRODUCT((Missions!$F$5:$F$26="Spark Ads")*(Missions!$A$5:$A$26="Gold")*(Missions!$D$5:$D$26="One-time")*'Affiliate Projection'!F21*Missions!$E$5:$E$26*Missions!$J$5:$J$26)+SUMPRODUCT((Missions!$F$5:$F$26="Spark Ads")*(Missions!$A$5:$A$26="Gold")*(Missions!$D$5:$D$26&lt;&gt;"One-time")*'Affiliate Projection'!F15*Missions!$E$5:$E$26*Missions!$J$5:$J$26)+SUMPRODUCT((Missions!$F$5:$F$26="Spark Ads")*(Missions!$A$5:$A$26="Platinum")*(Missions!$D$5:$D$26="One-time")*'Affiliate Projection'!F22*Missions!$E$5:$E$26*Missions!$J$5:$J$26)+SUMPRODUCT((Missions!$F$5:$F$26="Spark Ads")*(Missions!$A$5:$A$26="Platinum")*(Missions!$D$5:$D$26&lt;&gt;"One-time")*'Affiliate Projection'!F16*Missions!$E$5:$E$26*Missions!$J$5:$J$26)+SUMPRODUCT((Missions!$F$5:$F$26="Spark Ads")*(Missions!$A$5:$A$26="Diamond")*(Missions!$D$5:$D$26="One-time")*'Affiliate Projection'!F23*Missions!$E$5:$E$26*Missions!$J$5:$J$26)+SUMPRODUCT((Missions!$F$5:$F$26="Spark Ads")*(Missions!$A$5:$A$26="Diamond")*(Missions!$D$5:$D$26&lt;&gt;"One-time")*'Affiliate Projection'!F17*Missions!$E$5:$E$26*Missions!$J$5:$J$26)</f>
        <v>0</v>
      </c>
      <c r="G25" s="10">
        <f>SUMPRODUCT((Missions!$F$5:$F$26="Spark Ads")*(Missions!$A$5:$A$26="Bronze")*(Missions!$D$5:$D$26="One-time")*'Affiliate Projection'!G19*Missions!$E$5:$E$26*Missions!$J$5:$J$26)+SUMPRODUCT((Missions!$F$5:$F$26="Spark Ads")*(Missions!$A$5:$A$26="Bronze")*(Missions!$D$5:$D$26&lt;&gt;"One-time")*'Affiliate Projection'!G13*Missions!$E$5:$E$26*Missions!$J$5:$J$26)+SUMPRODUCT((Missions!$F$5:$F$26="Spark Ads")*(Missions!$A$5:$A$26="Silver")*(Missions!$D$5:$D$26="One-time")*'Affiliate Projection'!G20*Missions!$E$5:$E$26*Missions!$J$5:$J$26)+SUMPRODUCT((Missions!$F$5:$F$26="Spark Ads")*(Missions!$A$5:$A$26="Silver")*(Missions!$D$5:$D$26&lt;&gt;"One-time")*'Affiliate Projection'!G14*Missions!$E$5:$E$26*Missions!$J$5:$J$26)+SUMPRODUCT((Missions!$F$5:$F$26="Spark Ads")*(Missions!$A$5:$A$26="Gold")*(Missions!$D$5:$D$26="One-time")*'Affiliate Projection'!G21*Missions!$E$5:$E$26*Missions!$J$5:$J$26)+SUMPRODUCT((Missions!$F$5:$F$26="Spark Ads")*(Missions!$A$5:$A$26="Gold")*(Missions!$D$5:$D$26&lt;&gt;"One-time")*'Affiliate Projection'!G15*Missions!$E$5:$E$26*Missions!$J$5:$J$26)+SUMPRODUCT((Missions!$F$5:$F$26="Spark Ads")*(Missions!$A$5:$A$26="Platinum")*(Missions!$D$5:$D$26="One-time")*'Affiliate Projection'!G22*Missions!$E$5:$E$26*Missions!$J$5:$J$26)+SUMPRODUCT((Missions!$F$5:$F$26="Spark Ads")*(Missions!$A$5:$A$26="Platinum")*(Missions!$D$5:$D$26&lt;&gt;"One-time")*'Affiliate Projection'!G16*Missions!$E$5:$E$26*Missions!$J$5:$J$26)+SUMPRODUCT((Missions!$F$5:$F$26="Spark Ads")*(Missions!$A$5:$A$26="Diamond")*(Missions!$D$5:$D$26="One-time")*'Affiliate Projection'!G23*Missions!$E$5:$E$26*Missions!$J$5:$J$26)+SUMPRODUCT((Missions!$F$5:$F$26="Spark Ads")*(Missions!$A$5:$A$26="Diamond")*(Missions!$D$5:$D$26&lt;&gt;"One-time")*'Affiliate Projection'!G17*Missions!$E$5:$E$26*Missions!$J$5:$J$26)</f>
        <v>0</v>
      </c>
      <c r="H25" s="10">
        <f>SUMPRODUCT((Missions!$F$5:$F$26="Spark Ads")*(Missions!$A$5:$A$26="Bronze")*(Missions!$D$5:$D$26="One-time")*'Affiliate Projection'!H19*Missions!$E$5:$E$26*Missions!$J$5:$J$26)+SUMPRODUCT((Missions!$F$5:$F$26="Spark Ads")*(Missions!$A$5:$A$26="Bronze")*(Missions!$D$5:$D$26&lt;&gt;"One-time")*'Affiliate Projection'!H13*Missions!$E$5:$E$26*Missions!$J$5:$J$26)+SUMPRODUCT((Missions!$F$5:$F$26="Spark Ads")*(Missions!$A$5:$A$26="Silver")*(Missions!$D$5:$D$26="One-time")*'Affiliate Projection'!H20*Missions!$E$5:$E$26*Missions!$J$5:$J$26)+SUMPRODUCT((Missions!$F$5:$F$26="Spark Ads")*(Missions!$A$5:$A$26="Silver")*(Missions!$D$5:$D$26&lt;&gt;"One-time")*'Affiliate Projection'!H14*Missions!$E$5:$E$26*Missions!$J$5:$J$26)+SUMPRODUCT((Missions!$F$5:$F$26="Spark Ads")*(Missions!$A$5:$A$26="Gold")*(Missions!$D$5:$D$26="One-time")*'Affiliate Projection'!H21*Missions!$E$5:$E$26*Missions!$J$5:$J$26)+SUMPRODUCT((Missions!$F$5:$F$26="Spark Ads")*(Missions!$A$5:$A$26="Gold")*(Missions!$D$5:$D$26&lt;&gt;"One-time")*'Affiliate Projection'!H15*Missions!$E$5:$E$26*Missions!$J$5:$J$26)+SUMPRODUCT((Missions!$F$5:$F$26="Spark Ads")*(Missions!$A$5:$A$26="Platinum")*(Missions!$D$5:$D$26="One-time")*'Affiliate Projection'!H22*Missions!$E$5:$E$26*Missions!$J$5:$J$26)+SUMPRODUCT((Missions!$F$5:$F$26="Spark Ads")*(Missions!$A$5:$A$26="Platinum")*(Missions!$D$5:$D$26&lt;&gt;"One-time")*'Affiliate Projection'!H16*Missions!$E$5:$E$26*Missions!$J$5:$J$26)+SUMPRODUCT((Missions!$F$5:$F$26="Spark Ads")*(Missions!$A$5:$A$26="Diamond")*(Missions!$D$5:$D$26="One-time")*'Affiliate Projection'!H23*Missions!$E$5:$E$26*Missions!$J$5:$J$26)+SUMPRODUCT((Missions!$F$5:$F$26="Spark Ads")*(Missions!$A$5:$A$26="Diamond")*(Missions!$D$5:$D$26&lt;&gt;"One-time")*'Affiliate Projection'!H17*Missions!$E$5:$E$26*Missions!$J$5:$J$26)</f>
        <v>0</v>
      </c>
      <c r="I25" s="10">
        <f>SUMPRODUCT((Missions!$F$5:$F$26="Spark Ads")*(Missions!$A$5:$A$26="Bronze")*(Missions!$D$5:$D$26="One-time")*'Affiliate Projection'!I19*Missions!$E$5:$E$26*Missions!$J$5:$J$26)+SUMPRODUCT((Missions!$F$5:$F$26="Spark Ads")*(Missions!$A$5:$A$26="Bronze")*(Missions!$D$5:$D$26&lt;&gt;"One-time")*'Affiliate Projection'!I13*Missions!$E$5:$E$26*Missions!$J$5:$J$26)+SUMPRODUCT((Missions!$F$5:$F$26="Spark Ads")*(Missions!$A$5:$A$26="Silver")*(Missions!$D$5:$D$26="One-time")*'Affiliate Projection'!I20*Missions!$E$5:$E$26*Missions!$J$5:$J$26)+SUMPRODUCT((Missions!$F$5:$F$26="Spark Ads")*(Missions!$A$5:$A$26="Silver")*(Missions!$D$5:$D$26&lt;&gt;"One-time")*'Affiliate Projection'!I14*Missions!$E$5:$E$26*Missions!$J$5:$J$26)+SUMPRODUCT((Missions!$F$5:$F$26="Spark Ads")*(Missions!$A$5:$A$26="Gold")*(Missions!$D$5:$D$26="One-time")*'Affiliate Projection'!I21*Missions!$E$5:$E$26*Missions!$J$5:$J$26)+SUMPRODUCT((Missions!$F$5:$F$26="Spark Ads")*(Missions!$A$5:$A$26="Gold")*(Missions!$D$5:$D$26&lt;&gt;"One-time")*'Affiliate Projection'!I15*Missions!$E$5:$E$26*Missions!$J$5:$J$26)+SUMPRODUCT((Missions!$F$5:$F$26="Spark Ads")*(Missions!$A$5:$A$26="Platinum")*(Missions!$D$5:$D$26="One-time")*'Affiliate Projection'!I22*Missions!$E$5:$E$26*Missions!$J$5:$J$26)+SUMPRODUCT((Missions!$F$5:$F$26="Spark Ads")*(Missions!$A$5:$A$26="Platinum")*(Missions!$D$5:$D$26&lt;&gt;"One-time")*'Affiliate Projection'!I16*Missions!$E$5:$E$26*Missions!$J$5:$J$26)+SUMPRODUCT((Missions!$F$5:$F$26="Spark Ads")*(Missions!$A$5:$A$26="Diamond")*(Missions!$D$5:$D$26="One-time")*'Affiliate Projection'!I23*Missions!$E$5:$E$26*Missions!$J$5:$J$26)+SUMPRODUCT((Missions!$F$5:$F$26="Spark Ads")*(Missions!$A$5:$A$26="Diamond")*(Missions!$D$5:$D$26&lt;&gt;"One-time")*'Affiliate Projection'!I17*Missions!$E$5:$E$26*Missions!$J$5:$J$26)</f>
        <v>0</v>
      </c>
      <c r="J25" s="10">
        <f>SUMPRODUCT((Missions!$F$5:$F$26="Spark Ads")*(Missions!$A$5:$A$26="Bronze")*(Missions!$D$5:$D$26="One-time")*'Affiliate Projection'!J19*Missions!$E$5:$E$26*Missions!$J$5:$J$26)+SUMPRODUCT((Missions!$F$5:$F$26="Spark Ads")*(Missions!$A$5:$A$26="Bronze")*(Missions!$D$5:$D$26&lt;&gt;"One-time")*'Affiliate Projection'!J13*Missions!$E$5:$E$26*Missions!$J$5:$J$26)+SUMPRODUCT((Missions!$F$5:$F$26="Spark Ads")*(Missions!$A$5:$A$26="Silver")*(Missions!$D$5:$D$26="One-time")*'Affiliate Projection'!J20*Missions!$E$5:$E$26*Missions!$J$5:$J$26)+SUMPRODUCT((Missions!$F$5:$F$26="Spark Ads")*(Missions!$A$5:$A$26="Silver")*(Missions!$D$5:$D$26&lt;&gt;"One-time")*'Affiliate Projection'!J14*Missions!$E$5:$E$26*Missions!$J$5:$J$26)+SUMPRODUCT((Missions!$F$5:$F$26="Spark Ads")*(Missions!$A$5:$A$26="Gold")*(Missions!$D$5:$D$26="One-time")*'Affiliate Projection'!J21*Missions!$E$5:$E$26*Missions!$J$5:$J$26)+SUMPRODUCT((Missions!$F$5:$F$26="Spark Ads")*(Missions!$A$5:$A$26="Gold")*(Missions!$D$5:$D$26&lt;&gt;"One-time")*'Affiliate Projection'!J15*Missions!$E$5:$E$26*Missions!$J$5:$J$26)+SUMPRODUCT((Missions!$F$5:$F$26="Spark Ads")*(Missions!$A$5:$A$26="Platinum")*(Missions!$D$5:$D$26="One-time")*'Affiliate Projection'!J22*Missions!$E$5:$E$26*Missions!$J$5:$J$26)+SUMPRODUCT((Missions!$F$5:$F$26="Spark Ads")*(Missions!$A$5:$A$26="Platinum")*(Missions!$D$5:$D$26&lt;&gt;"One-time")*'Affiliate Projection'!J16*Missions!$E$5:$E$26*Missions!$J$5:$J$26)+SUMPRODUCT((Missions!$F$5:$F$26="Spark Ads")*(Missions!$A$5:$A$26="Diamond")*(Missions!$D$5:$D$26="One-time")*'Affiliate Projection'!J23*Missions!$E$5:$E$26*Missions!$J$5:$J$26)+SUMPRODUCT((Missions!$F$5:$F$26="Spark Ads")*(Missions!$A$5:$A$26="Diamond")*(Missions!$D$5:$D$26&lt;&gt;"One-time")*'Affiliate Projection'!J17*Missions!$E$5:$E$26*Missions!$J$5:$J$26)</f>
        <v>0</v>
      </c>
      <c r="K25" s="10">
        <f>SUMPRODUCT((Missions!$F$5:$F$26="Spark Ads")*(Missions!$A$5:$A$26="Bronze")*(Missions!$D$5:$D$26="One-time")*'Affiliate Projection'!K19*Missions!$E$5:$E$26*Missions!$J$5:$J$26)+SUMPRODUCT((Missions!$F$5:$F$26="Spark Ads")*(Missions!$A$5:$A$26="Bronze")*(Missions!$D$5:$D$26&lt;&gt;"One-time")*'Affiliate Projection'!K13*Missions!$E$5:$E$26*Missions!$J$5:$J$26)+SUMPRODUCT((Missions!$F$5:$F$26="Spark Ads")*(Missions!$A$5:$A$26="Silver")*(Missions!$D$5:$D$26="One-time")*'Affiliate Projection'!K20*Missions!$E$5:$E$26*Missions!$J$5:$J$26)+SUMPRODUCT((Missions!$F$5:$F$26="Spark Ads")*(Missions!$A$5:$A$26="Silver")*(Missions!$D$5:$D$26&lt;&gt;"One-time")*'Affiliate Projection'!K14*Missions!$E$5:$E$26*Missions!$J$5:$J$26)+SUMPRODUCT((Missions!$F$5:$F$26="Spark Ads")*(Missions!$A$5:$A$26="Gold")*(Missions!$D$5:$D$26="One-time")*'Affiliate Projection'!K21*Missions!$E$5:$E$26*Missions!$J$5:$J$26)+SUMPRODUCT((Missions!$F$5:$F$26="Spark Ads")*(Missions!$A$5:$A$26="Gold")*(Missions!$D$5:$D$26&lt;&gt;"One-time")*'Affiliate Projection'!K15*Missions!$E$5:$E$26*Missions!$J$5:$J$26)+SUMPRODUCT((Missions!$F$5:$F$26="Spark Ads")*(Missions!$A$5:$A$26="Platinum")*(Missions!$D$5:$D$26="One-time")*'Affiliate Projection'!K22*Missions!$E$5:$E$26*Missions!$J$5:$J$26)+SUMPRODUCT((Missions!$F$5:$F$26="Spark Ads")*(Missions!$A$5:$A$26="Platinum")*(Missions!$D$5:$D$26&lt;&gt;"One-time")*'Affiliate Projection'!K16*Missions!$E$5:$E$26*Missions!$J$5:$J$26)+SUMPRODUCT((Missions!$F$5:$F$26="Spark Ads")*(Missions!$A$5:$A$26="Diamond")*(Missions!$D$5:$D$26="One-time")*'Affiliate Projection'!K23*Missions!$E$5:$E$26*Missions!$J$5:$J$26)+SUMPRODUCT((Missions!$F$5:$F$26="Spark Ads")*(Missions!$A$5:$A$26="Diamond")*(Missions!$D$5:$D$26&lt;&gt;"One-time")*'Affiliate Projection'!K17*Missions!$E$5:$E$26*Missions!$J$5:$J$26)</f>
        <v>0</v>
      </c>
      <c r="L25" s="10">
        <f>SUMPRODUCT((Missions!$F$5:$F$26="Spark Ads")*(Missions!$A$5:$A$26="Bronze")*(Missions!$D$5:$D$26="One-time")*'Affiliate Projection'!L19*Missions!$E$5:$E$26*Missions!$J$5:$J$26)+SUMPRODUCT((Missions!$F$5:$F$26="Spark Ads")*(Missions!$A$5:$A$26="Bronze")*(Missions!$D$5:$D$26&lt;&gt;"One-time")*'Affiliate Projection'!L13*Missions!$E$5:$E$26*Missions!$J$5:$J$26)+SUMPRODUCT((Missions!$F$5:$F$26="Spark Ads")*(Missions!$A$5:$A$26="Silver")*(Missions!$D$5:$D$26="One-time")*'Affiliate Projection'!L20*Missions!$E$5:$E$26*Missions!$J$5:$J$26)+SUMPRODUCT((Missions!$F$5:$F$26="Spark Ads")*(Missions!$A$5:$A$26="Silver")*(Missions!$D$5:$D$26&lt;&gt;"One-time")*'Affiliate Projection'!L14*Missions!$E$5:$E$26*Missions!$J$5:$J$26)+SUMPRODUCT((Missions!$F$5:$F$26="Spark Ads")*(Missions!$A$5:$A$26="Gold")*(Missions!$D$5:$D$26="One-time")*'Affiliate Projection'!L21*Missions!$E$5:$E$26*Missions!$J$5:$J$26)+SUMPRODUCT((Missions!$F$5:$F$26="Spark Ads")*(Missions!$A$5:$A$26="Gold")*(Missions!$D$5:$D$26&lt;&gt;"One-time")*'Affiliate Projection'!L15*Missions!$E$5:$E$26*Missions!$J$5:$J$26)+SUMPRODUCT((Missions!$F$5:$F$26="Spark Ads")*(Missions!$A$5:$A$26="Platinum")*(Missions!$D$5:$D$26="One-time")*'Affiliate Projection'!L22*Missions!$E$5:$E$26*Missions!$J$5:$J$26)+SUMPRODUCT((Missions!$F$5:$F$26="Spark Ads")*(Missions!$A$5:$A$26="Platinum")*(Missions!$D$5:$D$26&lt;&gt;"One-time")*'Affiliate Projection'!L16*Missions!$E$5:$E$26*Missions!$J$5:$J$26)+SUMPRODUCT((Missions!$F$5:$F$26="Spark Ads")*(Missions!$A$5:$A$26="Diamond")*(Missions!$D$5:$D$26="One-time")*'Affiliate Projection'!L23*Missions!$E$5:$E$26*Missions!$J$5:$J$26)+SUMPRODUCT((Missions!$F$5:$F$26="Spark Ads")*(Missions!$A$5:$A$26="Diamond")*(Missions!$D$5:$D$26&lt;&gt;"One-time")*'Affiliate Projection'!L17*Missions!$E$5:$E$26*Missions!$J$5:$J$26)</f>
        <v>0</v>
      </c>
      <c r="M25" s="10">
        <f>SUMPRODUCT((Missions!$F$5:$F$26="Spark Ads")*(Missions!$A$5:$A$26="Bronze")*(Missions!$D$5:$D$26="One-time")*'Affiliate Projection'!M19*Missions!$E$5:$E$26*Missions!$J$5:$J$26)+SUMPRODUCT((Missions!$F$5:$F$26="Spark Ads")*(Missions!$A$5:$A$26="Bronze")*(Missions!$D$5:$D$26&lt;&gt;"One-time")*'Affiliate Projection'!M13*Missions!$E$5:$E$26*Missions!$J$5:$J$26)+SUMPRODUCT((Missions!$F$5:$F$26="Spark Ads")*(Missions!$A$5:$A$26="Silver")*(Missions!$D$5:$D$26="One-time")*'Affiliate Projection'!M20*Missions!$E$5:$E$26*Missions!$J$5:$J$26)+SUMPRODUCT((Missions!$F$5:$F$26="Spark Ads")*(Missions!$A$5:$A$26="Silver")*(Missions!$D$5:$D$26&lt;&gt;"One-time")*'Affiliate Projection'!M14*Missions!$E$5:$E$26*Missions!$J$5:$J$26)+SUMPRODUCT((Missions!$F$5:$F$26="Spark Ads")*(Missions!$A$5:$A$26="Gold")*(Missions!$D$5:$D$26="One-time")*'Affiliate Projection'!M21*Missions!$E$5:$E$26*Missions!$J$5:$J$26)+SUMPRODUCT((Missions!$F$5:$F$26="Spark Ads")*(Missions!$A$5:$A$26="Gold")*(Missions!$D$5:$D$26&lt;&gt;"One-time")*'Affiliate Projection'!M15*Missions!$E$5:$E$26*Missions!$J$5:$J$26)+SUMPRODUCT((Missions!$F$5:$F$26="Spark Ads")*(Missions!$A$5:$A$26="Platinum")*(Missions!$D$5:$D$26="One-time")*'Affiliate Projection'!M22*Missions!$E$5:$E$26*Missions!$J$5:$J$26)+SUMPRODUCT((Missions!$F$5:$F$26="Spark Ads")*(Missions!$A$5:$A$26="Platinum")*(Missions!$D$5:$D$26&lt;&gt;"One-time")*'Affiliate Projection'!M16*Missions!$E$5:$E$26*Missions!$J$5:$J$26)+SUMPRODUCT((Missions!$F$5:$F$26="Spark Ads")*(Missions!$A$5:$A$26="Diamond")*(Missions!$D$5:$D$26="One-time")*'Affiliate Projection'!M23*Missions!$E$5:$E$26*Missions!$J$5:$J$26)+SUMPRODUCT((Missions!$F$5:$F$26="Spark Ads")*(Missions!$A$5:$A$26="Diamond")*(Missions!$D$5:$D$26&lt;&gt;"One-time")*'Affiliate Projection'!M17*Missions!$E$5:$E$26*Missions!$J$5:$J$26)</f>
        <v>0</v>
      </c>
    </row>
    <row r="26" spans="1:15" hidden="1" x14ac:dyDescent="0.25">
      <c r="A26" s="68" t="s">
        <v>211</v>
      </c>
      <c r="B26" s="10">
        <f>'Affiliate Projection'!B19*'VIP Levels'!$G$34*'VIP Levels'!$H$34+'Affiliate Projection'!B20*'VIP Levels'!$G$35*'VIP Levels'!$H$35+'Affiliate Projection'!B21*'VIP Levels'!$G$36*'VIP Levels'!$H$36+'Affiliate Projection'!B22*'VIP Levels'!$G$37*'VIP Levels'!$H$37+'Affiliate Projection'!B23*'VIP Levels'!$G$28*'VIP Levels'!$H$28</f>
        <v>0</v>
      </c>
      <c r="C26" s="10">
        <f>'Affiliate Projection'!C19*'VIP Levels'!$G$34*'VIP Levels'!$H$34+'Affiliate Projection'!C20*'VIP Levels'!$G$35*'VIP Levels'!$H$35+'Affiliate Projection'!C21*'VIP Levels'!$G$36*'VIP Levels'!$H$36+'Affiliate Projection'!C22*'VIP Levels'!$G$37*'VIP Levels'!$H$37+'Affiliate Projection'!C23*'VIP Levels'!$G$28*'VIP Levels'!$H$28</f>
        <v>0</v>
      </c>
      <c r="D26" s="10">
        <f>'Affiliate Projection'!D19*'VIP Levels'!$G$34*'VIP Levels'!$H$34+'Affiliate Projection'!D20*'VIP Levels'!$G$35*'VIP Levels'!$H$35+'Affiliate Projection'!D21*'VIP Levels'!$G$36*'VIP Levels'!$H$36+'Affiliate Projection'!D22*'VIP Levels'!$G$37*'VIP Levels'!$H$37+'Affiliate Projection'!D23*'VIP Levels'!$G$28*'VIP Levels'!$H$28</f>
        <v>0</v>
      </c>
      <c r="E26" s="10">
        <f>'Affiliate Projection'!E19*'VIP Levels'!$G$34*'VIP Levels'!$H$34+'Affiliate Projection'!E20*'VIP Levels'!$G$35*'VIP Levels'!$H$35+'Affiliate Projection'!E21*'VIP Levels'!$G$36*'VIP Levels'!$H$36+'Affiliate Projection'!E22*'VIP Levels'!$G$37*'VIP Levels'!$H$37+'Affiliate Projection'!E23*'VIP Levels'!$G$28*'VIP Levels'!$H$28</f>
        <v>0</v>
      </c>
      <c r="F26" s="10">
        <f>'Affiliate Projection'!F19*'VIP Levels'!$G$34*'VIP Levels'!$H$34+'Affiliate Projection'!F20*'VIP Levels'!$G$35*'VIP Levels'!$H$35+'Affiliate Projection'!F21*'VIP Levels'!$G$36*'VIP Levels'!$H$36+'Affiliate Projection'!F22*'VIP Levels'!$G$37*'VIP Levels'!$H$37+'Affiliate Projection'!F23*'VIP Levels'!$G$28*'VIP Levels'!$H$28</f>
        <v>0</v>
      </c>
      <c r="G26" s="10">
        <f>'Affiliate Projection'!G19*'VIP Levels'!$G$34*'VIP Levels'!$H$34+'Affiliate Projection'!G20*'VIP Levels'!$G$35*'VIP Levels'!$H$35+'Affiliate Projection'!G21*'VIP Levels'!$G$36*'VIP Levels'!$H$36+'Affiliate Projection'!G22*'VIP Levels'!$G$37*'VIP Levels'!$H$37+'Affiliate Projection'!G23*'VIP Levels'!$G$28*'VIP Levels'!$H$28</f>
        <v>0</v>
      </c>
      <c r="H26" s="10">
        <f>'Affiliate Projection'!H19*'VIP Levels'!$G$34*'VIP Levels'!$H$34+'Affiliate Projection'!H20*'VIP Levels'!$G$35*'VIP Levels'!$H$35+'Affiliate Projection'!H21*'VIP Levels'!$G$36*'VIP Levels'!$H$36+'Affiliate Projection'!H22*'VIP Levels'!$G$37*'VIP Levels'!$H$37+'Affiliate Projection'!H23*'VIP Levels'!$G$28*'VIP Levels'!$H$28</f>
        <v>0</v>
      </c>
      <c r="I26" s="10">
        <f>'Affiliate Projection'!I19*'VIP Levels'!$G$34*'VIP Levels'!$H$34+'Affiliate Projection'!I20*'VIP Levels'!$G$35*'VIP Levels'!$H$35+'Affiliate Projection'!I21*'VIP Levels'!$G$36*'VIP Levels'!$H$36+'Affiliate Projection'!I22*'VIP Levels'!$G$37*'VIP Levels'!$H$37+'Affiliate Projection'!I23*'VIP Levels'!$G$28*'VIP Levels'!$H$28</f>
        <v>0</v>
      </c>
      <c r="J26" s="10">
        <f>'Affiliate Projection'!J19*'VIP Levels'!$G$34*'VIP Levels'!$H$34+'Affiliate Projection'!J20*'VIP Levels'!$G$35*'VIP Levels'!$H$35+'Affiliate Projection'!J21*'VIP Levels'!$G$36*'VIP Levels'!$H$36+'Affiliate Projection'!J22*'VIP Levels'!$G$37*'VIP Levels'!$H$37+'Affiliate Projection'!J23*'VIP Levels'!$G$28*'VIP Levels'!$H$28</f>
        <v>0</v>
      </c>
      <c r="K26" s="10">
        <f>'Affiliate Projection'!K19*'VIP Levels'!$G$34*'VIP Levels'!$H$34+'Affiliate Projection'!K20*'VIP Levels'!$G$35*'VIP Levels'!$H$35+'Affiliate Projection'!K21*'VIP Levels'!$G$36*'VIP Levels'!$H$36+'Affiliate Projection'!K22*'VIP Levels'!$G$37*'VIP Levels'!$H$37+'Affiliate Projection'!K23*'VIP Levels'!$G$28*'VIP Levels'!$H$28</f>
        <v>0</v>
      </c>
      <c r="L26" s="10">
        <f>'Affiliate Projection'!L19*'VIP Levels'!$G$34*'VIP Levels'!$H$34+'Affiliate Projection'!L20*'VIP Levels'!$G$35*'VIP Levels'!$H$35+'Affiliate Projection'!L21*'VIP Levels'!$G$36*'VIP Levels'!$H$36+'Affiliate Projection'!L22*'VIP Levels'!$G$37*'VIP Levels'!$H$37+'Affiliate Projection'!L23*'VIP Levels'!$G$28*'VIP Levels'!$H$28</f>
        <v>0</v>
      </c>
      <c r="M26" s="10">
        <f>'Affiliate Projection'!M19*'VIP Levels'!$G$34*'VIP Levels'!$H$34+'Affiliate Projection'!M20*'VIP Levels'!$G$35*'VIP Levels'!$H$35+'Affiliate Projection'!M21*'VIP Levels'!$G$36*'VIP Levels'!$H$36+'Affiliate Projection'!M22*'VIP Levels'!$G$37*'VIP Levels'!$H$37+'Affiliate Projection'!M23*'VIP Levels'!$G$28*'VIP Levels'!$H$28</f>
        <v>0</v>
      </c>
    </row>
    <row r="27" spans="1:15" hidden="1" x14ac:dyDescent="0.25">
      <c r="A27" s="68" t="s">
        <v>212</v>
      </c>
      <c r="B27" s="10">
        <f>'Affiliate Projection'!B19*'VIP Levels'!$B$34*'VIP Levels'!$C$34+'Affiliate Projection'!B20*'VIP Levels'!$B$35*'VIP Levels'!$C$35+'Affiliate Projection'!B21*'VIP Levels'!$B$36*'VIP Levels'!$C$36+'Affiliate Projection'!B22*'VIP Levels'!$B$37*'VIP Levels'!$C$37+'Affiliate Projection'!B23*'VIP Levels'!$B$38*'VIP Levels'!$C$38</f>
        <v>0</v>
      </c>
      <c r="C27" s="10">
        <f>'Affiliate Projection'!C19*'VIP Levels'!$B$34*'VIP Levels'!$C$34+'Affiliate Projection'!C20*'VIP Levels'!$B$35*'VIP Levels'!$C$35+'Affiliate Projection'!C21*'VIP Levels'!$B$36*'VIP Levels'!$C$36+'Affiliate Projection'!C22*'VIP Levels'!$B$37*'VIP Levels'!$C$37+'Affiliate Projection'!C23*'VIP Levels'!$B$38*'VIP Levels'!$C$38</f>
        <v>0</v>
      </c>
      <c r="D27" s="10">
        <f>'Affiliate Projection'!D19*'VIP Levels'!$B$34*'VIP Levels'!$C$34+'Affiliate Projection'!D20*'VIP Levels'!$B$35*'VIP Levels'!$C$35+'Affiliate Projection'!D21*'VIP Levels'!$B$36*'VIP Levels'!$C$36+'Affiliate Projection'!D22*'VIP Levels'!$B$37*'VIP Levels'!$C$37+'Affiliate Projection'!D23*'VIP Levels'!$B$38*'VIP Levels'!$C$38</f>
        <v>0</v>
      </c>
      <c r="E27" s="10">
        <f>'Affiliate Projection'!E19*'VIP Levels'!$B$34*'VIP Levels'!$C$34+'Affiliate Projection'!E20*'VIP Levels'!$B$35*'VIP Levels'!$C$35+'Affiliate Projection'!E21*'VIP Levels'!$B$36*'VIP Levels'!$C$36+'Affiliate Projection'!E22*'VIP Levels'!$B$37*'VIP Levels'!$C$37+'Affiliate Projection'!E23*'VIP Levels'!$B$38*'VIP Levels'!$C$38</f>
        <v>0</v>
      </c>
      <c r="F27" s="10">
        <f>'Affiliate Projection'!F19*'VIP Levels'!$B$34*'VIP Levels'!$C$34+'Affiliate Projection'!F20*'VIP Levels'!$B$35*'VIP Levels'!$C$35+'Affiliate Projection'!F21*'VIP Levels'!$B$36*'VIP Levels'!$C$36+'Affiliate Projection'!F22*'VIP Levels'!$B$37*'VIP Levels'!$C$37+'Affiliate Projection'!F23*'VIP Levels'!$B$38*'VIP Levels'!$C$38</f>
        <v>0</v>
      </c>
      <c r="G27" s="10">
        <f>'Affiliate Projection'!G19*'VIP Levels'!$B$34*'VIP Levels'!$C$34+'Affiliate Projection'!G20*'VIP Levels'!$B$35*'VIP Levels'!$C$35+'Affiliate Projection'!G21*'VIP Levels'!$B$36*'VIP Levels'!$C$36+'Affiliate Projection'!G22*'VIP Levels'!$B$37*'VIP Levels'!$C$37+'Affiliate Projection'!G23*'VIP Levels'!$B$38*'VIP Levels'!$C$38</f>
        <v>0</v>
      </c>
      <c r="H27" s="10">
        <f>'Affiliate Projection'!H19*'VIP Levels'!$B$34*'VIP Levels'!$C$34+'Affiliate Projection'!H20*'VIP Levels'!$B$35*'VIP Levels'!$C$35+'Affiliate Projection'!H21*'VIP Levels'!$B$36*'VIP Levels'!$C$36+'Affiliate Projection'!H22*'VIP Levels'!$B$37*'VIP Levels'!$C$37+'Affiliate Projection'!H23*'VIP Levels'!$B$38*'VIP Levels'!$C$38</f>
        <v>0</v>
      </c>
      <c r="I27" s="10">
        <f>'Affiliate Projection'!I19*'VIP Levels'!$B$34*'VIP Levels'!$C$34+'Affiliate Projection'!I20*'VIP Levels'!$B$35*'VIP Levels'!$C$35+'Affiliate Projection'!I21*'VIP Levels'!$B$36*'VIP Levels'!$C$36+'Affiliate Projection'!I22*'VIP Levels'!$B$37*'VIP Levels'!$C$37+'Affiliate Projection'!I23*'VIP Levels'!$B$38*'VIP Levels'!$C$38</f>
        <v>0</v>
      </c>
      <c r="J27" s="10">
        <f>'Affiliate Projection'!J19*'VIP Levels'!$B$34*'VIP Levels'!$C$34+'Affiliate Projection'!J20*'VIP Levels'!$B$35*'VIP Levels'!$C$35+'Affiliate Projection'!J21*'VIP Levels'!$B$36*'VIP Levels'!$C$36+'Affiliate Projection'!J22*'VIP Levels'!$B$37*'VIP Levels'!$C$37+'Affiliate Projection'!J23*'VIP Levels'!$B$38*'VIP Levels'!$C$38</f>
        <v>0</v>
      </c>
      <c r="K27" s="10">
        <f>'Affiliate Projection'!K19*'VIP Levels'!$B$34*'VIP Levels'!$C$34+'Affiliate Projection'!K20*'VIP Levels'!$B$35*'VIP Levels'!$C$35+'Affiliate Projection'!K21*'VIP Levels'!$B$36*'VIP Levels'!$C$36+'Affiliate Projection'!K22*'VIP Levels'!$B$37*'VIP Levels'!$C$37+'Affiliate Projection'!K23*'VIP Levels'!$B$38*'VIP Levels'!$C$38</f>
        <v>0</v>
      </c>
      <c r="L27" s="10">
        <f>'Affiliate Projection'!L19*'VIP Levels'!$B$34*'VIP Levels'!$C$34+'Affiliate Projection'!L20*'VIP Levels'!$B$35*'VIP Levels'!$C$35+'Affiliate Projection'!L21*'VIP Levels'!$B$36*'VIP Levels'!$C$36+'Affiliate Projection'!L22*'VIP Levels'!$B$37*'VIP Levels'!$C$37+'Affiliate Projection'!L23*'VIP Levels'!$B$38*'VIP Levels'!$C$38</f>
        <v>0</v>
      </c>
      <c r="M27" s="10">
        <f>'Affiliate Projection'!M19*'VIP Levels'!$B$34*'VIP Levels'!$C$34+'Affiliate Projection'!M20*'VIP Levels'!$B$35*'VIP Levels'!$C$35+'Affiliate Projection'!M21*'VIP Levels'!$B$36*'VIP Levels'!$C$36+'Affiliate Projection'!M22*'VIP Levels'!$B$37*'VIP Levels'!$C$37+'Affiliate Projection'!M23*'VIP Levels'!$B$38*'VIP Levels'!$C$38</f>
        <v>0</v>
      </c>
    </row>
    <row r="28" spans="1:15" hidden="1" x14ac:dyDescent="0.25">
      <c r="A28" s="68" t="s">
        <v>213</v>
      </c>
      <c r="B28" s="10">
        <f>'Affiliate Projection'!B4*Inputs!$B$18</f>
        <v>2250</v>
      </c>
      <c r="C28" s="10">
        <f>'Affiliate Projection'!C4*Inputs!$B$18</f>
        <v>1500</v>
      </c>
      <c r="D28" s="10">
        <f>'Affiliate Projection'!D4*Inputs!$B$18</f>
        <v>1500</v>
      </c>
      <c r="E28" s="10">
        <f>'Affiliate Projection'!E4*Inputs!$B$18</f>
        <v>1500</v>
      </c>
      <c r="F28" s="10">
        <f>'Affiliate Projection'!F4*Inputs!$B$18</f>
        <v>1500</v>
      </c>
      <c r="G28" s="10">
        <f>'Affiliate Projection'!G4*Inputs!$B$18</f>
        <v>1500</v>
      </c>
      <c r="H28" s="10">
        <f>'Affiliate Projection'!H4*Inputs!$B$18</f>
        <v>1500</v>
      </c>
      <c r="I28" s="10">
        <f>'Affiliate Projection'!I4*Inputs!$B$18</f>
        <v>1500</v>
      </c>
      <c r="J28" s="10">
        <f>'Affiliate Projection'!J4*Inputs!$B$18</f>
        <v>1500</v>
      </c>
      <c r="K28" s="10">
        <f>'Affiliate Projection'!K4*Inputs!$B$18</f>
        <v>1500</v>
      </c>
      <c r="L28" s="10">
        <f>'Affiliate Projection'!L4*Inputs!$B$18</f>
        <v>1500</v>
      </c>
      <c r="M28" s="10">
        <f>'Affiliate Projection'!M4*Inputs!$B$18</f>
        <v>1500</v>
      </c>
    </row>
    <row r="29" spans="1:15" hidden="1" x14ac:dyDescent="0.25">
      <c r="A29" s="68" t="s">
        <v>214</v>
      </c>
      <c r="B29" s="11" t="e">
        <f t="shared" ref="B29:M29" si="4">SUM(B24:B28)</f>
        <v>#REF!</v>
      </c>
      <c r="C29" s="11" t="e">
        <f t="shared" si="4"/>
        <v>#REF!</v>
      </c>
      <c r="D29" s="11" t="e">
        <f t="shared" si="4"/>
        <v>#REF!</v>
      </c>
      <c r="E29" s="11" t="e">
        <f t="shared" si="4"/>
        <v>#REF!</v>
      </c>
      <c r="F29" s="11" t="e">
        <f t="shared" si="4"/>
        <v>#REF!</v>
      </c>
      <c r="G29" s="11" t="e">
        <f t="shared" si="4"/>
        <v>#REF!</v>
      </c>
      <c r="H29" s="11" t="e">
        <f t="shared" si="4"/>
        <v>#REF!</v>
      </c>
      <c r="I29" s="11" t="e">
        <f t="shared" si="4"/>
        <v>#REF!</v>
      </c>
      <c r="J29" s="11" t="e">
        <f t="shared" si="4"/>
        <v>#REF!</v>
      </c>
      <c r="K29" s="11" t="e">
        <f t="shared" si="4"/>
        <v>#REF!</v>
      </c>
      <c r="L29" s="11" t="e">
        <f t="shared" si="4"/>
        <v>#REF!</v>
      </c>
      <c r="M29" s="11" t="e">
        <f t="shared" si="4"/>
        <v>#REF!</v>
      </c>
    </row>
    <row r="30" spans="1:15" ht="0.75" customHeight="1" x14ac:dyDescent="0.25">
      <c r="A30" s="68"/>
    </row>
  </sheetData>
  <mergeCells count="1">
    <mergeCell ref="A1: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32"/>
  <sheetViews>
    <sheetView workbookViewId="0">
      <selection activeCell="B20" sqref="B20:M21"/>
    </sheetView>
  </sheetViews>
  <sheetFormatPr defaultRowHeight="15" x14ac:dyDescent="0.25"/>
  <cols>
    <col min="1" max="1" width="32" customWidth="1"/>
    <col min="2" max="2" width="15" customWidth="1"/>
    <col min="3" max="13" width="10" customWidth="1"/>
    <col min="14" max="14" width="10.140625" bestFit="1" customWidth="1"/>
  </cols>
  <sheetData>
    <row r="1" spans="1:14" ht="21.75" customHeight="1" x14ac:dyDescent="0.35">
      <c r="A1" s="218" t="s">
        <v>215</v>
      </c>
      <c r="B1" s="207"/>
      <c r="C1" s="207"/>
      <c r="D1" s="207"/>
      <c r="E1" s="207"/>
    </row>
    <row r="2" spans="1:14" ht="18.75" customHeight="1" x14ac:dyDescent="0.3">
      <c r="A2" s="70" t="s">
        <v>216</v>
      </c>
    </row>
    <row r="3" spans="1:14" ht="15.75" customHeight="1" x14ac:dyDescent="0.25">
      <c r="A3" s="64" t="s">
        <v>158</v>
      </c>
      <c r="B3" s="64" t="s">
        <v>217</v>
      </c>
      <c r="C3" s="64" t="s">
        <v>218</v>
      </c>
      <c r="D3" s="64" t="s">
        <v>219</v>
      </c>
      <c r="E3" s="64" t="s">
        <v>220</v>
      </c>
      <c r="F3" s="64" t="s">
        <v>221</v>
      </c>
      <c r="G3" s="64" t="s">
        <v>222</v>
      </c>
      <c r="H3" s="64" t="s">
        <v>223</v>
      </c>
      <c r="I3" s="64" t="s">
        <v>224</v>
      </c>
      <c r="J3" s="64" t="s">
        <v>225</v>
      </c>
      <c r="K3" s="64" t="s">
        <v>226</v>
      </c>
      <c r="L3" s="64" t="s">
        <v>227</v>
      </c>
      <c r="M3" s="64" t="s">
        <v>228</v>
      </c>
    </row>
    <row r="4" spans="1:14" x14ac:dyDescent="0.25">
      <c r="A4" s="63" t="s">
        <v>229</v>
      </c>
      <c r="B4" s="65">
        <f>'Affiliate Projection'!B8</f>
        <v>105</v>
      </c>
      <c r="C4" s="65">
        <f>'Affiliate Projection'!C8</f>
        <v>175</v>
      </c>
      <c r="D4" s="65">
        <f>'Affiliate Projection'!D8</f>
        <v>245</v>
      </c>
      <c r="E4" s="65">
        <f>'Affiliate Projection'!E8</f>
        <v>315</v>
      </c>
      <c r="F4" s="65">
        <f>'Affiliate Projection'!F8</f>
        <v>385</v>
      </c>
      <c r="G4" s="65">
        <f>'Affiliate Projection'!G8</f>
        <v>455</v>
      </c>
      <c r="H4" s="65">
        <f>'Affiliate Projection'!H8</f>
        <v>525</v>
      </c>
      <c r="I4" s="65">
        <f>'Affiliate Projection'!I8</f>
        <v>595</v>
      </c>
      <c r="J4" s="65">
        <f>'Affiliate Projection'!J8</f>
        <v>665</v>
      </c>
      <c r="K4" s="65">
        <f>'Affiliate Projection'!K8</f>
        <v>735</v>
      </c>
      <c r="L4" s="65">
        <f>'Affiliate Projection'!L8</f>
        <v>805</v>
      </c>
      <c r="M4" s="65">
        <f>'Affiliate Projection'!M8</f>
        <v>875</v>
      </c>
    </row>
    <row r="5" spans="1:14" ht="15.75" customHeight="1" x14ac:dyDescent="0.25">
      <c r="A5" s="200" t="s">
        <v>165</v>
      </c>
      <c r="B5" s="201">
        <f>'Affiliate Projection'!B9</f>
        <v>263</v>
      </c>
      <c r="C5" s="201">
        <f>'Affiliate Projection'!C9</f>
        <v>548</v>
      </c>
      <c r="D5" s="201">
        <f>'Affiliate Projection'!D9</f>
        <v>901</v>
      </c>
      <c r="E5" s="201">
        <f>'Affiliate Projection'!E9</f>
        <v>1407</v>
      </c>
      <c r="F5" s="201">
        <f>'Affiliate Projection'!F9</f>
        <v>1969</v>
      </c>
      <c r="G5" s="201">
        <f>'Affiliate Projection'!G9</f>
        <v>2597</v>
      </c>
      <c r="H5" s="201">
        <f>'Affiliate Projection'!H9</f>
        <v>3377</v>
      </c>
      <c r="I5" s="201">
        <f>'Affiliate Projection'!I9</f>
        <v>4255</v>
      </c>
      <c r="J5" s="201">
        <f>'Affiliate Projection'!J9</f>
        <v>5154</v>
      </c>
      <c r="K5" s="201">
        <f>'Affiliate Projection'!K9</f>
        <v>6178</v>
      </c>
      <c r="L5" s="201">
        <f>'Affiliate Projection'!L9</f>
        <v>7301</v>
      </c>
      <c r="M5" s="201">
        <f>'Affiliate Projection'!M9</f>
        <v>8533</v>
      </c>
    </row>
    <row r="6" spans="1:14" x14ac:dyDescent="0.25">
      <c r="A6" s="200" t="s">
        <v>184</v>
      </c>
      <c r="B6" s="202">
        <f>Revenue!B8</f>
        <v>14900.849444444444</v>
      </c>
      <c r="C6" s="202">
        <f>Revenue!C8</f>
        <v>31048.157777777778</v>
      </c>
      <c r="D6" s="202">
        <f>Revenue!D8</f>
        <v>51048.157222222224</v>
      </c>
      <c r="E6" s="202">
        <f>Revenue!E8</f>
        <v>79716.71166666667</v>
      </c>
      <c r="F6" s="202">
        <f>Revenue!F8</f>
        <v>111558.07055555556</v>
      </c>
      <c r="G6" s="202">
        <f>Revenue!G8</f>
        <v>147138.8061111111</v>
      </c>
      <c r="H6" s="202">
        <f>Revenue!H8</f>
        <v>191331.43944444446</v>
      </c>
      <c r="I6" s="202">
        <f>Revenue!I8</f>
        <v>241076.48055555555</v>
      </c>
      <c r="J6" s="202">
        <f>Revenue!J8</f>
        <v>292011.32333333336</v>
      </c>
      <c r="K6" s="202">
        <f>Revenue!K8</f>
        <v>350028.31888888893</v>
      </c>
      <c r="L6" s="202">
        <f>Revenue!L8</f>
        <v>413654.37944444444</v>
      </c>
      <c r="M6" s="202">
        <f>Revenue!M8</f>
        <v>483456.07722222223</v>
      </c>
      <c r="N6" s="66"/>
    </row>
    <row r="7" spans="1:14" s="85" customFormat="1" ht="30" x14ac:dyDescent="0.25">
      <c r="A7" s="203" t="s">
        <v>306</v>
      </c>
      <c r="B7" s="204">
        <f>SUM(B10:B13)+SUM(B18:B19)+B24</f>
        <v>6302.4890505555559</v>
      </c>
      <c r="C7" s="204">
        <f t="shared" ref="C7:L7" si="0">SUM(C10:C13)+SUM(C18:C19)+C24</f>
        <v>10774.986060555557</v>
      </c>
      <c r="D7" s="204">
        <f t="shared" si="0"/>
        <v>16713.607143777779</v>
      </c>
      <c r="E7" s="204">
        <f t="shared" si="0"/>
        <v>25863.833510666671</v>
      </c>
      <c r="F7" s="204">
        <f t="shared" si="0"/>
        <v>35083.582569111109</v>
      </c>
      <c r="G7" s="204">
        <f t="shared" si="0"/>
        <v>45226.801776555563</v>
      </c>
      <c r="H7" s="204">
        <f t="shared" si="0"/>
        <v>58785.579141888906</v>
      </c>
      <c r="I7" s="204">
        <f t="shared" si="0"/>
        <v>73399.341436777788</v>
      </c>
      <c r="J7" s="204">
        <f t="shared" si="0"/>
        <v>87415.957511000015</v>
      </c>
      <c r="K7" s="204">
        <f t="shared" si="0"/>
        <v>104449.67529244447</v>
      </c>
      <c r="L7" s="204">
        <f t="shared" si="0"/>
        <v>122810.79151155557</v>
      </c>
      <c r="M7" s="204">
        <f>SUM(M10:M13)+SUM(M18:M19)+M24</f>
        <v>143039.09002711112</v>
      </c>
      <c r="N7" s="199"/>
    </row>
    <row r="8" spans="1:14" ht="21" customHeight="1" x14ac:dyDescent="0.35">
      <c r="A8" s="215"/>
      <c r="B8" s="207"/>
      <c r="C8" s="207"/>
      <c r="D8" s="207"/>
      <c r="E8" s="207"/>
    </row>
    <row r="9" spans="1:14" ht="20.25" customHeight="1" x14ac:dyDescent="0.3">
      <c r="A9" s="70" t="s">
        <v>230</v>
      </c>
    </row>
    <row r="10" spans="1:14" ht="15" customHeight="1" x14ac:dyDescent="0.25">
      <c r="A10" s="9" t="s">
        <v>196</v>
      </c>
      <c r="B10" s="69">
        <f>'Affiliate Costs'!B6</f>
        <v>44.192633333333333</v>
      </c>
      <c r="C10" s="69">
        <f>'Affiliate Costs'!C6</f>
        <v>452.97449166666678</v>
      </c>
      <c r="D10" s="69">
        <f>'Affiliate Costs'!D6</f>
        <v>720.33992333333345</v>
      </c>
      <c r="E10" s="69">
        <f>'Affiliate Costs'!E6</f>
        <v>1199.8299950000001</v>
      </c>
      <c r="F10" s="69">
        <f>'Affiliate Costs'!F6</f>
        <v>1467.1954266666669</v>
      </c>
      <c r="G10" s="69">
        <f>'Affiliate Costs'!G6</f>
        <v>1652.8044866666671</v>
      </c>
      <c r="H10" s="69">
        <f>'Affiliate Costs'!H6</f>
        <v>2214.0509300000003</v>
      </c>
      <c r="I10" s="69">
        <f>'Affiliate Costs'!I6</f>
        <v>2569.8016283333336</v>
      </c>
      <c r="J10" s="69">
        <f>'Affiliate Costs'!J6</f>
        <v>2667.0254216666672</v>
      </c>
      <c r="K10" s="69">
        <f>'Affiliate Costs'!K6</f>
        <v>3075.8072800000009</v>
      </c>
      <c r="L10" s="69">
        <f>'Affiliate Costs'!L6</f>
        <v>3422.7194516666673</v>
      </c>
      <c r="M10" s="69">
        <f>'Affiliate Costs'!M6</f>
        <v>3822.6627833333341</v>
      </c>
    </row>
    <row r="11" spans="1:14" x14ac:dyDescent="0.25">
      <c r="A11" s="9" t="s">
        <v>197</v>
      </c>
      <c r="B11" s="69">
        <f>'Affiliate Costs'!B7</f>
        <v>30.93484333333334</v>
      </c>
      <c r="C11" s="69">
        <f>'Affiliate Costs'!C7</f>
        <v>309.34843333333339</v>
      </c>
      <c r="D11" s="69">
        <f>'Affiliate Costs'!D7</f>
        <v>779.55805200000009</v>
      </c>
      <c r="E11" s="69">
        <f>'Affiliate Costs'!E7</f>
        <v>1525.0877763333333</v>
      </c>
      <c r="F11" s="69">
        <f>'Affiliate Costs'!F7</f>
        <v>2462.4135293333338</v>
      </c>
      <c r="G11" s="69">
        <f>'Affiliate Costs'!G7</f>
        <v>3486.3568436666674</v>
      </c>
      <c r="H11" s="69">
        <f>'Affiliate Costs'!H7</f>
        <v>4890.7987310000008</v>
      </c>
      <c r="I11" s="69">
        <f>'Affiliate Costs'!I7</f>
        <v>6527.2519433333346</v>
      </c>
      <c r="J11" s="69">
        <f>'Affiliate Costs'!J7</f>
        <v>8210.1074206666672</v>
      </c>
      <c r="K11" s="69">
        <f>'Affiliate Costs'!K7</f>
        <v>10140.441644666669</v>
      </c>
      <c r="L11" s="69">
        <f>'Affiliate Costs'!L7</f>
        <v>12296.600225000002</v>
      </c>
      <c r="M11" s="69">
        <f>'Affiliate Costs'!M7</f>
        <v>14694.050583333334</v>
      </c>
    </row>
    <row r="12" spans="1:14" x14ac:dyDescent="0.25">
      <c r="A12" s="9" t="s">
        <v>202</v>
      </c>
      <c r="B12" s="69">
        <f>'Affiliate Costs'!B13</f>
        <v>250</v>
      </c>
      <c r="C12" s="69">
        <f>'Affiliate Costs'!C13</f>
        <v>1050</v>
      </c>
      <c r="D12" s="69">
        <f>'Affiliate Costs'!D13</f>
        <v>1550</v>
      </c>
      <c r="E12" s="69">
        <f>'Affiliate Costs'!E13</f>
        <v>2500</v>
      </c>
      <c r="F12" s="69">
        <f>'Affiliate Costs'!F13</f>
        <v>3000</v>
      </c>
      <c r="G12" s="69">
        <f>'Affiliate Costs'!G13</f>
        <v>3550</v>
      </c>
      <c r="H12" s="69">
        <f>'Affiliate Costs'!H13</f>
        <v>4450</v>
      </c>
      <c r="I12" s="69">
        <f>'Affiliate Costs'!I13</f>
        <v>5200</v>
      </c>
      <c r="J12" s="69">
        <f>'Affiliate Costs'!J13</f>
        <v>5500</v>
      </c>
      <c r="K12" s="69">
        <f>'Affiliate Costs'!K13</f>
        <v>6300</v>
      </c>
      <c r="L12" s="69">
        <f>'Affiliate Costs'!L13</f>
        <v>7000</v>
      </c>
      <c r="M12" s="69">
        <f>'Affiliate Costs'!M13</f>
        <v>7750</v>
      </c>
    </row>
    <row r="13" spans="1:14" x14ac:dyDescent="0.25">
      <c r="A13" s="9" t="s">
        <v>203</v>
      </c>
      <c r="B13" s="69">
        <f>'Affiliate Costs'!B14</f>
        <v>1807.5</v>
      </c>
      <c r="C13" s="69">
        <f>'Affiliate Costs'!C14</f>
        <v>1322.75</v>
      </c>
      <c r="D13" s="69">
        <f>'Affiliate Costs'!D14</f>
        <v>1484.75</v>
      </c>
      <c r="E13" s="69">
        <f>'Affiliate Costs'!E14</f>
        <v>1752.5</v>
      </c>
      <c r="F13" s="69">
        <f>'Affiliate Costs'!F14</f>
        <v>2072</v>
      </c>
      <c r="G13" s="69">
        <f>'Affiliate Costs'!G14</f>
        <v>2450</v>
      </c>
      <c r="H13" s="69">
        <f>'Affiliate Costs'!H14</f>
        <v>2927</v>
      </c>
      <c r="I13" s="69">
        <f>'Affiliate Costs'!I14</f>
        <v>3482.75</v>
      </c>
      <c r="J13" s="69">
        <f>'Affiliate Costs'!J14</f>
        <v>4070</v>
      </c>
      <c r="K13" s="69">
        <f>'Affiliate Costs'!K14</f>
        <v>4745</v>
      </c>
      <c r="L13" s="69">
        <f>'Affiliate Costs'!L14</f>
        <v>5494.25</v>
      </c>
      <c r="M13" s="69">
        <f>'Affiliate Costs'!M14</f>
        <v>6326.75</v>
      </c>
    </row>
    <row r="14" spans="1:14" x14ac:dyDescent="0.25">
      <c r="A14" s="71" t="s">
        <v>231</v>
      </c>
      <c r="B14" s="164">
        <f t="shared" ref="B14:M14" si="1">IF(B5&gt;0,SUM(B10:B13)/B5,0)</f>
        <v>8.1088497211660329</v>
      </c>
      <c r="C14" s="164">
        <f t="shared" si="1"/>
        <v>5.720935994525548</v>
      </c>
      <c r="D14" s="164">
        <f t="shared" si="1"/>
        <v>5.0329056330003699</v>
      </c>
      <c r="E14" s="164">
        <f t="shared" si="1"/>
        <v>4.9590744643449423</v>
      </c>
      <c r="F14" s="164">
        <f t="shared" si="1"/>
        <v>4.5716652899949217</v>
      </c>
      <c r="G14" s="164">
        <f t="shared" si="1"/>
        <v>4.2892419446797589</v>
      </c>
      <c r="H14" s="164">
        <f t="shared" si="1"/>
        <v>4.2883771575362752</v>
      </c>
      <c r="I14" s="164">
        <f t="shared" si="1"/>
        <v>4.1785672318840579</v>
      </c>
      <c r="J14" s="164">
        <f t="shared" si="1"/>
        <v>3.9672357086405379</v>
      </c>
      <c r="K14" s="164">
        <f t="shared" si="1"/>
        <v>3.9270393209237082</v>
      </c>
      <c r="L14" s="164">
        <f t="shared" si="1"/>
        <v>3.864343196365795</v>
      </c>
      <c r="M14" s="164">
        <f t="shared" si="1"/>
        <v>3.8196956951443415</v>
      </c>
    </row>
    <row r="15" spans="1:14" x14ac:dyDescent="0.25">
      <c r="A15" s="73" t="s">
        <v>232</v>
      </c>
      <c r="B15" s="72">
        <f>B14/Inputs!$B$12</f>
        <v>0.13517002369004888</v>
      </c>
      <c r="C15" s="72">
        <f>C14/Inputs!$B$12</f>
        <v>9.5364827379989123E-2</v>
      </c>
      <c r="D15" s="72">
        <f>D14/Inputs!$B$12</f>
        <v>8.389574317386847E-2</v>
      </c>
      <c r="E15" s="72">
        <f>E14/Inputs!$B$12</f>
        <v>8.2665018575511617E-2</v>
      </c>
      <c r="F15" s="72">
        <f>F14/Inputs!$B$12</f>
        <v>7.6207122687029866E-2</v>
      </c>
      <c r="G15" s="72">
        <f>G14/Inputs!$B$12</f>
        <v>7.1499282291711264E-2</v>
      </c>
      <c r="H15" s="72">
        <f>H14/Inputs!$B$12</f>
        <v>7.1484866770066269E-2</v>
      </c>
      <c r="I15" s="72">
        <f>I14/Inputs!$B$12</f>
        <v>6.9654396264111643E-2</v>
      </c>
      <c r="J15" s="72">
        <f>J14/Inputs!$B$12</f>
        <v>6.6131617080188998E-2</v>
      </c>
      <c r="K15" s="72">
        <f>K14/Inputs!$B$12</f>
        <v>6.5461565609663416E-2</v>
      </c>
      <c r="L15" s="72">
        <f>L14/Inputs!$B$12</f>
        <v>6.4416456015432486E-2</v>
      </c>
      <c r="M15" s="72">
        <f>M14/Inputs!$B$12</f>
        <v>6.3672206953564611E-2</v>
      </c>
    </row>
    <row r="16" spans="1:14" x14ac:dyDescent="0.25">
      <c r="B16" s="89">
        <v>0.19036058301647654</v>
      </c>
      <c r="C16" s="89">
        <v>0.12824133211678831</v>
      </c>
      <c r="D16" s="89">
        <v>0.11001244913059564</v>
      </c>
      <c r="E16" s="89">
        <v>0.10659940772328831</v>
      </c>
      <c r="F16" s="89">
        <v>9.677724733367192E-2</v>
      </c>
      <c r="G16" s="89">
        <v>9.0071993325632135E-2</v>
      </c>
      <c r="H16" s="89">
        <v>8.9164613562333433E-2</v>
      </c>
      <c r="I16" s="89">
        <v>8.6242440266353304E-2</v>
      </c>
      <c r="J16" s="89">
        <v>8.1260335014875187E-2</v>
      </c>
      <c r="K16" s="89">
        <v>8.0071630516887884E-2</v>
      </c>
      <c r="L16" s="89">
        <v>7.8432897320001832E-2</v>
      </c>
      <c r="M16" s="89">
        <v>7.7209900777374121E-2</v>
      </c>
    </row>
    <row r="17" spans="1:13" ht="18.75" customHeight="1" x14ac:dyDescent="0.3">
      <c r="A17" s="70" t="s">
        <v>233</v>
      </c>
    </row>
    <row r="18" spans="1:13" x14ac:dyDescent="0.25">
      <c r="A18" s="22" t="s">
        <v>198</v>
      </c>
      <c r="B18" s="69">
        <f>'Affiliate Costs'!B8</f>
        <v>655.09079999999994</v>
      </c>
      <c r="C18" s="69">
        <f>'Affiliate Costs'!C8</f>
        <v>889.83167000000014</v>
      </c>
      <c r="D18" s="69">
        <f>'Affiliate Costs'!D8</f>
        <v>1151.8679900000002</v>
      </c>
      <c r="E18" s="69">
        <f>'Affiliate Costs'!E8</f>
        <v>1659.5633600000001</v>
      </c>
      <c r="F18" s="69">
        <f>'Affiliate Costs'!F8</f>
        <v>1921.5996800000003</v>
      </c>
      <c r="G18" s="69">
        <f>'Affiliate Costs'!G8</f>
        <v>2167.2587300000005</v>
      </c>
      <c r="H18" s="69">
        <f>'Affiliate Costs'!H8</f>
        <v>2691.3313700000008</v>
      </c>
      <c r="I18" s="69">
        <f>'Affiliate Costs'!I8</f>
        <v>3068.0085800000002</v>
      </c>
      <c r="J18" s="69">
        <f>'Affiliate Costs'!J8</f>
        <v>3199.0267400000002</v>
      </c>
      <c r="K18" s="69">
        <f>'Affiliate Costs'!K8</f>
        <v>3624.8357599999999</v>
      </c>
      <c r="L18" s="69">
        <f>'Affiliate Costs'!L8</f>
        <v>3985.1357000000007</v>
      </c>
      <c r="M18" s="69">
        <f>'Affiliate Costs'!M8</f>
        <v>4394.5674500000005</v>
      </c>
    </row>
    <row r="19" spans="1:13" x14ac:dyDescent="0.25">
      <c r="A19" s="12" t="s">
        <v>199</v>
      </c>
      <c r="B19" s="69">
        <f>'Affiliate Costs'!B9</f>
        <v>534.60088499999995</v>
      </c>
      <c r="C19" s="69">
        <f>'Affiliate Costs'!C9</f>
        <v>540.44991000000005</v>
      </c>
      <c r="D19" s="69">
        <f>'Affiliate Costs'!D9</f>
        <v>817.45973400000003</v>
      </c>
      <c r="E19" s="69">
        <f>'Affiliate Costs'!E9</f>
        <v>1283.5100460000001</v>
      </c>
      <c r="F19" s="69">
        <f>'Affiliate Costs'!F9</f>
        <v>1848.759822</v>
      </c>
      <c r="G19" s="69">
        <f>'Affiliate Costs'!G9</f>
        <v>2492.6204940000002</v>
      </c>
      <c r="H19" s="69">
        <f>'Affiliate Costs'!H9</f>
        <v>3346.1102220000002</v>
      </c>
      <c r="I19" s="69">
        <f>'Affiliate Costs'!I9</f>
        <v>4336.2331740000009</v>
      </c>
      <c r="J19" s="69">
        <f>'Affiliate Costs'!J9</f>
        <v>5367.5332620000008</v>
      </c>
      <c r="K19" s="69">
        <f>'Affiliate Costs'!K9</f>
        <v>6557.9268300000012</v>
      </c>
      <c r="L19" s="69">
        <f>'Affiliate Costs'!L9</f>
        <v>7881.2102460000006</v>
      </c>
      <c r="M19" s="69">
        <f>'Affiliate Costs'!M9</f>
        <v>9359.8437660000018</v>
      </c>
    </row>
    <row r="20" spans="1:13" x14ac:dyDescent="0.25">
      <c r="A20" s="71" t="s">
        <v>231</v>
      </c>
      <c r="B20" s="164">
        <f t="shared" ref="B20:M20" si="2">IF(B5&gt;0,SUM(B18:B19)/B5,0)</f>
        <v>4.5235425285171091</v>
      </c>
      <c r="C20" s="164">
        <f t="shared" si="2"/>
        <v>2.6100028832116795</v>
      </c>
      <c r="D20" s="164">
        <f t="shared" si="2"/>
        <v>2.1857133451720312</v>
      </c>
      <c r="E20" s="164">
        <f t="shared" si="2"/>
        <v>2.0917366069651746</v>
      </c>
      <c r="F20" s="164">
        <f t="shared" si="2"/>
        <v>1.9148600822752668</v>
      </c>
      <c r="G20" s="164">
        <f t="shared" si="2"/>
        <v>1.7943316226415096</v>
      </c>
      <c r="H20" s="164">
        <f t="shared" si="2"/>
        <v>1.7878121385845429</v>
      </c>
      <c r="I20" s="164">
        <f t="shared" si="2"/>
        <v>1.7401273217391307</v>
      </c>
      <c r="J20" s="164">
        <f t="shared" si="2"/>
        <v>1.6621187431121462</v>
      </c>
      <c r="K20" s="164">
        <f t="shared" si="2"/>
        <v>1.6482296196179997</v>
      </c>
      <c r="L20" s="164">
        <f t="shared" si="2"/>
        <v>1.6253041975071909</v>
      </c>
      <c r="M20" s="164">
        <f t="shared" si="2"/>
        <v>1.611908029532404</v>
      </c>
    </row>
    <row r="21" spans="1:13" x14ac:dyDescent="0.25">
      <c r="A21" s="71" t="s">
        <v>232</v>
      </c>
      <c r="B21" s="72">
        <f>B20/Inputs!$B$12</f>
        <v>7.5404942965779445E-2</v>
      </c>
      <c r="C21" s="72">
        <f>C20/Inputs!$B$12</f>
        <v>4.3507299270073005E-2</v>
      </c>
      <c r="D21" s="72">
        <f>D20/Inputs!$B$12</f>
        <v>3.6434628190899002E-2</v>
      </c>
      <c r="E21" s="72">
        <f>E20/Inputs!$B$12</f>
        <v>3.4868088130774702E-2</v>
      </c>
      <c r="F21" s="72">
        <f>F20/Inputs!$B$12</f>
        <v>3.191965464702895E-2</v>
      </c>
      <c r="G21" s="72">
        <f>G20/Inputs!$B$12</f>
        <v>2.9910512129380055E-2</v>
      </c>
      <c r="H21" s="72">
        <f>H20/Inputs!$B$12</f>
        <v>2.9801835949067226E-2</v>
      </c>
      <c r="I21" s="72">
        <f>I20/Inputs!$B$12</f>
        <v>2.9006956521739131E-2</v>
      </c>
      <c r="J21" s="72">
        <f>J20/Inputs!$B$12</f>
        <v>2.7706596818005438E-2</v>
      </c>
      <c r="K21" s="72">
        <f>K20/Inputs!$B$12</f>
        <v>2.7475072839106513E-2</v>
      </c>
      <c r="L21" s="72">
        <f>L20/Inputs!$B$12</f>
        <v>2.7092918778249556E-2</v>
      </c>
      <c r="M21" s="72">
        <f>M20/Inputs!$B$12</f>
        <v>2.6869612094222436E-2</v>
      </c>
    </row>
    <row r="23" spans="1:13" ht="18.75" customHeight="1" x14ac:dyDescent="0.3">
      <c r="A23" s="70" t="s">
        <v>234</v>
      </c>
    </row>
    <row r="24" spans="1:13" x14ac:dyDescent="0.25">
      <c r="A24" s="9" t="s">
        <v>195</v>
      </c>
      <c r="B24" s="69">
        <f>'Affiliate Costs'!B5</f>
        <v>2980.1698888888891</v>
      </c>
      <c r="C24" s="69">
        <f>'Affiliate Costs'!C5</f>
        <v>6209.6315555555557</v>
      </c>
      <c r="D24" s="69">
        <f>'Affiliate Costs'!D5</f>
        <v>10209.631444444445</v>
      </c>
      <c r="E24" s="69">
        <f>'Affiliate Costs'!E5</f>
        <v>15943.342333333338</v>
      </c>
      <c r="F24" s="69">
        <f>'Affiliate Costs'!F5</f>
        <v>22311.61411111111</v>
      </c>
      <c r="G24" s="69">
        <f>'Affiliate Costs'!G5</f>
        <v>29427.761222222227</v>
      </c>
      <c r="H24" s="69">
        <f>'Affiliate Costs'!H5</f>
        <v>38266.287888888903</v>
      </c>
      <c r="I24" s="69">
        <f>'Affiliate Costs'!I5</f>
        <v>48215.296111111114</v>
      </c>
      <c r="J24" s="69">
        <f>'Affiliate Costs'!J5</f>
        <v>58402.264666666684</v>
      </c>
      <c r="K24" s="69">
        <f>'Affiliate Costs'!K5</f>
        <v>70005.663777777794</v>
      </c>
      <c r="L24" s="69">
        <f>'Affiliate Costs'!L5</f>
        <v>82730.875888888899</v>
      </c>
      <c r="M24" s="69">
        <f>'Affiliate Costs'!M5</f>
        <v>96691.215444444446</v>
      </c>
    </row>
    <row r="25" spans="1:13" x14ac:dyDescent="0.25">
      <c r="A25" s="71" t="s">
        <v>231</v>
      </c>
      <c r="B25" s="164">
        <f t="shared" ref="B25:M25" si="3">IF(B5&gt;0,B24/B5,0)</f>
        <v>11.331444444444445</v>
      </c>
      <c r="C25" s="164">
        <f t="shared" si="3"/>
        <v>11.331444444444445</v>
      </c>
      <c r="D25" s="164">
        <f t="shared" si="3"/>
        <v>11.331444444444445</v>
      </c>
      <c r="E25" s="164">
        <f t="shared" si="3"/>
        <v>11.331444444444447</v>
      </c>
      <c r="F25" s="164">
        <f t="shared" si="3"/>
        <v>11.331444444444443</v>
      </c>
      <c r="G25" s="164">
        <f t="shared" si="3"/>
        <v>11.331444444444447</v>
      </c>
      <c r="H25" s="164">
        <f t="shared" si="3"/>
        <v>11.331444444444449</v>
      </c>
      <c r="I25" s="164">
        <f t="shared" si="3"/>
        <v>11.331444444444445</v>
      </c>
      <c r="J25" s="164">
        <f t="shared" si="3"/>
        <v>11.331444444444449</v>
      </c>
      <c r="K25" s="164">
        <f t="shared" si="3"/>
        <v>11.331444444444447</v>
      </c>
      <c r="L25" s="164">
        <f t="shared" si="3"/>
        <v>11.331444444444445</v>
      </c>
      <c r="M25" s="164">
        <f t="shared" si="3"/>
        <v>11.331444444444445</v>
      </c>
    </row>
    <row r="26" spans="1:13" x14ac:dyDescent="0.25">
      <c r="A26" s="73" t="s">
        <v>232</v>
      </c>
      <c r="B26" s="72">
        <f t="shared" ref="B26:M26" si="4">B24/B6</f>
        <v>0.2</v>
      </c>
      <c r="C26" s="72">
        <f t="shared" si="4"/>
        <v>0.2</v>
      </c>
      <c r="D26" s="72">
        <f t="shared" si="4"/>
        <v>0.2</v>
      </c>
      <c r="E26" s="72">
        <f t="shared" si="4"/>
        <v>0.20000000000000004</v>
      </c>
      <c r="F26" s="72">
        <f t="shared" si="4"/>
        <v>0.19999999999999998</v>
      </c>
      <c r="G26" s="72">
        <f t="shared" si="4"/>
        <v>0.20000000000000004</v>
      </c>
      <c r="H26" s="72">
        <f t="shared" si="4"/>
        <v>0.20000000000000007</v>
      </c>
      <c r="I26" s="72">
        <f t="shared" si="4"/>
        <v>0.2</v>
      </c>
      <c r="J26" s="72">
        <f t="shared" si="4"/>
        <v>0.20000000000000004</v>
      </c>
      <c r="K26" s="72">
        <f t="shared" si="4"/>
        <v>0.2</v>
      </c>
      <c r="L26" s="72">
        <f t="shared" si="4"/>
        <v>0.20000000000000004</v>
      </c>
      <c r="M26" s="72">
        <f t="shared" si="4"/>
        <v>0.2</v>
      </c>
    </row>
    <row r="29" spans="1:13" ht="18.75" customHeight="1" x14ac:dyDescent="0.3">
      <c r="A29" s="70"/>
    </row>
    <row r="30" spans="1:13" x14ac:dyDescent="0.25">
      <c r="B30" s="66"/>
    </row>
    <row r="32" spans="1:13" x14ac:dyDescent="0.25">
      <c r="B32" s="66"/>
    </row>
  </sheetData>
  <mergeCells count="2">
    <mergeCell ref="A1:E1"/>
    <mergeCell ref="A8:E8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T82"/>
  <sheetViews>
    <sheetView tabSelected="1" topLeftCell="A47" zoomScale="115" zoomScaleNormal="115" workbookViewId="0">
      <selection activeCell="L70" sqref="L70"/>
    </sheetView>
  </sheetViews>
  <sheetFormatPr defaultRowHeight="15" x14ac:dyDescent="0.25"/>
  <cols>
    <col min="1" max="1" width="28.7109375" customWidth="1"/>
    <col min="2" max="2" width="16" customWidth="1"/>
    <col min="3" max="3" width="20.140625" customWidth="1"/>
    <col min="4" max="4" width="30" customWidth="1"/>
    <col min="5" max="5" width="12.28515625" customWidth="1"/>
    <col min="6" max="6" width="9.85546875" customWidth="1"/>
    <col min="7" max="7" width="10" customWidth="1"/>
    <col min="8" max="8" width="9.85546875" customWidth="1"/>
    <col min="9" max="9" width="13.28515625" customWidth="1"/>
    <col min="10" max="10" width="12.85546875" customWidth="1"/>
    <col min="11" max="11" width="9.7109375" customWidth="1"/>
    <col min="12" max="12" width="16.5703125" customWidth="1"/>
    <col min="13" max="13" width="11.5703125" customWidth="1"/>
    <col min="14" max="14" width="9.140625" customWidth="1"/>
  </cols>
  <sheetData>
    <row r="1" spans="1:20" ht="21" customHeight="1" x14ac:dyDescent="0.35">
      <c r="A1" s="219" t="s">
        <v>235</v>
      </c>
      <c r="B1" s="207"/>
      <c r="C1" s="207"/>
      <c r="D1" s="207"/>
      <c r="E1" s="207"/>
      <c r="Q1" s="62"/>
      <c r="T1" s="62"/>
    </row>
    <row r="3" spans="1:20" s="80" customFormat="1" x14ac:dyDescent="0.25">
      <c r="B3" s="81"/>
      <c r="C3" s="81"/>
      <c r="D3" s="81"/>
    </row>
    <row r="4" spans="1:20" ht="18.75" customHeight="1" x14ac:dyDescent="0.3">
      <c r="A4" s="70" t="s">
        <v>236</v>
      </c>
      <c r="B4" s="82"/>
      <c r="C4" s="82"/>
      <c r="D4" s="82"/>
      <c r="E4" s="82"/>
      <c r="F4" s="82"/>
      <c r="G4" s="82"/>
      <c r="H4" s="82"/>
      <c r="I4" s="82"/>
      <c r="J4" s="82"/>
      <c r="K4" s="82"/>
      <c r="L4" s="82"/>
      <c r="M4" s="82"/>
      <c r="N4" s="82"/>
      <c r="O4" s="82"/>
      <c r="P4" s="82"/>
      <c r="Q4" s="82"/>
      <c r="R4" s="82"/>
      <c r="S4" s="82"/>
    </row>
    <row r="5" spans="1:20" s="85" customFormat="1" x14ac:dyDescent="0.25">
      <c r="A5" s="83" t="s">
        <v>158</v>
      </c>
      <c r="B5" s="83" t="s">
        <v>217</v>
      </c>
      <c r="C5" s="83" t="s">
        <v>218</v>
      </c>
      <c r="D5" s="83" t="s">
        <v>219</v>
      </c>
      <c r="E5" s="83" t="s">
        <v>220</v>
      </c>
      <c r="F5" s="83" t="s">
        <v>221</v>
      </c>
      <c r="G5" s="83" t="s">
        <v>222</v>
      </c>
      <c r="H5" s="83" t="s">
        <v>223</v>
      </c>
      <c r="I5" s="83" t="s">
        <v>224</v>
      </c>
      <c r="J5" s="83" t="s">
        <v>225</v>
      </c>
      <c r="K5" s="83" t="s">
        <v>226</v>
      </c>
      <c r="L5" s="83" t="s">
        <v>227</v>
      </c>
      <c r="M5" s="83" t="s">
        <v>228</v>
      </c>
      <c r="O5" s="82"/>
      <c r="P5" s="82"/>
      <c r="Q5" s="82"/>
      <c r="R5" s="82"/>
      <c r="S5" s="82"/>
    </row>
    <row r="6" spans="1:20" s="85" customFormat="1" x14ac:dyDescent="0.25">
      <c r="A6" s="84" t="s">
        <v>237</v>
      </c>
      <c r="B6" s="95">
        <f t="shared" ref="B6:M6" si="0">AVERAGE(B24,B34,B44)</f>
        <v>8.2470943385941595</v>
      </c>
      <c r="C6" s="95">
        <f t="shared" si="0"/>
        <v>5.7221089096133175</v>
      </c>
      <c r="D6" s="95">
        <f t="shared" si="0"/>
        <v>5.2949525425011492</v>
      </c>
      <c r="E6" s="95">
        <f t="shared" si="0"/>
        <v>5.2234134974652946</v>
      </c>
      <c r="F6" s="95">
        <f t="shared" si="0"/>
        <v>4.5702029622349292</v>
      </c>
      <c r="G6" s="95">
        <f t="shared" si="0"/>
        <v>4.4842215349311045</v>
      </c>
      <c r="H6" s="95">
        <f t="shared" si="0"/>
        <v>4.4405540978162348</v>
      </c>
      <c r="I6" s="95">
        <f t="shared" si="0"/>
        <v>4.1889604425038582</v>
      </c>
      <c r="J6" s="95">
        <f t="shared" si="0"/>
        <v>4.1392905983613124</v>
      </c>
      <c r="K6" s="95">
        <f t="shared" si="0"/>
        <v>3.98940963793877</v>
      </c>
      <c r="L6" s="95">
        <f t="shared" si="0"/>
        <v>3.9571434348070706</v>
      </c>
      <c r="M6" s="95">
        <f t="shared" si="0"/>
        <v>3.8861295108246225</v>
      </c>
      <c r="N6" s="80"/>
      <c r="O6" s="82"/>
      <c r="P6" s="82"/>
      <c r="Q6" s="82"/>
      <c r="R6" s="82"/>
      <c r="S6" s="82"/>
    </row>
    <row r="7" spans="1:20" s="85" customFormat="1" x14ac:dyDescent="0.25">
      <c r="A7" s="84" t="s">
        <v>238</v>
      </c>
      <c r="B7" s="91">
        <v>0.1</v>
      </c>
      <c r="C7" s="91">
        <f>C6/Inputs!$B$12</f>
        <v>9.5384379223425866E-2</v>
      </c>
      <c r="D7" s="91">
        <f>D6/Inputs!$B$12</f>
        <v>8.8263919694968315E-2</v>
      </c>
      <c r="E7" s="91">
        <f>E6/Inputs!$B$12</f>
        <v>8.707140352500907E-2</v>
      </c>
      <c r="F7" s="91">
        <f>F6/Inputs!$B$12</f>
        <v>7.6182746494997983E-2</v>
      </c>
      <c r="G7" s="91">
        <f>G6/Inputs!$B$12</f>
        <v>7.4749483829489982E-2</v>
      </c>
      <c r="H7" s="91">
        <f>H6/Inputs!$B$12</f>
        <v>7.4021571892252613E-2</v>
      </c>
      <c r="I7" s="91">
        <f>I6/Inputs!$B$12</f>
        <v>6.9827645315950287E-2</v>
      </c>
      <c r="J7" s="91">
        <f>J6/Inputs!$B$12</f>
        <v>6.8999676585452779E-2</v>
      </c>
      <c r="K7" s="91">
        <f>K6/Inputs!$B$12</f>
        <v>6.6501244173008331E-2</v>
      </c>
      <c r="L7" s="91">
        <f>L6/Inputs!$B$12</f>
        <v>6.5963384477530765E-2</v>
      </c>
      <c r="M7" s="91">
        <f>M6/Inputs!$B$12</f>
        <v>6.477962178404105E-2</v>
      </c>
      <c r="N7" s="82"/>
      <c r="O7" s="82"/>
      <c r="P7" s="82"/>
      <c r="Q7" s="82"/>
      <c r="R7" s="82"/>
      <c r="S7" s="82"/>
    </row>
    <row r="8" spans="1:20" s="85" customFormat="1" x14ac:dyDescent="0.25">
      <c r="A8" s="84" t="s">
        <v>239</v>
      </c>
      <c r="B8" s="95">
        <f t="shared" ref="B8:M8" si="1">AVERAGE(B26,B36,B46)</f>
        <v>4.5312111837510622</v>
      </c>
      <c r="C8" s="95">
        <f t="shared" si="1"/>
        <v>2.5698247654917208</v>
      </c>
      <c r="D8" s="95">
        <f t="shared" si="1"/>
        <v>2.1867418267002616</v>
      </c>
      <c r="E8" s="95">
        <f t="shared" si="1"/>
        <v>2.089341851120627</v>
      </c>
      <c r="F8" s="95">
        <f t="shared" si="1"/>
        <v>1.8485080454662917</v>
      </c>
      <c r="G8" s="95">
        <f t="shared" si="1"/>
        <v>1.7912684206149405</v>
      </c>
      <c r="H8" s="95">
        <f t="shared" si="1"/>
        <v>1.7629718482111656</v>
      </c>
      <c r="I8" s="95">
        <f t="shared" si="1"/>
        <v>1.6849082701559415</v>
      </c>
      <c r="J8" s="95">
        <f t="shared" si="1"/>
        <v>1.6563351204112278</v>
      </c>
      <c r="K8" s="95">
        <f t="shared" si="1"/>
        <v>1.6160304244688204</v>
      </c>
      <c r="L8" s="95">
        <f t="shared" si="1"/>
        <v>1.6023536634942903</v>
      </c>
      <c r="M8" s="95">
        <f t="shared" si="1"/>
        <v>1.5851952559951747</v>
      </c>
      <c r="N8" s="82"/>
      <c r="O8" s="82"/>
      <c r="P8" s="82"/>
      <c r="Q8" s="82"/>
      <c r="R8" s="82"/>
      <c r="S8" s="82"/>
    </row>
    <row r="9" spans="1:20" s="85" customFormat="1" x14ac:dyDescent="0.25">
      <c r="A9" s="84" t="s">
        <v>240</v>
      </c>
      <c r="B9" s="91">
        <f>B8/Inputs!$B$12</f>
        <v>7.553277519171632E-2</v>
      </c>
      <c r="C9" s="91">
        <f>C8/Inputs!$B$12</f>
        <v>4.2837552350253723E-2</v>
      </c>
      <c r="D9" s="91">
        <f>D8/Inputs!$B$12</f>
        <v>3.6451772407072203E-2</v>
      </c>
      <c r="E9" s="91">
        <f>E8/Inputs!$B$12</f>
        <v>3.4828168880157141E-2</v>
      </c>
      <c r="F9" s="91">
        <f>F8/Inputs!$B$12</f>
        <v>3.0813603024942349E-2</v>
      </c>
      <c r="G9" s="91">
        <f>G8/Inputs!$B$12</f>
        <v>2.9859450251957666E-2</v>
      </c>
      <c r="H9" s="91">
        <f>H8/Inputs!$B$12</f>
        <v>2.9387762097202293E-2</v>
      </c>
      <c r="I9" s="91">
        <f>I8/Inputs!$B$12</f>
        <v>2.8086485583529611E-2</v>
      </c>
      <c r="J9" s="91">
        <f>J8/Inputs!$B$12</f>
        <v>2.7610187038026798E-2</v>
      </c>
      <c r="K9" s="91">
        <f>K8/Inputs!$B$12</f>
        <v>2.6938330129501923E-2</v>
      </c>
      <c r="L9" s="91">
        <f>L8/Inputs!$B$12</f>
        <v>2.6710346115924159E-2</v>
      </c>
      <c r="M9" s="91">
        <f>M8/Inputs!$B$12</f>
        <v>2.642432498741748E-2</v>
      </c>
      <c r="N9" s="82"/>
      <c r="O9" s="82"/>
      <c r="P9" s="82"/>
      <c r="Q9" s="82"/>
      <c r="R9" s="82"/>
      <c r="S9" s="82"/>
    </row>
    <row r="10" spans="1:20" s="85" customFormat="1" x14ac:dyDescent="0.25">
      <c r="A10" s="170" t="s">
        <v>184</v>
      </c>
      <c r="B10" s="175">
        <f t="shared" ref="B10:M10" si="2">AVERAGE(B28,B38,B48)</f>
        <v>9485.1851851851843</v>
      </c>
      <c r="C10" s="175">
        <f t="shared" si="2"/>
        <v>20462.962962962964</v>
      </c>
      <c r="D10" s="175">
        <f t="shared" si="2"/>
        <v>36026.851851851861</v>
      </c>
      <c r="E10" s="175">
        <f t="shared" si="2"/>
        <v>56008.333333333336</v>
      </c>
      <c r="F10" s="175">
        <f t="shared" si="2"/>
        <v>80768.518518518526</v>
      </c>
      <c r="G10" s="175">
        <f t="shared" si="2"/>
        <v>110259.25925925927</v>
      </c>
      <c r="H10" s="175">
        <f t="shared" si="2"/>
        <v>143385.18518518517</v>
      </c>
      <c r="I10" s="175">
        <f t="shared" si="2"/>
        <v>180868.51851851851</v>
      </c>
      <c r="J10" s="175">
        <f t="shared" si="2"/>
        <v>223419.4444444445</v>
      </c>
      <c r="K10" s="175">
        <f t="shared" si="2"/>
        <v>269737.96296296298</v>
      </c>
      <c r="L10" s="175">
        <f t="shared" si="2"/>
        <v>321653.70370370377</v>
      </c>
      <c r="M10" s="175">
        <f t="shared" si="2"/>
        <v>376470.37037037039</v>
      </c>
      <c r="N10" s="82"/>
      <c r="O10" s="82"/>
      <c r="P10" s="82"/>
      <c r="Q10" s="82"/>
      <c r="R10" s="82"/>
      <c r="S10" s="82"/>
    </row>
    <row r="11" spans="1:20" s="85" customFormat="1" x14ac:dyDescent="0.25">
      <c r="A11" s="174"/>
      <c r="B11" s="82"/>
      <c r="C11" s="82"/>
      <c r="D11" s="82"/>
      <c r="E11" s="82"/>
      <c r="F11" s="82"/>
      <c r="G11" s="82"/>
      <c r="H11" s="82"/>
      <c r="I11" s="82"/>
      <c r="J11" s="82"/>
      <c r="K11" s="82"/>
      <c r="L11" s="82"/>
      <c r="M11" s="82"/>
      <c r="N11" s="82"/>
      <c r="O11" s="82"/>
      <c r="P11" s="82"/>
      <c r="Q11" s="82"/>
      <c r="R11" s="82"/>
      <c r="S11" s="82"/>
    </row>
    <row r="12" spans="1:20" s="85" customFormat="1" ht="17.25" customHeight="1" x14ac:dyDescent="0.25">
      <c r="A12" s="171" t="s">
        <v>241</v>
      </c>
      <c r="B12" s="172">
        <f>AVERAGE(B29,B39,B49)</f>
        <v>1835178.7037037036</v>
      </c>
      <c r="C12" s="82"/>
      <c r="D12" s="171" t="s">
        <v>242</v>
      </c>
      <c r="E12" s="173">
        <v>0.2</v>
      </c>
      <c r="F12" s="82"/>
      <c r="G12" s="82"/>
      <c r="H12" s="82"/>
      <c r="I12" s="82"/>
      <c r="J12" s="82"/>
      <c r="K12" s="82"/>
      <c r="L12" s="82"/>
      <c r="M12" s="82"/>
      <c r="N12" s="82"/>
      <c r="O12" s="82"/>
      <c r="P12" s="82"/>
      <c r="Q12" s="82"/>
      <c r="R12" s="82"/>
      <c r="S12" s="82"/>
    </row>
    <row r="13" spans="1:20" s="85" customFormat="1" x14ac:dyDescent="0.25">
      <c r="C13" s="82"/>
      <c r="D13" s="88" t="s">
        <v>243</v>
      </c>
      <c r="E13" s="97">
        <f>AVERAGE(B7:M7)</f>
        <v>7.764542308301059E-2</v>
      </c>
      <c r="F13" s="82"/>
      <c r="G13" s="82"/>
      <c r="H13" s="82"/>
      <c r="I13" s="82"/>
      <c r="J13" s="82"/>
      <c r="K13" s="82"/>
      <c r="L13" s="82"/>
      <c r="M13" s="82"/>
      <c r="N13" s="82"/>
      <c r="O13" s="82"/>
      <c r="P13" s="82"/>
      <c r="Q13" s="82"/>
      <c r="R13" s="82"/>
      <c r="S13" s="82"/>
    </row>
    <row r="14" spans="1:20" s="85" customFormat="1" hidden="1" x14ac:dyDescent="0.25">
      <c r="C14" s="82"/>
      <c r="D14" s="88" t="s">
        <v>244</v>
      </c>
      <c r="E14" s="96">
        <f>E12/(E12+E13)*AVERAGE(B6:M6)</f>
        <v>3.490271924406263</v>
      </c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</row>
    <row r="15" spans="1:20" s="85" customFormat="1" hidden="1" x14ac:dyDescent="0.25">
      <c r="C15" s="82"/>
      <c r="D15" s="88" t="s">
        <v>245</v>
      </c>
      <c r="E15" s="96">
        <f>E13/(E12+E13)*AVERAGE(B6:M6)</f>
        <v>1.3550182012263892</v>
      </c>
      <c r="F15" s="82"/>
      <c r="G15" s="82"/>
      <c r="H15" s="82"/>
      <c r="I15" s="82"/>
      <c r="J15" s="82"/>
      <c r="K15" s="82"/>
      <c r="L15" s="82"/>
      <c r="M15" s="82"/>
      <c r="N15" s="82"/>
      <c r="O15" s="82"/>
      <c r="P15" s="82"/>
      <c r="Q15" s="82"/>
      <c r="R15" s="82"/>
      <c r="S15" s="82"/>
    </row>
    <row r="16" spans="1:20" s="85" customFormat="1" hidden="1" x14ac:dyDescent="0.25">
      <c r="C16" s="82"/>
      <c r="D16" s="88" t="s">
        <v>246</v>
      </c>
      <c r="E16" s="96">
        <f>AVERAGE(B8:M8)</f>
        <v>2.0770575563234606</v>
      </c>
      <c r="F16" s="82"/>
      <c r="G16" s="82"/>
      <c r="H16" s="82"/>
      <c r="J16" s="82"/>
      <c r="K16" s="82"/>
      <c r="L16" s="82"/>
      <c r="M16" s="82"/>
      <c r="N16" s="82"/>
      <c r="O16" s="82"/>
      <c r="P16" s="82"/>
      <c r="Q16" s="82"/>
      <c r="R16" s="82"/>
      <c r="S16" s="82"/>
    </row>
    <row r="17" spans="1:19" s="85" customFormat="1" x14ac:dyDescent="0.25">
      <c r="C17" s="82"/>
      <c r="D17" s="88" t="s">
        <v>247</v>
      </c>
      <c r="E17" s="97">
        <f>AVERAGE(B9:M9)</f>
        <v>3.4623396504808474E-2</v>
      </c>
      <c r="F17" s="82"/>
      <c r="G17" s="82"/>
      <c r="H17" s="82"/>
      <c r="I17" s="82"/>
      <c r="J17" s="82"/>
      <c r="N17" s="82"/>
      <c r="O17" s="82"/>
      <c r="P17" s="82"/>
      <c r="Q17" s="82"/>
      <c r="R17" s="82"/>
      <c r="S17" s="82"/>
    </row>
    <row r="18" spans="1:19" s="85" customFormat="1" x14ac:dyDescent="0.25">
      <c r="C18" s="82"/>
      <c r="D18" s="82"/>
      <c r="E18" s="82"/>
      <c r="F18" s="82"/>
      <c r="G18" s="82"/>
      <c r="H18" s="82"/>
      <c r="I18" s="82"/>
      <c r="J18" s="82"/>
      <c r="K18" s="82"/>
      <c r="L18" s="82"/>
      <c r="M18" s="82"/>
      <c r="N18" s="82"/>
      <c r="O18" s="82"/>
      <c r="P18" s="82"/>
      <c r="Q18" s="82"/>
      <c r="R18" s="82"/>
      <c r="S18" s="82"/>
    </row>
    <row r="19" spans="1:19" s="85" customFormat="1" x14ac:dyDescent="0.25">
      <c r="C19" s="82"/>
      <c r="D19" s="82"/>
      <c r="E19" s="82"/>
      <c r="F19" s="82"/>
      <c r="G19" s="82"/>
      <c r="H19" s="82"/>
      <c r="I19" s="82"/>
      <c r="J19" s="82"/>
      <c r="K19" s="82"/>
      <c r="L19" s="82"/>
      <c r="M19" s="82"/>
      <c r="N19" s="82"/>
      <c r="O19" s="82"/>
      <c r="P19" s="82"/>
      <c r="Q19" s="82"/>
      <c r="R19" s="82"/>
      <c r="S19" s="82"/>
    </row>
    <row r="20" spans="1:19" s="85" customFormat="1" x14ac:dyDescent="0.25">
      <c r="C20" s="82"/>
      <c r="D20" s="82"/>
      <c r="E20" s="82"/>
      <c r="F20" s="82"/>
      <c r="G20" s="82"/>
      <c r="H20" s="82"/>
      <c r="I20" s="82"/>
      <c r="J20" s="82"/>
      <c r="K20" s="82"/>
      <c r="L20" s="82"/>
      <c r="M20" s="82"/>
      <c r="N20" s="82"/>
      <c r="O20" s="82"/>
      <c r="P20" s="82"/>
      <c r="Q20" s="82"/>
      <c r="R20" s="82"/>
      <c r="S20" s="82"/>
    </row>
    <row r="21" spans="1:19" s="85" customFormat="1" x14ac:dyDescent="0.25">
      <c r="C21" s="82"/>
      <c r="D21" s="82"/>
      <c r="E21" s="82"/>
      <c r="F21" s="82"/>
      <c r="G21" s="82"/>
      <c r="H21" s="82"/>
      <c r="I21" s="82"/>
      <c r="J21" s="82"/>
      <c r="K21" s="82"/>
      <c r="L21" s="82"/>
      <c r="M21" s="82"/>
      <c r="N21" s="82"/>
      <c r="O21" s="82"/>
      <c r="P21" s="82"/>
      <c r="Q21" s="82"/>
      <c r="R21" s="82"/>
      <c r="S21" s="82"/>
    </row>
    <row r="22" spans="1:19" ht="18.75" customHeight="1" x14ac:dyDescent="0.3">
      <c r="A22" s="167" t="s">
        <v>248</v>
      </c>
      <c r="B22" s="82"/>
      <c r="C22" s="82"/>
      <c r="D22" s="82"/>
      <c r="E22" s="82"/>
      <c r="F22" s="82"/>
      <c r="G22" s="82"/>
      <c r="H22" s="82"/>
      <c r="I22" s="82"/>
      <c r="J22" s="82"/>
      <c r="K22" s="82"/>
      <c r="L22" s="82"/>
      <c r="M22" s="82"/>
      <c r="N22" s="82"/>
      <c r="O22" s="82"/>
      <c r="P22" s="82"/>
      <c r="Q22" s="82"/>
      <c r="R22" s="82"/>
      <c r="S22" s="82"/>
    </row>
    <row r="23" spans="1:19" x14ac:dyDescent="0.25">
      <c r="A23" s="83" t="s">
        <v>158</v>
      </c>
      <c r="B23" s="83" t="s">
        <v>217</v>
      </c>
      <c r="C23" s="83" t="s">
        <v>218</v>
      </c>
      <c r="D23" s="83" t="s">
        <v>219</v>
      </c>
      <c r="E23" s="83" t="s">
        <v>220</v>
      </c>
      <c r="F23" s="83" t="s">
        <v>221</v>
      </c>
      <c r="G23" s="83" t="s">
        <v>222</v>
      </c>
      <c r="H23" s="83" t="s">
        <v>223</v>
      </c>
      <c r="I23" s="83" t="s">
        <v>224</v>
      </c>
      <c r="J23" s="83" t="s">
        <v>225</v>
      </c>
      <c r="K23" s="83" t="s">
        <v>226</v>
      </c>
      <c r="L23" s="83" t="s">
        <v>227</v>
      </c>
      <c r="M23" s="83" t="s">
        <v>228</v>
      </c>
      <c r="N23" s="87" t="s">
        <v>249</v>
      </c>
      <c r="O23" s="82"/>
      <c r="P23" s="82"/>
      <c r="Q23" s="82"/>
      <c r="R23" s="82"/>
      <c r="S23" s="82"/>
    </row>
    <row r="24" spans="1:19" x14ac:dyDescent="0.25">
      <c r="A24" s="84" t="s">
        <v>237</v>
      </c>
      <c r="B24" s="90">
        <v>10.296288078880407</v>
      </c>
      <c r="C24" s="90">
        <v>6.2250845337738623</v>
      </c>
      <c r="D24" s="90">
        <v>6.4445732445030783</v>
      </c>
      <c r="E24" s="90">
        <v>6.1165326022927688</v>
      </c>
      <c r="F24" s="90">
        <v>4.9819932545167127</v>
      </c>
      <c r="G24" s="90">
        <v>5.0590724923611115</v>
      </c>
      <c r="H24" s="90">
        <v>5.0697732688346884</v>
      </c>
      <c r="I24" s="90">
        <v>4.5298430057239054</v>
      </c>
      <c r="J24" s="90">
        <v>4.6924103634105965</v>
      </c>
      <c r="K24" s="90">
        <v>4.3185813071664318</v>
      </c>
      <c r="L24" s="90">
        <v>4.3434524528504355</v>
      </c>
      <c r="M24" s="90">
        <v>4.1913955083275098</v>
      </c>
      <c r="N24" s="92">
        <v>10.656411890390469</v>
      </c>
      <c r="O24" s="82"/>
      <c r="P24" s="82"/>
      <c r="Q24" s="82"/>
      <c r="R24" s="82"/>
      <c r="S24" s="82"/>
    </row>
    <row r="25" spans="1:19" s="80" customFormat="1" x14ac:dyDescent="0.25">
      <c r="A25" s="84" t="s">
        <v>238</v>
      </c>
      <c r="B25" s="91">
        <v>0.17163340688248718</v>
      </c>
      <c r="C25" s="91">
        <v>0.10376870368017774</v>
      </c>
      <c r="D25" s="91">
        <v>0.10742745865149322</v>
      </c>
      <c r="E25" s="91">
        <v>0.1019592032387526</v>
      </c>
      <c r="F25" s="91">
        <v>8.304706208562615E-2</v>
      </c>
      <c r="G25" s="91">
        <v>8.4331930194384258E-2</v>
      </c>
      <c r="H25" s="91">
        <v>8.4510306198277846E-2</v>
      </c>
      <c r="I25" s="91">
        <v>7.5509968423468993E-2</v>
      </c>
      <c r="J25" s="91">
        <v>7.8219876036182634E-2</v>
      </c>
      <c r="K25" s="91">
        <v>7.1988353178303585E-2</v>
      </c>
      <c r="L25" s="91">
        <v>7.2402941371069104E-2</v>
      </c>
      <c r="M25" s="91">
        <v>6.9868236511543752E-2</v>
      </c>
      <c r="N25" s="94">
        <v>0.26641029725976179</v>
      </c>
      <c r="O25" s="82"/>
      <c r="P25" s="82"/>
      <c r="Q25" s="82"/>
      <c r="R25" s="82"/>
      <c r="S25" s="82"/>
    </row>
    <row r="26" spans="1:19" x14ac:dyDescent="0.25">
      <c r="A26" s="84" t="s">
        <v>239</v>
      </c>
      <c r="B26" s="90">
        <v>4.5408079580152663</v>
      </c>
      <c r="C26" s="90">
        <v>2.2413532511013217</v>
      </c>
      <c r="D26" s="90">
        <v>2.0455640290237467</v>
      </c>
      <c r="E26" s="90">
        <v>1.8703125679012349</v>
      </c>
      <c r="F26" s="90">
        <v>1.5612194281842819</v>
      </c>
      <c r="G26" s="90">
        <v>1.5657514979166669</v>
      </c>
      <c r="H26" s="90">
        <v>1.5665242349593498</v>
      </c>
      <c r="I26" s="90">
        <v>1.4372715259259261</v>
      </c>
      <c r="J26" s="90">
        <v>1.4831302538631348</v>
      </c>
      <c r="K26" s="90">
        <v>1.3988757260726075</v>
      </c>
      <c r="L26" s="90">
        <v>1.4115490084507045</v>
      </c>
      <c r="M26" s="90">
        <v>1.3845281167016072</v>
      </c>
      <c r="N26" s="92">
        <f>AVERAGE(B26:M26)</f>
        <v>1.875573966509654</v>
      </c>
      <c r="O26" s="82"/>
      <c r="P26" s="82"/>
      <c r="Q26" s="82"/>
      <c r="R26" s="82"/>
      <c r="S26" s="82"/>
    </row>
    <row r="27" spans="1:19" x14ac:dyDescent="0.25">
      <c r="A27" s="84" t="s">
        <v>240</v>
      </c>
      <c r="B27" s="91">
        <v>7.5692748091603035E-2</v>
      </c>
      <c r="C27" s="91">
        <v>3.7362114537444931E-2</v>
      </c>
      <c r="D27" s="91">
        <v>3.4098416886543532E-2</v>
      </c>
      <c r="E27" s="91">
        <v>3.1177072310405649E-2</v>
      </c>
      <c r="F27" s="91">
        <v>2.6024661246612468E-2</v>
      </c>
      <c r="G27" s="91">
        <v>2.6100208333333336E-2</v>
      </c>
      <c r="H27" s="91">
        <v>2.6113089430894312E-2</v>
      </c>
      <c r="I27" s="91">
        <v>2.3958518518518521E-2</v>
      </c>
      <c r="J27" s="91">
        <v>2.4722958057395144E-2</v>
      </c>
      <c r="K27" s="91">
        <v>2.331848184818482E-2</v>
      </c>
      <c r="L27" s="91">
        <v>2.3529738430583504E-2</v>
      </c>
      <c r="M27" s="91">
        <v>2.3079315164220824E-2</v>
      </c>
      <c r="N27" s="94">
        <f>AVERAGE(B27:M27)</f>
        <v>3.1264776904645006E-2</v>
      </c>
      <c r="O27" s="82"/>
      <c r="P27" s="82"/>
      <c r="Q27" s="82"/>
      <c r="R27" s="82"/>
      <c r="S27" s="82"/>
    </row>
    <row r="28" spans="1:19" s="85" customFormat="1" x14ac:dyDescent="0.25">
      <c r="A28" s="165" t="s">
        <v>184</v>
      </c>
      <c r="B28" s="169">
        <v>4730.5555555555557</v>
      </c>
      <c r="C28" s="169">
        <v>8197.2222222222226</v>
      </c>
      <c r="D28" s="169">
        <v>13975</v>
      </c>
      <c r="E28" s="169">
        <v>21197.222222222219</v>
      </c>
      <c r="F28" s="169">
        <v>28238.888888888891</v>
      </c>
      <c r="G28" s="169">
        <v>38097.222222222234</v>
      </c>
      <c r="H28" s="169">
        <v>47522.222222222234</v>
      </c>
      <c r="I28" s="169">
        <v>58572.222222222234</v>
      </c>
      <c r="J28" s="169">
        <v>71500</v>
      </c>
      <c r="K28" s="169">
        <v>84825.000000000015</v>
      </c>
      <c r="L28" s="169">
        <v>98944.444444444453</v>
      </c>
      <c r="M28" s="169">
        <v>114544.4444444445</v>
      </c>
      <c r="N28" s="82"/>
      <c r="O28" s="82"/>
      <c r="P28" s="82"/>
      <c r="Q28" s="82"/>
      <c r="R28" s="82"/>
      <c r="S28" s="82"/>
    </row>
    <row r="29" spans="1:19" x14ac:dyDescent="0.25">
      <c r="A29" s="88" t="s">
        <v>241</v>
      </c>
      <c r="B29" s="126">
        <f>SUM(B28:M28)</f>
        <v>590344.4444444445</v>
      </c>
      <c r="C29" s="82"/>
      <c r="D29" s="82"/>
      <c r="E29" s="82"/>
      <c r="F29" s="82"/>
      <c r="G29" s="82"/>
      <c r="H29" s="82"/>
      <c r="I29" s="82"/>
      <c r="J29" s="82"/>
      <c r="K29" s="82"/>
      <c r="L29" s="82"/>
      <c r="M29" s="82"/>
      <c r="N29" s="82"/>
      <c r="O29" s="82"/>
      <c r="P29" s="82"/>
      <c r="R29" s="82"/>
      <c r="S29" s="82"/>
    </row>
    <row r="30" spans="1:19" s="131" customFormat="1" x14ac:dyDescent="0.25">
      <c r="A30" s="128"/>
      <c r="B30" s="129"/>
      <c r="C30" s="166"/>
      <c r="D30" s="166"/>
      <c r="E30" s="166"/>
      <c r="F30" s="166"/>
      <c r="G30" s="166"/>
      <c r="H30" s="166"/>
      <c r="I30" s="166"/>
      <c r="J30" s="166"/>
      <c r="K30" s="166"/>
      <c r="L30" s="166"/>
      <c r="M30" s="166"/>
      <c r="N30" s="166"/>
      <c r="O30" s="166"/>
      <c r="P30" s="166"/>
      <c r="Q30" s="166"/>
      <c r="R30" s="166"/>
      <c r="S30" s="166"/>
    </row>
    <row r="31" spans="1:19" s="85" customFormat="1" x14ac:dyDescent="0.25">
      <c r="A31" s="82"/>
      <c r="B31" s="82"/>
      <c r="C31" s="82"/>
      <c r="D31" s="82"/>
      <c r="E31" s="82"/>
      <c r="F31" s="82"/>
      <c r="G31" s="82"/>
      <c r="H31" s="82"/>
      <c r="I31" s="82"/>
      <c r="J31" s="82"/>
      <c r="K31" s="82"/>
      <c r="L31" s="82"/>
      <c r="M31" s="82"/>
      <c r="N31" s="82"/>
      <c r="O31" s="82"/>
      <c r="P31" s="82"/>
      <c r="Q31" s="82"/>
      <c r="R31" s="82"/>
      <c r="S31" s="82"/>
    </row>
    <row r="32" spans="1:19" ht="15.75" customHeight="1" x14ac:dyDescent="0.3">
      <c r="A32" s="70" t="s">
        <v>250</v>
      </c>
      <c r="B32" s="82"/>
      <c r="C32" s="82"/>
      <c r="D32" s="82"/>
      <c r="E32" s="82"/>
      <c r="F32" s="82"/>
      <c r="G32" s="82"/>
      <c r="H32" s="82"/>
      <c r="I32" s="82"/>
      <c r="J32" s="82"/>
      <c r="K32" s="82"/>
      <c r="L32" s="82"/>
      <c r="M32" s="82"/>
      <c r="N32" s="82"/>
      <c r="O32" s="82"/>
      <c r="P32" s="82"/>
      <c r="Q32" s="82"/>
      <c r="R32" s="82"/>
      <c r="S32" s="82"/>
    </row>
    <row r="33" spans="1:19" x14ac:dyDescent="0.25">
      <c r="A33" s="83" t="s">
        <v>158</v>
      </c>
      <c r="B33" s="83" t="s">
        <v>217</v>
      </c>
      <c r="C33" s="83" t="s">
        <v>218</v>
      </c>
      <c r="D33" s="83" t="s">
        <v>219</v>
      </c>
      <c r="E33" s="83" t="s">
        <v>220</v>
      </c>
      <c r="F33" s="83" t="s">
        <v>221</v>
      </c>
      <c r="G33" s="83" t="s">
        <v>222</v>
      </c>
      <c r="H33" s="83" t="s">
        <v>223</v>
      </c>
      <c r="I33" s="83" t="s">
        <v>224</v>
      </c>
      <c r="J33" s="83" t="s">
        <v>225</v>
      </c>
      <c r="K33" s="83" t="s">
        <v>226</v>
      </c>
      <c r="L33" s="83" t="s">
        <v>227</v>
      </c>
      <c r="M33" s="83" t="s">
        <v>228</v>
      </c>
      <c r="N33" s="87" t="s">
        <v>249</v>
      </c>
      <c r="O33" s="82"/>
      <c r="P33" s="82"/>
      <c r="Q33" s="82"/>
      <c r="R33" s="82"/>
      <c r="S33" s="82"/>
    </row>
    <row r="34" spans="1:19" x14ac:dyDescent="0.25">
      <c r="A34" s="84" t="s">
        <v>237</v>
      </c>
      <c r="B34" s="90">
        <v>8.1088497211660329</v>
      </c>
      <c r="C34" s="90">
        <v>5.720935994525548</v>
      </c>
      <c r="D34" s="90">
        <v>5.0329056330003699</v>
      </c>
      <c r="E34" s="90">
        <v>4.9590744643449423</v>
      </c>
      <c r="F34" s="90">
        <v>4.5716652899949217</v>
      </c>
      <c r="G34" s="90">
        <v>4.2892419446797589</v>
      </c>
      <c r="H34" s="90">
        <v>4.2883771575362752</v>
      </c>
      <c r="I34" s="90">
        <v>4.1785672318840579</v>
      </c>
      <c r="J34" s="90">
        <v>3.9672357086405379</v>
      </c>
      <c r="K34" s="90">
        <v>3.9270393209237082</v>
      </c>
      <c r="L34" s="90">
        <v>3.864343196365795</v>
      </c>
      <c r="M34" s="90">
        <v>3.8196956951443415</v>
      </c>
      <c r="N34" s="92">
        <f>AVERAGE(B34:M34)</f>
        <v>4.7273276131838573</v>
      </c>
      <c r="O34" s="82"/>
      <c r="P34" s="82"/>
      <c r="Q34" s="82"/>
      <c r="R34" s="82"/>
      <c r="S34" s="82"/>
    </row>
    <row r="35" spans="1:19" x14ac:dyDescent="0.25">
      <c r="A35" s="84" t="s">
        <v>238</v>
      </c>
      <c r="B35" s="91">
        <v>0.13517002369004888</v>
      </c>
      <c r="C35" s="91">
        <v>9.5364827379989123E-2</v>
      </c>
      <c r="D35" s="91">
        <v>8.389574317386847E-2</v>
      </c>
      <c r="E35" s="91">
        <v>8.2665018575511617E-2</v>
      </c>
      <c r="F35" s="91">
        <v>7.6207122687029866E-2</v>
      </c>
      <c r="G35" s="91">
        <v>7.1499282291711264E-2</v>
      </c>
      <c r="H35" s="91">
        <v>7.1484866770066269E-2</v>
      </c>
      <c r="I35" s="91">
        <v>6.9654396264111643E-2</v>
      </c>
      <c r="J35" s="91">
        <v>6.6131617080188998E-2</v>
      </c>
      <c r="K35" s="91">
        <v>6.5461565609663416E-2</v>
      </c>
      <c r="L35" s="91">
        <v>6.4416456015432486E-2</v>
      </c>
      <c r="M35" s="91">
        <v>6.3672206953564611E-2</v>
      </c>
      <c r="N35" s="94">
        <f>AVERAGE(B35:M35)</f>
        <v>7.8801927207598876E-2</v>
      </c>
      <c r="O35" s="82"/>
      <c r="P35" s="82"/>
      <c r="Q35" s="82"/>
      <c r="R35" s="82"/>
      <c r="S35" s="82"/>
    </row>
    <row r="36" spans="1:19" x14ac:dyDescent="0.25">
      <c r="A36" s="84" t="s">
        <v>239</v>
      </c>
      <c r="B36" s="90">
        <v>4.5235425285171091</v>
      </c>
      <c r="C36" s="90">
        <v>2.6100028832116795</v>
      </c>
      <c r="D36" s="90">
        <v>2.1857133451720312</v>
      </c>
      <c r="E36" s="90">
        <v>2.0917366069651746</v>
      </c>
      <c r="F36" s="90">
        <v>1.9148600822752668</v>
      </c>
      <c r="G36" s="90">
        <v>1.7943316226415096</v>
      </c>
      <c r="H36" s="90">
        <v>1.7878121385845429</v>
      </c>
      <c r="I36" s="90">
        <v>1.7401273217391307</v>
      </c>
      <c r="J36" s="90">
        <v>1.6621187431121462</v>
      </c>
      <c r="K36" s="90">
        <v>1.6482296196179997</v>
      </c>
      <c r="L36" s="90">
        <v>1.6253041975071909</v>
      </c>
      <c r="M36" s="90">
        <v>1.611908029532404</v>
      </c>
      <c r="N36" s="92">
        <f>AVERAGE(B36:M36)</f>
        <v>2.0996405932396818</v>
      </c>
      <c r="O36" s="82"/>
      <c r="P36" s="82"/>
      <c r="Q36" s="82"/>
      <c r="R36" s="82"/>
      <c r="S36" s="82"/>
    </row>
    <row r="37" spans="1:19" x14ac:dyDescent="0.25">
      <c r="A37" s="84" t="s">
        <v>240</v>
      </c>
      <c r="B37" s="91">
        <v>7.5404942965779445E-2</v>
      </c>
      <c r="C37" s="91">
        <v>4.3507299270073005E-2</v>
      </c>
      <c r="D37" s="91">
        <v>3.6434628190899002E-2</v>
      </c>
      <c r="E37" s="91">
        <v>3.4868088130774702E-2</v>
      </c>
      <c r="F37" s="91">
        <v>3.191965464702895E-2</v>
      </c>
      <c r="G37" s="91">
        <v>2.9910512129380055E-2</v>
      </c>
      <c r="H37" s="91">
        <v>2.9801835949067226E-2</v>
      </c>
      <c r="I37" s="91">
        <v>2.9006956521739131E-2</v>
      </c>
      <c r="J37" s="91">
        <v>2.7706596818005438E-2</v>
      </c>
      <c r="K37" s="91">
        <v>2.7475072839106513E-2</v>
      </c>
      <c r="L37" s="91">
        <v>2.7092918778249556E-2</v>
      </c>
      <c r="M37" s="91">
        <v>2.6869612094222436E-2</v>
      </c>
      <c r="N37" s="94">
        <f>AVERAGE(B37:M37)</f>
        <v>3.4999843194527112E-2</v>
      </c>
      <c r="O37" s="82"/>
      <c r="P37" s="82"/>
      <c r="Q37" s="82"/>
      <c r="R37" s="82"/>
      <c r="S37" s="82"/>
    </row>
    <row r="38" spans="1:19" s="85" customFormat="1" x14ac:dyDescent="0.25">
      <c r="A38" s="165" t="s">
        <v>184</v>
      </c>
      <c r="B38" s="169">
        <v>9497.2222222222226</v>
      </c>
      <c r="C38" s="169">
        <v>19788.888888888891</v>
      </c>
      <c r="D38" s="169">
        <v>33908.333333333343</v>
      </c>
      <c r="E38" s="169">
        <v>52180.555555555562</v>
      </c>
      <c r="F38" s="169">
        <v>74750</v>
      </c>
      <c r="G38" s="169">
        <v>102736.11111111109</v>
      </c>
      <c r="H38" s="169">
        <v>132636.11111111109</v>
      </c>
      <c r="I38" s="169">
        <v>166147.22222222219</v>
      </c>
      <c r="J38" s="169">
        <v>204208.33333333331</v>
      </c>
      <c r="K38" s="169">
        <v>245302.77777777781</v>
      </c>
      <c r="L38" s="169">
        <v>293150</v>
      </c>
      <c r="M38" s="169">
        <v>342116.66666666669</v>
      </c>
      <c r="N38" s="82"/>
      <c r="O38" s="82"/>
      <c r="P38" s="82"/>
      <c r="Q38" s="82"/>
      <c r="R38" s="82"/>
      <c r="S38" s="82"/>
    </row>
    <row r="39" spans="1:19" x14ac:dyDescent="0.25">
      <c r="A39" s="88" t="s">
        <v>241</v>
      </c>
      <c r="B39" s="126">
        <f>SUM(B38:M38)</f>
        <v>1676422.2222222222</v>
      </c>
      <c r="C39" s="82"/>
      <c r="D39" s="82"/>
      <c r="E39" s="82"/>
      <c r="F39" s="82"/>
      <c r="G39" s="82"/>
      <c r="H39" s="82"/>
      <c r="I39" s="82"/>
      <c r="J39" s="82"/>
      <c r="K39" s="82"/>
      <c r="L39" s="82"/>
      <c r="M39" s="82"/>
      <c r="N39" s="82"/>
      <c r="O39" s="82"/>
      <c r="P39" s="82"/>
      <c r="Q39" s="82"/>
      <c r="R39" s="82"/>
      <c r="S39" s="82"/>
    </row>
    <row r="40" spans="1:19" s="131" customFormat="1" x14ac:dyDescent="0.25">
      <c r="A40" s="128"/>
      <c r="B40" s="129"/>
      <c r="C40" s="166"/>
      <c r="D40" s="166"/>
      <c r="E40" s="166"/>
      <c r="F40" s="166"/>
      <c r="G40" s="166"/>
      <c r="H40" s="166"/>
      <c r="I40" s="166"/>
      <c r="J40" s="166"/>
      <c r="K40" s="166"/>
      <c r="L40" s="166"/>
      <c r="M40" s="166"/>
      <c r="N40" s="166"/>
      <c r="O40" s="166"/>
      <c r="P40" s="166"/>
      <c r="Q40" s="166"/>
      <c r="R40" s="166"/>
      <c r="S40" s="166"/>
    </row>
    <row r="41" spans="1:19" s="85" customFormat="1" x14ac:dyDescent="0.25">
      <c r="B41" s="82"/>
      <c r="C41" s="82"/>
      <c r="D41" s="82"/>
      <c r="E41" s="82"/>
      <c r="F41" s="82"/>
      <c r="G41" s="82"/>
      <c r="H41" s="82"/>
      <c r="I41" s="82"/>
      <c r="J41" s="82"/>
      <c r="K41" s="82"/>
      <c r="L41" s="82"/>
      <c r="M41" s="82"/>
      <c r="N41" s="82"/>
      <c r="O41" s="82"/>
      <c r="P41" s="82"/>
      <c r="Q41" s="82"/>
      <c r="R41" s="82"/>
      <c r="S41" s="82"/>
    </row>
    <row r="42" spans="1:19" ht="18.75" customHeight="1" x14ac:dyDescent="0.3">
      <c r="A42" s="168" t="s">
        <v>251</v>
      </c>
      <c r="B42" s="82"/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  <c r="N42" s="82"/>
      <c r="O42" s="82"/>
      <c r="P42" s="82"/>
      <c r="Q42" s="82"/>
      <c r="R42" s="82"/>
      <c r="S42" s="82"/>
    </row>
    <row r="43" spans="1:19" x14ac:dyDescent="0.25">
      <c r="A43" s="83" t="s">
        <v>158</v>
      </c>
      <c r="B43" s="83" t="s">
        <v>217</v>
      </c>
      <c r="C43" s="83" t="s">
        <v>218</v>
      </c>
      <c r="D43" s="83" t="s">
        <v>219</v>
      </c>
      <c r="E43" s="83" t="s">
        <v>220</v>
      </c>
      <c r="F43" s="83" t="s">
        <v>221</v>
      </c>
      <c r="G43" s="83" t="s">
        <v>222</v>
      </c>
      <c r="H43" s="83" t="s">
        <v>223</v>
      </c>
      <c r="I43" s="83" t="s">
        <v>224</v>
      </c>
      <c r="J43" s="83" t="s">
        <v>225</v>
      </c>
      <c r="K43" s="83" t="s">
        <v>226</v>
      </c>
      <c r="L43" s="83" t="s">
        <v>227</v>
      </c>
      <c r="M43" s="83" t="s">
        <v>228</v>
      </c>
      <c r="N43" s="87" t="s">
        <v>249</v>
      </c>
      <c r="O43" s="82"/>
      <c r="P43" s="82"/>
      <c r="Q43" s="82"/>
      <c r="R43" s="82"/>
      <c r="S43" s="82"/>
    </row>
    <row r="44" spans="1:19" x14ac:dyDescent="0.25">
      <c r="A44" s="84" t="s">
        <v>237</v>
      </c>
      <c r="B44" s="90">
        <v>6.3361452157360398</v>
      </c>
      <c r="C44" s="90">
        <v>5.2203062005405405</v>
      </c>
      <c r="D44" s="90">
        <v>4.4073787500000003</v>
      </c>
      <c r="E44" s="90">
        <v>4.5946334257581727</v>
      </c>
      <c r="F44" s="90">
        <v>4.1569503421931531</v>
      </c>
      <c r="G44" s="90">
        <v>4.1043501677524432</v>
      </c>
      <c r="H44" s="90">
        <v>3.9635118670777398</v>
      </c>
      <c r="I44" s="90">
        <v>3.8584710899036088</v>
      </c>
      <c r="J44" s="90">
        <v>3.7582257230328033</v>
      </c>
      <c r="K44" s="90">
        <v>3.7226082857261686</v>
      </c>
      <c r="L44" s="90">
        <v>3.6636346552049814</v>
      </c>
      <c r="M44" s="90">
        <v>3.6472973290020176</v>
      </c>
      <c r="N44" s="92">
        <f>AVERAGE(B44:M44)</f>
        <v>4.2861260876606382</v>
      </c>
      <c r="O44" s="82"/>
      <c r="P44" s="82"/>
      <c r="Q44" s="82"/>
      <c r="R44" s="82"/>
      <c r="S44" s="82"/>
    </row>
    <row r="45" spans="1:19" x14ac:dyDescent="0.25">
      <c r="A45" s="84" t="s">
        <v>238</v>
      </c>
      <c r="B45" s="91">
        <v>0.10562002359953392</v>
      </c>
      <c r="C45" s="91">
        <v>8.7019606610110697E-2</v>
      </c>
      <c r="D45" s="91">
        <v>7.3468557259543266E-2</v>
      </c>
      <c r="E45" s="91">
        <v>7.6589988760763006E-2</v>
      </c>
      <c r="F45" s="91">
        <v>6.9294054712337932E-2</v>
      </c>
      <c r="G45" s="91">
        <v>6.8417239002374453E-2</v>
      </c>
      <c r="H45" s="91">
        <v>6.6069542708413725E-2</v>
      </c>
      <c r="I45" s="91">
        <v>6.4318571260270185E-2</v>
      </c>
      <c r="J45" s="91">
        <v>6.264753663998672E-2</v>
      </c>
      <c r="K45" s="91">
        <v>6.2053813731057984E-2</v>
      </c>
      <c r="L45" s="91">
        <v>6.1070756046090705E-2</v>
      </c>
      <c r="M45" s="91">
        <v>6.0798421887014793E-2</v>
      </c>
      <c r="N45" s="94">
        <f>AVERAGE(B45:M45)</f>
        <v>7.1447342684791443E-2</v>
      </c>
      <c r="O45" s="82"/>
      <c r="P45" s="82"/>
      <c r="Q45" s="82"/>
      <c r="R45" s="82"/>
      <c r="S45" s="82"/>
    </row>
    <row r="46" spans="1:19" x14ac:dyDescent="0.25">
      <c r="A46" s="84" t="s">
        <v>239</v>
      </c>
      <c r="B46" s="90">
        <v>4.5292830647208122</v>
      </c>
      <c r="C46" s="90">
        <v>2.8581181621621625</v>
      </c>
      <c r="D46" s="90">
        <v>2.328948105905007</v>
      </c>
      <c r="E46" s="90">
        <v>2.3059763784954712</v>
      </c>
      <c r="F46" s="90">
        <v>2.0694446259393264</v>
      </c>
      <c r="G46" s="90">
        <v>2.0137221412866451</v>
      </c>
      <c r="H46" s="90">
        <v>1.9345791710896039</v>
      </c>
      <c r="I46" s="90">
        <v>1.8773259628027681</v>
      </c>
      <c r="J46" s="90">
        <v>1.823756364258402</v>
      </c>
      <c r="K46" s="90">
        <v>1.8009859277158542</v>
      </c>
      <c r="L46" s="90">
        <v>1.7702077845249755</v>
      </c>
      <c r="M46" s="90">
        <v>1.759149621751513</v>
      </c>
      <c r="N46" s="92">
        <f>AVERAGE(B46:M46)</f>
        <v>2.2559581092210443</v>
      </c>
      <c r="O46" s="82"/>
      <c r="P46" s="82"/>
      <c r="Q46" s="82"/>
      <c r="R46" s="82"/>
      <c r="S46" s="82"/>
    </row>
    <row r="47" spans="1:19" x14ac:dyDescent="0.25">
      <c r="A47" s="84" t="s">
        <v>240</v>
      </c>
      <c r="B47" s="91">
        <v>7.5500634517766493E-2</v>
      </c>
      <c r="C47" s="91">
        <v>4.7643243243243247E-2</v>
      </c>
      <c r="D47" s="91">
        <v>3.8822272143774081E-2</v>
      </c>
      <c r="E47" s="91">
        <v>3.8439346199291069E-2</v>
      </c>
      <c r="F47" s="91">
        <v>3.4496493181185639E-2</v>
      </c>
      <c r="G47" s="91">
        <v>3.3567630293159609E-2</v>
      </c>
      <c r="H47" s="91">
        <v>3.2248360911645339E-2</v>
      </c>
      <c r="I47" s="91">
        <v>3.1293981710331188E-2</v>
      </c>
      <c r="J47" s="91">
        <v>3.0401006238679813E-2</v>
      </c>
      <c r="K47" s="91">
        <v>3.0021435701214436E-2</v>
      </c>
      <c r="L47" s="91">
        <v>2.9508381138939416E-2</v>
      </c>
      <c r="M47" s="91">
        <v>2.9324047703809183E-2</v>
      </c>
      <c r="N47" s="94">
        <f>AVERAGE(B47:M47)</f>
        <v>3.7605569415253295E-2</v>
      </c>
      <c r="O47" s="82"/>
      <c r="P47" s="82"/>
      <c r="Q47" s="82"/>
      <c r="R47" s="82"/>
      <c r="S47" s="82"/>
    </row>
    <row r="48" spans="1:19" s="85" customFormat="1" x14ac:dyDescent="0.25">
      <c r="A48" s="165" t="s">
        <v>184</v>
      </c>
      <c r="B48" s="169">
        <v>14227.777777777779</v>
      </c>
      <c r="C48" s="169">
        <v>33402.777777777781</v>
      </c>
      <c r="D48" s="169">
        <v>60197.222222222234</v>
      </c>
      <c r="E48" s="169">
        <v>94647.222222222234</v>
      </c>
      <c r="F48" s="169">
        <v>139316.66666666669</v>
      </c>
      <c r="G48" s="169">
        <v>189944.4444444445</v>
      </c>
      <c r="H48" s="169">
        <v>249997.22222222219</v>
      </c>
      <c r="I48" s="169">
        <v>317886.11111111112</v>
      </c>
      <c r="J48" s="169">
        <v>394550.00000000012</v>
      </c>
      <c r="K48" s="169">
        <v>479086.11111111112</v>
      </c>
      <c r="L48" s="169">
        <v>572866.66666666674</v>
      </c>
      <c r="M48" s="169">
        <v>672750.00000000012</v>
      </c>
      <c r="N48" s="82"/>
      <c r="O48" s="82"/>
      <c r="P48" s="82"/>
      <c r="Q48" s="82"/>
      <c r="R48" s="82"/>
      <c r="S48" s="82"/>
    </row>
    <row r="49" spans="1:19" x14ac:dyDescent="0.25">
      <c r="A49" s="88" t="s">
        <v>241</v>
      </c>
      <c r="B49" s="126">
        <v>3238769.444444444</v>
      </c>
      <c r="C49" s="82"/>
      <c r="D49" s="82"/>
      <c r="E49" s="82"/>
      <c r="F49" s="82"/>
      <c r="G49" s="82"/>
      <c r="H49" s="82"/>
      <c r="I49" s="82"/>
      <c r="J49" s="82"/>
      <c r="K49" s="82"/>
      <c r="L49" s="82"/>
      <c r="M49" s="82"/>
      <c r="N49" s="82"/>
      <c r="O49" s="82"/>
      <c r="P49" s="82"/>
      <c r="Q49" s="82"/>
      <c r="R49" s="82"/>
      <c r="S49" s="82"/>
    </row>
    <row r="50" spans="1:19" x14ac:dyDescent="0.25">
      <c r="A50" s="82"/>
      <c r="B50" s="82"/>
      <c r="C50" s="82"/>
      <c r="D50" s="82"/>
      <c r="E50" s="82"/>
      <c r="F50" s="82"/>
      <c r="G50" s="82"/>
      <c r="H50" s="82"/>
      <c r="I50" s="82"/>
      <c r="J50" s="82"/>
      <c r="K50" s="82"/>
      <c r="L50" s="82"/>
      <c r="M50" s="82"/>
      <c r="N50" s="82"/>
      <c r="O50" s="82"/>
      <c r="P50" s="82"/>
      <c r="Q50" s="82"/>
      <c r="R50" s="82"/>
      <c r="S50" s="82"/>
    </row>
    <row r="51" spans="1:19" x14ac:dyDescent="0.25">
      <c r="A51" s="82"/>
      <c r="B51" s="82"/>
      <c r="C51" s="82"/>
      <c r="D51" s="82"/>
      <c r="E51" s="82"/>
      <c r="F51" s="82"/>
      <c r="G51" s="82"/>
      <c r="H51" s="82"/>
      <c r="I51" s="82"/>
      <c r="J51" s="82"/>
      <c r="K51" s="82"/>
      <c r="L51" s="82"/>
      <c r="M51" s="82"/>
      <c r="N51" s="82"/>
      <c r="O51" s="82"/>
      <c r="P51" s="82"/>
      <c r="Q51" s="82"/>
      <c r="R51" s="82"/>
      <c r="S51" s="82"/>
    </row>
    <row r="52" spans="1:19" x14ac:dyDescent="0.25">
      <c r="A52" s="82"/>
      <c r="B52" s="82"/>
      <c r="C52" s="82"/>
      <c r="D52" s="82"/>
      <c r="E52" s="82"/>
      <c r="F52" s="82"/>
      <c r="G52" s="82"/>
      <c r="H52" s="82"/>
      <c r="I52" s="82"/>
      <c r="J52" s="82"/>
      <c r="K52" s="82"/>
      <c r="L52" s="82"/>
      <c r="M52" s="82"/>
      <c r="N52" s="82"/>
      <c r="O52" s="82"/>
      <c r="P52" s="82"/>
      <c r="Q52" s="82"/>
      <c r="R52" s="82"/>
      <c r="S52" s="82"/>
    </row>
    <row r="53" spans="1:19" ht="19.5" customHeight="1" x14ac:dyDescent="0.25">
      <c r="A53" s="220" t="s">
        <v>311</v>
      </c>
      <c r="B53" s="221"/>
      <c r="C53" s="82"/>
      <c r="D53" s="220" t="s">
        <v>252</v>
      </c>
      <c r="E53" s="221"/>
      <c r="F53" s="82"/>
      <c r="G53" s="82"/>
      <c r="H53" s="82"/>
      <c r="I53" s="82"/>
      <c r="J53" s="82"/>
      <c r="K53" s="82"/>
      <c r="L53" s="82"/>
      <c r="M53" s="82"/>
      <c r="N53" s="82"/>
      <c r="O53" s="82"/>
      <c r="P53" s="82"/>
      <c r="Q53" s="82"/>
      <c r="R53" s="82"/>
      <c r="S53" s="82"/>
    </row>
    <row r="54" spans="1:19" x14ac:dyDescent="0.25">
      <c r="A54" s="160" t="s">
        <v>253</v>
      </c>
      <c r="B54" s="160" t="s">
        <v>83</v>
      </c>
      <c r="C54" s="82"/>
      <c r="D54" s="160" t="s">
        <v>253</v>
      </c>
      <c r="E54" s="160" t="s">
        <v>83</v>
      </c>
      <c r="F54" s="154" t="s">
        <v>254</v>
      </c>
      <c r="G54" s="82"/>
      <c r="H54" s="82"/>
      <c r="I54" s="86" t="s">
        <v>255</v>
      </c>
      <c r="J54" s="82"/>
      <c r="K54" s="82"/>
      <c r="L54" s="82"/>
      <c r="M54" s="82"/>
      <c r="N54" s="82"/>
      <c r="O54" s="82"/>
      <c r="P54" s="82"/>
      <c r="Q54" s="82"/>
      <c r="R54" s="82"/>
      <c r="S54" s="82"/>
    </row>
    <row r="55" spans="1:19" s="85" customFormat="1" x14ac:dyDescent="0.25">
      <c r="A55" s="82" t="s">
        <v>256</v>
      </c>
      <c r="B55" s="124">
        <v>0.2</v>
      </c>
      <c r="C55" s="82"/>
      <c r="D55" s="127" t="s">
        <v>256</v>
      </c>
      <c r="E55" s="124">
        <v>0.2</v>
      </c>
      <c r="F55" s="130">
        <f t="shared" ref="F55:F62" si="3">E55-B55</f>
        <v>0</v>
      </c>
      <c r="G55" s="82"/>
      <c r="H55" s="82"/>
      <c r="I55" t="s">
        <v>213</v>
      </c>
      <c r="J55" t="s">
        <v>308</v>
      </c>
      <c r="L55" s="82"/>
      <c r="M55" s="82"/>
      <c r="N55" s="82"/>
      <c r="O55" s="82"/>
      <c r="P55" s="82"/>
      <c r="Q55" s="82"/>
      <c r="R55" s="82"/>
      <c r="S55" s="82"/>
    </row>
    <row r="56" spans="1:19" x14ac:dyDescent="0.25">
      <c r="A56" s="127" t="s">
        <v>257</v>
      </c>
      <c r="B56" s="124">
        <f>AVERAGE(B7:E7)</f>
        <v>9.2679925610850825E-2</v>
      </c>
      <c r="C56" s="82"/>
      <c r="D56" s="127" t="s">
        <v>257</v>
      </c>
      <c r="E56" s="124">
        <f>AVERAGE(E7:M7)</f>
        <v>7.2010753119748097E-2</v>
      </c>
      <c r="F56" s="187">
        <f t="shared" si="3"/>
        <v>-2.0669172491102727E-2</v>
      </c>
      <c r="G56" s="82"/>
      <c r="H56" s="82"/>
      <c r="I56" t="s">
        <v>258</v>
      </c>
      <c r="J56" t="s">
        <v>259</v>
      </c>
      <c r="L56" s="82"/>
      <c r="M56" s="82"/>
      <c r="N56" s="82"/>
      <c r="O56" s="82"/>
      <c r="P56" s="82"/>
      <c r="Q56" s="82"/>
      <c r="R56" s="82"/>
      <c r="S56" s="82"/>
    </row>
    <row r="57" spans="1:19" x14ac:dyDescent="0.25">
      <c r="A57" s="127" t="s">
        <v>260</v>
      </c>
      <c r="B57" s="124">
        <f>E17</f>
        <v>3.4623396504808474E-2</v>
      </c>
      <c r="C57" s="82"/>
      <c r="D57" s="127" t="s">
        <v>261</v>
      </c>
      <c r="E57" s="124">
        <f>E17</f>
        <v>3.4623396504808474E-2</v>
      </c>
      <c r="F57" s="130">
        <f t="shared" si="3"/>
        <v>0</v>
      </c>
      <c r="G57" s="82"/>
      <c r="H57" s="82"/>
      <c r="L57" s="82"/>
      <c r="M57" s="82"/>
      <c r="N57" s="82"/>
      <c r="O57" s="82"/>
      <c r="P57" s="82"/>
      <c r="Q57" s="82"/>
      <c r="R57" s="82"/>
      <c r="S57" s="82"/>
    </row>
    <row r="58" spans="1:19" x14ac:dyDescent="0.25">
      <c r="A58" s="127" t="s">
        <v>262</v>
      </c>
      <c r="B58" s="124">
        <v>0.06</v>
      </c>
      <c r="C58" s="82"/>
      <c r="D58" s="127" t="s">
        <v>262</v>
      </c>
      <c r="E58" s="124">
        <v>0.03</v>
      </c>
      <c r="F58" s="187">
        <f t="shared" si="3"/>
        <v>-0.03</v>
      </c>
      <c r="G58" s="82"/>
      <c r="H58" s="82"/>
      <c r="I58" s="86" t="s">
        <v>263</v>
      </c>
      <c r="J58" s="82"/>
      <c r="L58" s="82"/>
      <c r="M58" s="82"/>
      <c r="N58" s="82"/>
      <c r="O58" s="82"/>
      <c r="P58" s="82"/>
      <c r="Q58" s="82"/>
      <c r="R58" s="82"/>
      <c r="S58" s="82"/>
    </row>
    <row r="59" spans="1:19" x14ac:dyDescent="0.25">
      <c r="A59" s="127" t="s">
        <v>264</v>
      </c>
      <c r="B59" s="157">
        <v>0.08</v>
      </c>
      <c r="C59" s="82"/>
      <c r="D59" s="127" t="s">
        <v>264</v>
      </c>
      <c r="E59" s="157">
        <v>0.08</v>
      </c>
      <c r="F59" s="130">
        <f t="shared" si="3"/>
        <v>0</v>
      </c>
      <c r="G59" s="82"/>
      <c r="H59" s="82"/>
      <c r="I59" s="127" t="s">
        <v>265</v>
      </c>
      <c r="J59" s="205">
        <v>59.99</v>
      </c>
      <c r="L59" s="82"/>
      <c r="M59" s="82"/>
      <c r="N59" s="82"/>
      <c r="O59" s="82"/>
      <c r="P59" s="82"/>
      <c r="Q59" s="82"/>
      <c r="R59" s="82"/>
      <c r="S59" s="82"/>
    </row>
    <row r="60" spans="1:19" s="85" customFormat="1" x14ac:dyDescent="0.25">
      <c r="A60" s="127" t="s">
        <v>266</v>
      </c>
      <c r="B60" s="157">
        <f>0.5/J59</f>
        <v>8.3347224537422895E-3</v>
      </c>
      <c r="C60" s="82"/>
      <c r="D60" s="127" t="s">
        <v>266</v>
      </c>
      <c r="E60" s="157">
        <f>0.5/J59</f>
        <v>8.3347224537422895E-3</v>
      </c>
      <c r="F60" s="130">
        <f t="shared" si="3"/>
        <v>0</v>
      </c>
      <c r="G60" s="82"/>
      <c r="H60" s="82"/>
      <c r="I60" s="127" t="s">
        <v>267</v>
      </c>
      <c r="J60" s="205">
        <v>0</v>
      </c>
      <c r="L60" s="82"/>
      <c r="M60" s="82"/>
      <c r="N60" s="82"/>
      <c r="O60" s="82"/>
      <c r="P60" s="82"/>
      <c r="Q60" s="82"/>
      <c r="R60" s="82"/>
      <c r="S60" s="82"/>
    </row>
    <row r="61" spans="1:19" x14ac:dyDescent="0.25">
      <c r="A61" s="177" t="s">
        <v>268</v>
      </c>
      <c r="B61" s="178">
        <f>J61/J59</f>
        <v>0.10835139189864977</v>
      </c>
      <c r="C61" s="82"/>
      <c r="D61" s="161" t="s">
        <v>269</v>
      </c>
      <c r="E61" s="162">
        <f>J62/J59</f>
        <v>7.5012502083680613E-2</v>
      </c>
      <c r="F61" s="187">
        <f t="shared" si="3"/>
        <v>-3.3338889814969158E-2</v>
      </c>
      <c r="G61" s="82"/>
      <c r="H61" s="82"/>
      <c r="I61" s="127" t="s">
        <v>270</v>
      </c>
      <c r="J61" s="205">
        <v>6.5</v>
      </c>
      <c r="L61" s="82"/>
      <c r="M61" s="82"/>
      <c r="N61" s="82"/>
      <c r="O61" s="82"/>
      <c r="P61" s="82"/>
      <c r="Q61" s="82"/>
      <c r="R61" s="82"/>
      <c r="S61" s="82"/>
    </row>
    <row r="62" spans="1:19" x14ac:dyDescent="0.25">
      <c r="A62" s="161" t="s">
        <v>271</v>
      </c>
      <c r="B62" s="162">
        <v>0</v>
      </c>
      <c r="C62" s="82"/>
      <c r="D62" s="185" t="s">
        <v>271</v>
      </c>
      <c r="E62" s="186">
        <v>0</v>
      </c>
      <c r="F62" s="130">
        <f t="shared" si="3"/>
        <v>0</v>
      </c>
      <c r="G62" s="82"/>
      <c r="H62" s="82"/>
      <c r="I62" s="127" t="s">
        <v>272</v>
      </c>
      <c r="J62" s="205">
        <v>4.5</v>
      </c>
      <c r="L62" s="82"/>
      <c r="M62" s="82"/>
      <c r="N62" s="82"/>
      <c r="O62" s="82"/>
      <c r="P62" s="82"/>
      <c r="Q62" s="82"/>
      <c r="R62" s="82"/>
      <c r="S62" s="82"/>
    </row>
    <row r="63" spans="1:19" x14ac:dyDescent="0.25">
      <c r="A63" s="179"/>
      <c r="B63" s="180"/>
      <c r="C63" s="82"/>
      <c r="F63" s="82"/>
      <c r="G63" s="82"/>
      <c r="H63" s="82"/>
      <c r="I63" s="82"/>
      <c r="L63" s="82"/>
      <c r="M63" s="82"/>
      <c r="N63" s="82"/>
      <c r="O63" s="82"/>
      <c r="P63" s="82"/>
      <c r="Q63" s="82"/>
      <c r="R63" s="82"/>
      <c r="S63" s="82"/>
    </row>
    <row r="64" spans="1:19" x14ac:dyDescent="0.25">
      <c r="A64" s="82"/>
      <c r="B64" s="82"/>
      <c r="C64" s="82"/>
      <c r="F64" s="82"/>
      <c r="G64" s="82"/>
      <c r="I64" s="82"/>
      <c r="J64" s="82"/>
      <c r="K64" s="82"/>
      <c r="L64" s="82"/>
      <c r="M64" s="82"/>
      <c r="N64" s="82"/>
      <c r="O64" s="82"/>
      <c r="P64" s="82"/>
      <c r="Q64" s="82"/>
      <c r="R64" s="82"/>
      <c r="S64" s="82"/>
    </row>
    <row r="65" spans="1:19" x14ac:dyDescent="0.25">
      <c r="A65" s="159" t="s">
        <v>273</v>
      </c>
      <c r="B65" s="158">
        <f>SUM(B55:B63)</f>
        <v>0.58398943646805135</v>
      </c>
      <c r="C65" s="82"/>
      <c r="D65" s="159" t="s">
        <v>273</v>
      </c>
      <c r="E65" s="158">
        <f>SUM(E55:E62)</f>
        <v>0.49998137416197952</v>
      </c>
      <c r="F65" s="130">
        <f>E65-B65</f>
        <v>-8.4008062306071829E-2</v>
      </c>
      <c r="G65" s="82"/>
      <c r="H65" s="82"/>
      <c r="I65" s="82" t="s">
        <v>309</v>
      </c>
      <c r="J65" s="82"/>
      <c r="K65" s="82"/>
      <c r="L65" s="82"/>
      <c r="M65" s="82"/>
      <c r="N65" s="82"/>
      <c r="O65" s="82"/>
      <c r="P65" s="82"/>
      <c r="Q65" s="82"/>
      <c r="R65" s="82"/>
      <c r="S65" s="82"/>
    </row>
    <row r="66" spans="1:19" x14ac:dyDescent="0.25">
      <c r="A66" s="155"/>
      <c r="B66" s="89"/>
      <c r="C66" s="82"/>
      <c r="D66" s="82"/>
      <c r="E66" s="82"/>
      <c r="F66" s="82"/>
      <c r="G66" s="82"/>
      <c r="H66" s="82"/>
      <c r="I66" s="82"/>
      <c r="J66" s="82"/>
      <c r="K66" s="82"/>
      <c r="L66" s="82"/>
      <c r="M66" s="82"/>
      <c r="N66" s="82"/>
      <c r="O66" s="82"/>
      <c r="P66" s="82"/>
      <c r="Q66" s="82"/>
      <c r="R66" s="82"/>
      <c r="S66" s="82"/>
    </row>
    <row r="67" spans="1:19" x14ac:dyDescent="0.25">
      <c r="C67" s="82"/>
      <c r="D67" s="82"/>
      <c r="E67" s="82"/>
      <c r="F67" s="82"/>
      <c r="G67" s="82"/>
      <c r="H67" s="82"/>
      <c r="I67" s="82"/>
      <c r="J67" s="82"/>
      <c r="K67" s="82"/>
      <c r="L67" s="82"/>
      <c r="M67" s="82"/>
      <c r="N67" s="82"/>
      <c r="O67" s="82"/>
      <c r="P67" s="82"/>
      <c r="Q67" s="82"/>
      <c r="R67" s="82"/>
      <c r="S67" s="82"/>
    </row>
    <row r="68" spans="1:19" x14ac:dyDescent="0.25">
      <c r="A68" s="82"/>
      <c r="B68" s="82"/>
      <c r="C68" s="82"/>
      <c r="D68" s="82"/>
      <c r="E68" s="82"/>
      <c r="F68" s="82"/>
      <c r="G68" s="82"/>
      <c r="H68" s="82"/>
      <c r="I68" s="82"/>
      <c r="J68" s="82"/>
      <c r="K68" s="82"/>
      <c r="L68" s="82"/>
      <c r="M68" s="82"/>
      <c r="N68" s="82"/>
      <c r="O68" s="82"/>
      <c r="P68" s="82"/>
      <c r="Q68" s="82"/>
      <c r="R68" s="82"/>
      <c r="S68" s="82"/>
    </row>
    <row r="69" spans="1:19" x14ac:dyDescent="0.25">
      <c r="A69" s="181" t="s">
        <v>182</v>
      </c>
      <c r="B69" s="184">
        <f>J59</f>
        <v>59.99</v>
      </c>
      <c r="C69" s="82"/>
      <c r="D69" s="181" t="s">
        <v>182</v>
      </c>
      <c r="E69" s="184">
        <f>J59</f>
        <v>59.99</v>
      </c>
      <c r="F69" s="82"/>
      <c r="G69" s="82"/>
      <c r="H69" s="82"/>
      <c r="I69" s="82"/>
      <c r="J69" s="82"/>
      <c r="K69" s="82"/>
      <c r="L69" s="82"/>
      <c r="M69" s="82"/>
      <c r="N69" s="82"/>
      <c r="O69" s="82"/>
      <c r="P69" s="82"/>
      <c r="Q69" s="82"/>
      <c r="R69" s="82"/>
      <c r="S69" s="82"/>
    </row>
    <row r="70" spans="1:19" x14ac:dyDescent="0.25">
      <c r="A70" t="s">
        <v>267</v>
      </c>
      <c r="B70" s="176">
        <v>0</v>
      </c>
      <c r="C70" s="82"/>
      <c r="D70" t="s">
        <v>267</v>
      </c>
      <c r="E70" s="176">
        <v>0</v>
      </c>
      <c r="F70" s="82"/>
      <c r="G70" s="82"/>
      <c r="H70" s="82"/>
      <c r="I70" s="82"/>
      <c r="J70" s="82"/>
      <c r="K70" s="82"/>
      <c r="L70" s="82"/>
      <c r="M70" s="82"/>
      <c r="N70" s="82"/>
      <c r="O70" s="82"/>
      <c r="P70" s="82"/>
      <c r="Q70" s="82"/>
      <c r="R70" s="82"/>
      <c r="S70" s="82"/>
    </row>
    <row r="71" spans="1:19" x14ac:dyDescent="0.25">
      <c r="A71" s="82"/>
      <c r="B71" s="156"/>
      <c r="C71" s="82"/>
      <c r="D71" s="82"/>
      <c r="E71" s="156"/>
      <c r="F71" s="82"/>
      <c r="G71" s="82"/>
      <c r="H71" s="82"/>
      <c r="I71" s="82"/>
      <c r="J71" s="82"/>
      <c r="K71" s="82"/>
      <c r="L71" s="82"/>
      <c r="M71" s="82"/>
      <c r="N71" s="82"/>
      <c r="O71" s="82"/>
      <c r="P71" s="82"/>
      <c r="Q71" s="82"/>
      <c r="R71" s="82"/>
      <c r="S71" s="82"/>
    </row>
    <row r="72" spans="1:19" x14ac:dyDescent="0.25">
      <c r="A72" s="181" t="s">
        <v>274</v>
      </c>
      <c r="B72" s="184">
        <f>B69-B70</f>
        <v>59.99</v>
      </c>
      <c r="C72" s="82"/>
      <c r="D72" s="181" t="s">
        <v>274</v>
      </c>
      <c r="E72" s="184">
        <f>E69-E70</f>
        <v>59.99</v>
      </c>
      <c r="F72" s="82"/>
      <c r="G72" s="82"/>
      <c r="H72" s="82"/>
      <c r="I72" s="82"/>
      <c r="J72" s="82"/>
      <c r="K72" s="82"/>
      <c r="L72" s="82"/>
      <c r="M72" s="82"/>
      <c r="N72" s="82"/>
      <c r="O72" s="82"/>
      <c r="P72" s="82"/>
      <c r="Q72" s="82"/>
      <c r="R72" s="82"/>
      <c r="S72" s="82"/>
    </row>
    <row r="73" spans="1:19" x14ac:dyDescent="0.25">
      <c r="A73" s="82" t="s">
        <v>275</v>
      </c>
      <c r="B73" s="182">
        <f>B65*B69</f>
        <v>35.033526293718403</v>
      </c>
      <c r="C73" s="82"/>
      <c r="D73" s="82" t="s">
        <v>275</v>
      </c>
      <c r="E73" s="182">
        <f>E65*E69</f>
        <v>29.993882635977151</v>
      </c>
      <c r="F73" s="130"/>
      <c r="G73" s="82"/>
      <c r="H73" s="82"/>
      <c r="I73" s="82"/>
      <c r="J73" s="82"/>
      <c r="K73" s="82"/>
      <c r="L73" s="82"/>
      <c r="M73" s="82"/>
      <c r="N73" s="82"/>
      <c r="O73" s="82"/>
      <c r="P73" s="82"/>
      <c r="Q73" s="82"/>
      <c r="R73" s="82"/>
      <c r="S73" s="82"/>
    </row>
    <row r="74" spans="1:19" x14ac:dyDescent="0.25">
      <c r="A74" s="82"/>
      <c r="B74" s="156"/>
      <c r="C74" s="82"/>
      <c r="D74" s="82"/>
      <c r="E74" s="156"/>
      <c r="F74" s="82"/>
      <c r="G74" s="82"/>
      <c r="H74" s="82"/>
      <c r="I74" s="82"/>
      <c r="J74" s="82"/>
      <c r="K74" s="82"/>
      <c r="L74" s="82"/>
      <c r="M74" s="82"/>
      <c r="N74" s="82"/>
      <c r="O74" s="82"/>
      <c r="P74" s="82"/>
      <c r="Q74" s="82"/>
      <c r="R74" s="82"/>
      <c r="S74" s="82"/>
    </row>
    <row r="75" spans="1:19" x14ac:dyDescent="0.25">
      <c r="A75" s="183" t="s">
        <v>310</v>
      </c>
      <c r="B75" s="184">
        <f>B72-B73</f>
        <v>24.956473706281599</v>
      </c>
      <c r="C75" s="82"/>
      <c r="D75" s="183" t="s">
        <v>276</v>
      </c>
      <c r="E75" s="184">
        <f>E72-E73</f>
        <v>29.996117364022851</v>
      </c>
      <c r="F75" s="82"/>
      <c r="G75" s="82"/>
      <c r="H75" s="82"/>
      <c r="I75" s="82"/>
      <c r="J75" s="82"/>
      <c r="K75" s="82"/>
      <c r="L75" s="82"/>
      <c r="M75" s="82"/>
      <c r="N75" s="82"/>
      <c r="O75" s="82"/>
      <c r="P75" s="82"/>
      <c r="Q75" s="82"/>
      <c r="R75" s="82"/>
      <c r="S75" s="82"/>
    </row>
    <row r="76" spans="1:19" x14ac:dyDescent="0.25">
      <c r="A76" s="82" t="s">
        <v>277</v>
      </c>
      <c r="B76" s="89">
        <f>B75/J59</f>
        <v>0.41601056353194865</v>
      </c>
      <c r="C76" s="82"/>
      <c r="D76" s="82" t="s">
        <v>277</v>
      </c>
      <c r="E76" s="89">
        <f>E75/J59</f>
        <v>0.50001862583802048</v>
      </c>
      <c r="F76" s="82"/>
      <c r="G76" s="82"/>
      <c r="H76" s="82"/>
      <c r="I76" s="82"/>
      <c r="J76" s="82"/>
      <c r="K76" s="82"/>
      <c r="L76" s="82"/>
      <c r="M76" s="82"/>
      <c r="N76" s="82"/>
      <c r="O76" s="82"/>
      <c r="P76" s="82"/>
      <c r="Q76" s="82"/>
      <c r="R76" s="82"/>
      <c r="S76" s="82"/>
    </row>
    <row r="77" spans="1:19" x14ac:dyDescent="0.25">
      <c r="A77" s="82"/>
      <c r="B77" s="156"/>
      <c r="C77" s="82"/>
      <c r="D77" s="82"/>
      <c r="E77" s="82"/>
      <c r="F77" s="82"/>
      <c r="G77" s="82"/>
      <c r="H77" s="82"/>
      <c r="I77" s="82"/>
      <c r="J77" s="82"/>
      <c r="K77" s="82"/>
      <c r="L77" s="82"/>
      <c r="M77" s="82"/>
      <c r="N77" s="82"/>
      <c r="O77" s="82"/>
      <c r="P77" s="82"/>
      <c r="Q77" s="82"/>
      <c r="R77" s="82"/>
      <c r="S77" s="82"/>
    </row>
    <row r="78" spans="1:19" x14ac:dyDescent="0.25">
      <c r="A78" s="82"/>
      <c r="B78" s="156"/>
      <c r="C78" s="82"/>
      <c r="D78" s="82"/>
      <c r="E78" s="82"/>
      <c r="F78" s="82"/>
      <c r="G78" s="82"/>
      <c r="H78" s="82"/>
      <c r="I78" s="82"/>
      <c r="J78" s="82"/>
      <c r="K78" s="82"/>
      <c r="L78" s="82"/>
      <c r="M78" s="82"/>
      <c r="N78" s="82"/>
      <c r="O78" s="82"/>
      <c r="P78" s="82"/>
      <c r="Q78" s="82"/>
      <c r="R78" s="82"/>
      <c r="S78" s="82"/>
    </row>
    <row r="79" spans="1:19" x14ac:dyDescent="0.25">
      <c r="A79" s="82"/>
      <c r="B79" s="82"/>
      <c r="C79" s="82"/>
      <c r="D79" s="82"/>
      <c r="E79" s="82"/>
      <c r="F79" s="82"/>
      <c r="G79" s="82"/>
      <c r="H79" s="82"/>
      <c r="I79" s="82"/>
      <c r="J79" s="82"/>
      <c r="K79" s="82"/>
      <c r="L79" s="82"/>
      <c r="M79" s="82"/>
      <c r="N79" s="82"/>
      <c r="O79" s="82"/>
      <c r="P79" s="82"/>
      <c r="Q79" s="82"/>
      <c r="R79" s="82"/>
      <c r="S79" s="82"/>
    </row>
    <row r="80" spans="1:19" x14ac:dyDescent="0.25">
      <c r="A80" s="82"/>
      <c r="B80" s="82"/>
      <c r="C80" s="82"/>
      <c r="D80" s="82"/>
      <c r="E80" s="82"/>
      <c r="F80" s="82"/>
      <c r="G80" s="82"/>
      <c r="H80" s="82"/>
      <c r="I80" s="82"/>
      <c r="J80" s="82"/>
      <c r="K80" s="82"/>
      <c r="L80" s="82"/>
      <c r="M80" s="82"/>
      <c r="N80" s="82"/>
      <c r="O80" s="82"/>
      <c r="P80" s="82"/>
      <c r="Q80" s="82"/>
      <c r="R80" s="82"/>
      <c r="S80" s="82"/>
    </row>
    <row r="81" spans="1:19" x14ac:dyDescent="0.25">
      <c r="A81" s="82"/>
      <c r="B81" s="82"/>
      <c r="C81" s="82"/>
      <c r="D81" s="82"/>
      <c r="E81" s="82"/>
      <c r="F81" s="82"/>
      <c r="G81" s="82"/>
      <c r="H81" s="82"/>
      <c r="I81" s="82"/>
      <c r="J81" s="82"/>
      <c r="K81" s="82"/>
      <c r="L81" s="82"/>
      <c r="M81" s="82"/>
      <c r="N81" s="82"/>
      <c r="O81" s="82"/>
      <c r="P81" s="82"/>
      <c r="Q81" s="82"/>
      <c r="R81" s="82"/>
      <c r="S81" s="82"/>
    </row>
    <row r="82" spans="1:19" x14ac:dyDescent="0.25">
      <c r="A82" s="82"/>
      <c r="B82" s="82"/>
      <c r="C82" s="82"/>
      <c r="D82" s="82"/>
      <c r="E82" s="82"/>
      <c r="F82" s="82"/>
      <c r="G82" s="82"/>
      <c r="H82" s="82"/>
      <c r="I82" s="82"/>
      <c r="J82" s="82"/>
      <c r="K82" s="82"/>
      <c r="L82" s="82"/>
      <c r="M82" s="82"/>
      <c r="N82" s="82"/>
      <c r="O82" s="82"/>
      <c r="P82" s="82"/>
      <c r="Q82" s="82"/>
      <c r="R82" s="82"/>
      <c r="S82" s="82"/>
    </row>
  </sheetData>
  <mergeCells count="3">
    <mergeCell ref="A1:E1"/>
    <mergeCell ref="A53:B53"/>
    <mergeCell ref="D53:E53"/>
  </mergeCells>
  <pageMargins left="0.75" right="0.75" top="1" bottom="1" header="0.5" footer="0.5"/>
  <ignoredErrors>
    <ignoredError sqref="B9:M9 C7:M7 B8:M8" formula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O48"/>
  <sheetViews>
    <sheetView zoomScale="130" zoomScaleNormal="130" workbookViewId="0">
      <selection activeCell="G10" sqref="G10"/>
    </sheetView>
  </sheetViews>
  <sheetFormatPr defaultRowHeight="15" x14ac:dyDescent="0.25"/>
  <cols>
    <col min="1" max="1" width="22" customWidth="1"/>
    <col min="2" max="2" width="12.28515625" customWidth="1"/>
    <col min="3" max="13" width="10" customWidth="1"/>
  </cols>
  <sheetData>
    <row r="1" spans="1:9" ht="18.75" customHeight="1" x14ac:dyDescent="0.3">
      <c r="A1" s="102" t="s">
        <v>278</v>
      </c>
    </row>
    <row r="2" spans="1:9" x14ac:dyDescent="0.25">
      <c r="A2" s="103" t="s">
        <v>279</v>
      </c>
    </row>
    <row r="4" spans="1:9" x14ac:dyDescent="0.25">
      <c r="A4" s="104" t="s">
        <v>280</v>
      </c>
    </row>
    <row r="5" spans="1:9" x14ac:dyDescent="0.25">
      <c r="A5" s="105" t="s">
        <v>281</v>
      </c>
      <c r="B5" s="105" t="s">
        <v>282</v>
      </c>
      <c r="C5" s="105" t="s">
        <v>283</v>
      </c>
      <c r="D5" s="105" t="s">
        <v>284</v>
      </c>
      <c r="F5" s="62" t="s">
        <v>285</v>
      </c>
      <c r="G5" s="120" t="s">
        <v>286</v>
      </c>
      <c r="H5" s="120" t="s">
        <v>283</v>
      </c>
      <c r="I5" s="120" t="s">
        <v>284</v>
      </c>
    </row>
    <row r="6" spans="1:9" x14ac:dyDescent="0.25">
      <c r="A6" s="106" t="s">
        <v>81</v>
      </c>
      <c r="B6" s="107">
        <v>1</v>
      </c>
      <c r="C6" s="107">
        <v>2</v>
      </c>
      <c r="D6" s="107">
        <v>3</v>
      </c>
      <c r="G6" s="121">
        <v>3</v>
      </c>
      <c r="H6" s="121">
        <v>3</v>
      </c>
      <c r="I6" s="121">
        <v>3</v>
      </c>
    </row>
    <row r="7" spans="1:9" x14ac:dyDescent="0.25">
      <c r="A7" s="108" t="s">
        <v>85</v>
      </c>
      <c r="B7" s="107">
        <f>B6*$G$6</f>
        <v>3</v>
      </c>
      <c r="C7" s="107">
        <f>C6*$H$6</f>
        <v>6</v>
      </c>
      <c r="D7" s="107">
        <f>D6*$I$6</f>
        <v>9</v>
      </c>
    </row>
    <row r="8" spans="1:9" x14ac:dyDescent="0.25">
      <c r="A8" s="109" t="s">
        <v>86</v>
      </c>
      <c r="B8" s="107">
        <f>B7*$G$6</f>
        <v>9</v>
      </c>
      <c r="C8" s="107">
        <f>C7*$H$6</f>
        <v>18</v>
      </c>
      <c r="D8" s="107">
        <f>D7*$I$6</f>
        <v>27</v>
      </c>
    </row>
    <row r="9" spans="1:9" x14ac:dyDescent="0.25">
      <c r="A9" s="110" t="s">
        <v>88</v>
      </c>
      <c r="B9" s="107">
        <f>B8*$G$6</f>
        <v>27</v>
      </c>
      <c r="C9" s="107">
        <f>C8*$H$6</f>
        <v>54</v>
      </c>
      <c r="D9" s="107">
        <f>D8*$I$6</f>
        <v>81</v>
      </c>
    </row>
    <row r="11" spans="1:9" x14ac:dyDescent="0.25">
      <c r="A11" s="104" t="s">
        <v>287</v>
      </c>
    </row>
    <row r="12" spans="1:9" x14ac:dyDescent="0.25">
      <c r="A12" s="105" t="s">
        <v>281</v>
      </c>
      <c r="B12" s="105" t="s">
        <v>282</v>
      </c>
      <c r="C12" s="105" t="s">
        <v>283</v>
      </c>
      <c r="D12" s="105" t="s">
        <v>284</v>
      </c>
    </row>
    <row r="13" spans="1:9" x14ac:dyDescent="0.25">
      <c r="A13" s="106" t="s">
        <v>81</v>
      </c>
      <c r="B13" s="111">
        <v>0.95</v>
      </c>
      <c r="C13" s="111">
        <v>0.95</v>
      </c>
      <c r="D13" s="111">
        <v>0.95</v>
      </c>
    </row>
    <row r="14" spans="1:9" x14ac:dyDescent="0.25">
      <c r="A14" s="108" t="s">
        <v>85</v>
      </c>
      <c r="B14" s="111">
        <v>0.05</v>
      </c>
      <c r="C14" s="111">
        <v>0.05</v>
      </c>
      <c r="D14" s="111">
        <v>0.05</v>
      </c>
    </row>
    <row r="15" spans="1:9" x14ac:dyDescent="0.25">
      <c r="A15" s="109" t="s">
        <v>86</v>
      </c>
      <c r="B15" s="111">
        <v>0</v>
      </c>
      <c r="C15" s="111">
        <v>0</v>
      </c>
      <c r="D15" s="111">
        <v>0</v>
      </c>
    </row>
    <row r="16" spans="1:9" x14ac:dyDescent="0.25">
      <c r="A16" s="110" t="s">
        <v>88</v>
      </c>
      <c r="B16" s="111">
        <v>0</v>
      </c>
      <c r="C16" s="111">
        <v>0</v>
      </c>
      <c r="D16" s="111">
        <v>0</v>
      </c>
    </row>
    <row r="17" spans="1:41" s="85" customFormat="1" x14ac:dyDescent="0.25">
      <c r="A17" s="62" t="s">
        <v>288</v>
      </c>
      <c r="B17" s="99">
        <f>SUM(B13:B16)</f>
        <v>1</v>
      </c>
      <c r="C17" s="99">
        <f>SUM(C13:C16)</f>
        <v>1</v>
      </c>
      <c r="D17" s="99">
        <f>SUM(D13:D16)</f>
        <v>1</v>
      </c>
    </row>
    <row r="19" spans="1:41" x14ac:dyDescent="0.25">
      <c r="A19" s="104" t="s">
        <v>289</v>
      </c>
    </row>
    <row r="20" spans="1:41" x14ac:dyDescent="0.25">
      <c r="A20" s="105" t="s">
        <v>281</v>
      </c>
      <c r="B20" s="105" t="s">
        <v>282</v>
      </c>
      <c r="C20" s="105" t="s">
        <v>283</v>
      </c>
      <c r="D20" s="105" t="s">
        <v>284</v>
      </c>
    </row>
    <row r="21" spans="1:41" x14ac:dyDescent="0.25">
      <c r="A21" s="106" t="s">
        <v>81</v>
      </c>
      <c r="B21" s="111">
        <v>0.5</v>
      </c>
      <c r="C21" s="111">
        <v>0.35</v>
      </c>
      <c r="D21" s="111">
        <v>0.3</v>
      </c>
    </row>
    <row r="22" spans="1:41" x14ac:dyDescent="0.25">
      <c r="A22" s="108" t="s">
        <v>85</v>
      </c>
      <c r="B22" s="111">
        <v>0.41</v>
      </c>
      <c r="C22" s="111">
        <v>0.48</v>
      </c>
      <c r="D22" s="111">
        <v>0.4</v>
      </c>
    </row>
    <row r="23" spans="1:41" x14ac:dyDescent="0.25">
      <c r="A23" s="109" t="s">
        <v>86</v>
      </c>
      <c r="B23" s="111">
        <v>0.06</v>
      </c>
      <c r="C23" s="111">
        <v>0.1</v>
      </c>
      <c r="D23" s="111">
        <v>0.2</v>
      </c>
    </row>
    <row r="24" spans="1:41" x14ac:dyDescent="0.25">
      <c r="A24" s="110" t="s">
        <v>88</v>
      </c>
      <c r="B24" s="111">
        <v>0.03</v>
      </c>
      <c r="C24" s="111">
        <v>7.0000000000000007E-2</v>
      </c>
      <c r="D24" s="111">
        <v>0.1</v>
      </c>
    </row>
    <row r="25" spans="1:41" x14ac:dyDescent="0.25">
      <c r="A25" s="62" t="s">
        <v>288</v>
      </c>
      <c r="B25" s="99">
        <f>SUM(B21:B24)</f>
        <v>1</v>
      </c>
      <c r="C25" s="99">
        <f>SUM(C21:C24)</f>
        <v>1</v>
      </c>
      <c r="D25" s="99">
        <f>SUM(D21:D24)</f>
        <v>0.99999999999999989</v>
      </c>
    </row>
    <row r="27" spans="1:41" x14ac:dyDescent="0.25">
      <c r="A27" s="118" t="s">
        <v>290</v>
      </c>
    </row>
    <row r="28" spans="1:41" s="85" customFormat="1" x14ac:dyDescent="0.25">
      <c r="A28" s="86" t="s">
        <v>282</v>
      </c>
      <c r="O28" s="119" t="s">
        <v>283</v>
      </c>
      <c r="AC28" s="119" t="s">
        <v>284</v>
      </c>
    </row>
    <row r="29" spans="1:41" x14ac:dyDescent="0.25">
      <c r="A29" s="105" t="s">
        <v>281</v>
      </c>
      <c r="B29" s="105" t="s">
        <v>217</v>
      </c>
      <c r="C29" s="105" t="s">
        <v>218</v>
      </c>
      <c r="D29" s="105" t="s">
        <v>219</v>
      </c>
      <c r="E29" s="105" t="s">
        <v>220</v>
      </c>
      <c r="F29" s="105" t="s">
        <v>221</v>
      </c>
      <c r="G29" s="105" t="s">
        <v>222</v>
      </c>
      <c r="H29" s="105" t="s">
        <v>223</v>
      </c>
      <c r="I29" s="105" t="s">
        <v>224</v>
      </c>
      <c r="J29" s="105" t="s">
        <v>225</v>
      </c>
      <c r="K29" s="105" t="s">
        <v>226</v>
      </c>
      <c r="L29" s="105" t="s">
        <v>227</v>
      </c>
      <c r="M29" s="105" t="s">
        <v>228</v>
      </c>
      <c r="O29" s="105" t="s">
        <v>281</v>
      </c>
      <c r="P29" s="105" t="s">
        <v>217</v>
      </c>
      <c r="Q29" s="105" t="s">
        <v>218</v>
      </c>
      <c r="R29" s="105" t="s">
        <v>219</v>
      </c>
      <c r="S29" s="105" t="s">
        <v>220</v>
      </c>
      <c r="T29" s="105" t="s">
        <v>221</v>
      </c>
      <c r="U29" s="105" t="s">
        <v>222</v>
      </c>
      <c r="V29" s="105" t="s">
        <v>223</v>
      </c>
      <c r="W29" s="105" t="s">
        <v>224</v>
      </c>
      <c r="X29" s="105" t="s">
        <v>225</v>
      </c>
      <c r="Y29" s="105" t="s">
        <v>226</v>
      </c>
      <c r="Z29" s="105" t="s">
        <v>227</v>
      </c>
      <c r="AA29" s="105" t="s">
        <v>228</v>
      </c>
      <c r="AC29" s="105" t="s">
        <v>281</v>
      </c>
      <c r="AD29" s="105" t="s">
        <v>217</v>
      </c>
      <c r="AE29" s="105" t="s">
        <v>218</v>
      </c>
      <c r="AF29" s="105" t="s">
        <v>219</v>
      </c>
      <c r="AG29" s="105" t="s">
        <v>220</v>
      </c>
      <c r="AH29" s="105" t="s">
        <v>221</v>
      </c>
      <c r="AI29" s="105" t="s">
        <v>222</v>
      </c>
      <c r="AJ29" s="105" t="s">
        <v>223</v>
      </c>
      <c r="AK29" s="105" t="s">
        <v>224</v>
      </c>
      <c r="AL29" s="105" t="s">
        <v>225</v>
      </c>
      <c r="AM29" s="105" t="s">
        <v>226</v>
      </c>
      <c r="AN29" s="105" t="s">
        <v>227</v>
      </c>
      <c r="AO29" s="105" t="s">
        <v>228</v>
      </c>
    </row>
    <row r="30" spans="1:41" x14ac:dyDescent="0.25">
      <c r="A30" s="106" t="s">
        <v>81</v>
      </c>
      <c r="B30" s="116">
        <f>$B$13</f>
        <v>0.95</v>
      </c>
      <c r="C30" s="116">
        <f>$B$13+($B$21-$B$13)*1/11</f>
        <v>0.90909090909090906</v>
      </c>
      <c r="D30" s="116">
        <f>$B$13+($B$21-$B$13)*2/11</f>
        <v>0.86818181818181817</v>
      </c>
      <c r="E30" s="116">
        <f>$B$13+($B$21-$B$13)*3/11</f>
        <v>0.82727272727272727</v>
      </c>
      <c r="F30" s="116">
        <f>$B$13+($B$21-$B$13)*4/11</f>
        <v>0.78636363636363638</v>
      </c>
      <c r="G30" s="116">
        <f>$B$13+($B$21-$B$13)*5/11</f>
        <v>0.74545454545454537</v>
      </c>
      <c r="H30" s="116">
        <f>$B$13+($B$21-$B$13)*6/11</f>
        <v>0.70454545454545459</v>
      </c>
      <c r="I30" s="116">
        <f>$B$13+($B$21-$B$13)*7/11</f>
        <v>0.66363636363636358</v>
      </c>
      <c r="J30" s="116">
        <f>$B$13+($B$21-$B$13)*8/11</f>
        <v>0.6227272727272728</v>
      </c>
      <c r="K30" s="116">
        <f>$B$13+($B$21-$B$13)*9/11</f>
        <v>0.58181818181818179</v>
      </c>
      <c r="L30" s="116">
        <f>$B$13+($B$21-$B$13)*10/11</f>
        <v>0.54090909090909078</v>
      </c>
      <c r="M30" s="116">
        <f>$B$21</f>
        <v>0.5</v>
      </c>
      <c r="O30" s="106" t="s">
        <v>81</v>
      </c>
      <c r="P30" s="116">
        <f>$C$13</f>
        <v>0.95</v>
      </c>
      <c r="Q30" s="116">
        <f>$C$13+($C$21-$C$13)*1/11</f>
        <v>0.89545454545454539</v>
      </c>
      <c r="R30" s="116">
        <f>$C$13+($C$21-$C$13)*2/11</f>
        <v>0.84090909090909083</v>
      </c>
      <c r="S30" s="116">
        <f>$C$13+($C$21-$C$13)*3/11</f>
        <v>0.78636363636363638</v>
      </c>
      <c r="T30" s="116">
        <f>$C$13+($C$21-$C$13)*4/11</f>
        <v>0.73181818181818181</v>
      </c>
      <c r="U30" s="116">
        <f>$C$13+($C$21-$C$13)*5/11</f>
        <v>0.67727272727272725</v>
      </c>
      <c r="V30" s="116">
        <f>$C$13+($C$21-$C$13)*6/11</f>
        <v>0.6227272727272728</v>
      </c>
      <c r="W30" s="116">
        <f>$C$13+($C$21-$C$13)*7/11</f>
        <v>0.56818181818181812</v>
      </c>
      <c r="X30" s="116">
        <f>$C$13+($C$21-$C$13)*8/11</f>
        <v>0.51363636363636367</v>
      </c>
      <c r="Y30" s="116">
        <f>$C$13+($C$21-$C$13)*9/11</f>
        <v>0.45909090909090911</v>
      </c>
      <c r="Z30" s="116">
        <f>$C$13+($C$21-$C$13)*10/11</f>
        <v>0.40454545454545454</v>
      </c>
      <c r="AA30" s="116">
        <f>$C$21</f>
        <v>0.35</v>
      </c>
      <c r="AC30" s="106" t="s">
        <v>81</v>
      </c>
      <c r="AD30" s="116">
        <f>$D$13</f>
        <v>0.95</v>
      </c>
      <c r="AE30" s="116">
        <f>$D$13+($D$21-$D$13)*1/11</f>
        <v>0.89090909090909087</v>
      </c>
      <c r="AF30" s="116">
        <f>$D$13+($D$21-$D$13)*2/11</f>
        <v>0.83181818181818179</v>
      </c>
      <c r="AG30" s="116">
        <f>$D$13+($D$21-$D$13)*3/11</f>
        <v>0.77272727272727271</v>
      </c>
      <c r="AH30" s="116">
        <f>$D$13+($D$21-$D$13)*4/11</f>
        <v>0.71363636363636362</v>
      </c>
      <c r="AI30" s="116">
        <f>$D$13+($D$21-$D$13)*5/11</f>
        <v>0.65454545454545454</v>
      </c>
      <c r="AJ30" s="116">
        <f>$D$13+($D$21-$D$13)*6/11</f>
        <v>0.59545454545454546</v>
      </c>
      <c r="AK30" s="116">
        <f>$D$13+($D$21-$D$13)*7/11</f>
        <v>0.53636363636363638</v>
      </c>
      <c r="AL30" s="116">
        <f>$D$13+($D$21-$D$13)*8/11</f>
        <v>0.47727272727272729</v>
      </c>
      <c r="AM30" s="116">
        <f>$D$13+($D$21-$D$13)*9/11</f>
        <v>0.41818181818181821</v>
      </c>
      <c r="AN30" s="116">
        <f>$D$13+($D$21-$D$13)*10/11</f>
        <v>0.35909090909090913</v>
      </c>
      <c r="AO30" s="116">
        <f>$D$21</f>
        <v>0.3</v>
      </c>
    </row>
    <row r="31" spans="1:41" x14ac:dyDescent="0.25">
      <c r="A31" s="108" t="s">
        <v>85</v>
      </c>
      <c r="B31" s="116">
        <f>$B$14</f>
        <v>0.05</v>
      </c>
      <c r="C31" s="116">
        <f>$B$14+($B$22-$B$14)*1/11</f>
        <v>8.2727272727272733E-2</v>
      </c>
      <c r="D31" s="116">
        <f>$B$14+($B$22-$B$14)*2/11</f>
        <v>0.11545454545454545</v>
      </c>
      <c r="E31" s="116">
        <f>$B$14+($B$22-$B$14)*3/11</f>
        <v>0.14818181818181819</v>
      </c>
      <c r="F31" s="116">
        <f>$B$14+($B$22-$B$14)*4/11</f>
        <v>0.18090909090909091</v>
      </c>
      <c r="G31" s="116">
        <f>$B$14+($B$22-$B$14)*5/11</f>
        <v>0.21363636363636362</v>
      </c>
      <c r="H31" s="116">
        <f>$B$14+($B$22-$B$14)*6/11</f>
        <v>0.2463636363636364</v>
      </c>
      <c r="I31" s="116">
        <f>$B$14+($B$22-$B$14)*7/11</f>
        <v>0.27909090909090911</v>
      </c>
      <c r="J31" s="116">
        <f>$B$14+($B$22-$B$14)*8/11</f>
        <v>0.31181818181818177</v>
      </c>
      <c r="K31" s="116">
        <f>$B$14+($B$22-$B$14)*9/11</f>
        <v>0.34454545454545449</v>
      </c>
      <c r="L31" s="116">
        <f>$B$14+($B$22-$B$14)*10/11</f>
        <v>0.3772727272727272</v>
      </c>
      <c r="M31" s="116">
        <f>$B$22</f>
        <v>0.41</v>
      </c>
      <c r="O31" s="108" t="s">
        <v>85</v>
      </c>
      <c r="P31" s="116">
        <f>$C$14</f>
        <v>0.05</v>
      </c>
      <c r="Q31" s="116">
        <f>$C$14+($C$22-$C$14)*1/11</f>
        <v>8.9090909090909096E-2</v>
      </c>
      <c r="R31" s="116">
        <f>$C$14+($C$22-$C$14)*2/11</f>
        <v>0.12818181818181817</v>
      </c>
      <c r="S31" s="116">
        <f>$C$14+($C$22-$C$14)*3/11</f>
        <v>0.1672727272727273</v>
      </c>
      <c r="T31" s="116">
        <f>$C$14+($C$22-$C$14)*4/11</f>
        <v>0.20636363636363636</v>
      </c>
      <c r="U31" s="116">
        <f>$C$14+($C$22-$C$14)*5/11</f>
        <v>0.24545454545454543</v>
      </c>
      <c r="V31" s="116">
        <f>$C$14+($C$22-$C$14)*6/11</f>
        <v>0.28454545454545455</v>
      </c>
      <c r="W31" s="116">
        <f>$C$14+($C$22-$C$14)*7/11</f>
        <v>0.32363636363636361</v>
      </c>
      <c r="X31" s="116">
        <f>$C$14+($C$22-$C$14)*8/11</f>
        <v>0.36272727272727273</v>
      </c>
      <c r="Y31" s="116">
        <f>$C$14+($C$22-$C$14)*9/11</f>
        <v>0.4018181818181818</v>
      </c>
      <c r="Z31" s="116">
        <f>$C$14+($C$22-$C$14)*10/11</f>
        <v>0.44090909090909086</v>
      </c>
      <c r="AA31" s="116">
        <f>$C$22</f>
        <v>0.48</v>
      </c>
      <c r="AC31" s="108" t="s">
        <v>85</v>
      </c>
      <c r="AD31" s="116">
        <f>$D$14</f>
        <v>0.05</v>
      </c>
      <c r="AE31" s="116">
        <f>$D$14+($D$22-$D$14)*1/11</f>
        <v>8.1818181818181818E-2</v>
      </c>
      <c r="AF31" s="116">
        <f>$D$14+($D$22-$D$14)*2/11</f>
        <v>0.11363636363636365</v>
      </c>
      <c r="AG31" s="116">
        <f>$D$14+($D$22-$D$14)*3/11</f>
        <v>0.14545454545454545</v>
      </c>
      <c r="AH31" s="116">
        <f>$D$14+($D$22-$D$14)*4/11</f>
        <v>0.1772727272727273</v>
      </c>
      <c r="AI31" s="116">
        <f>$D$14+($D$22-$D$14)*5/11</f>
        <v>0.20909090909090911</v>
      </c>
      <c r="AJ31" s="116">
        <f>$D$14+($D$22-$D$14)*6/11</f>
        <v>0.24090909090909091</v>
      </c>
      <c r="AK31" s="116">
        <f>$D$14+($D$22-$D$14)*7/11</f>
        <v>0.27272727272727276</v>
      </c>
      <c r="AL31" s="116">
        <f>$D$14+($D$22-$D$14)*8/11</f>
        <v>0.30454545454545456</v>
      </c>
      <c r="AM31" s="116">
        <f>$D$14+($D$22-$D$14)*9/11</f>
        <v>0.33636363636363636</v>
      </c>
      <c r="AN31" s="116">
        <f>$D$14+($D$22-$D$14)*10/11</f>
        <v>0.36818181818181822</v>
      </c>
      <c r="AO31" s="116">
        <f>$D$22</f>
        <v>0.4</v>
      </c>
    </row>
    <row r="32" spans="1:41" x14ac:dyDescent="0.25">
      <c r="A32" s="109" t="s">
        <v>86</v>
      </c>
      <c r="B32" s="116">
        <f>$B$15</f>
        <v>0</v>
      </c>
      <c r="C32" s="116">
        <f>$B$15+($B$23-$B$15)*1/11</f>
        <v>5.4545454545454541E-3</v>
      </c>
      <c r="D32" s="116">
        <f>$B$15+($B$23-$B$15)*2/11</f>
        <v>1.0909090909090908E-2</v>
      </c>
      <c r="E32" s="116">
        <f>$B$15+($B$23-$B$15)*3/11</f>
        <v>1.6363636363636361E-2</v>
      </c>
      <c r="F32" s="116">
        <f>$B$15+($B$23-$B$15)*4/11</f>
        <v>2.1818181818181816E-2</v>
      </c>
      <c r="G32" s="116">
        <f>$B$15+($B$23-$B$15)*5/11</f>
        <v>2.7272727272727271E-2</v>
      </c>
      <c r="H32" s="116">
        <f>$B$15+($B$23-$B$15)*6/11</f>
        <v>3.2727272727272723E-2</v>
      </c>
      <c r="I32" s="116">
        <f>$B$15+($B$23-$B$15)*7/11</f>
        <v>3.8181818181818178E-2</v>
      </c>
      <c r="J32" s="116">
        <f>$B$15+($B$23-$B$15)*8/11</f>
        <v>4.3636363636363633E-2</v>
      </c>
      <c r="K32" s="116">
        <f>$B$15+($B$23-$B$15)*9/11</f>
        <v>4.9090909090909095E-2</v>
      </c>
      <c r="L32" s="116">
        <f>$B$15+($B$23-$B$15)*10/11</f>
        <v>5.4545454545454543E-2</v>
      </c>
      <c r="M32" s="116">
        <f>$B$23</f>
        <v>0.06</v>
      </c>
      <c r="O32" s="109" t="s">
        <v>86</v>
      </c>
      <c r="P32" s="116">
        <f>$C$15</f>
        <v>0</v>
      </c>
      <c r="Q32" s="116">
        <f>$C$15+($C$23-$C$15)*1/11</f>
        <v>9.0909090909090922E-3</v>
      </c>
      <c r="R32" s="116">
        <f>$C$15+($C$23-$C$15)*2/11</f>
        <v>1.8181818181818184E-2</v>
      </c>
      <c r="S32" s="116">
        <f>$C$15+($C$23-$C$15)*3/11</f>
        <v>2.7272727272727278E-2</v>
      </c>
      <c r="T32" s="116">
        <f>$C$15+($C$23-$C$15)*4/11</f>
        <v>3.6363636363636369E-2</v>
      </c>
      <c r="U32" s="116">
        <f>$C$15+($C$23-$C$15)*5/11</f>
        <v>4.5454545454545456E-2</v>
      </c>
      <c r="V32" s="116">
        <f>$C$15+($C$23-$C$15)*6/11</f>
        <v>5.4545454545454557E-2</v>
      </c>
      <c r="W32" s="116">
        <f>$C$15+($C$23-$C$15)*7/11</f>
        <v>6.3636363636363644E-2</v>
      </c>
      <c r="X32" s="116">
        <f>$C$15+($C$23-$C$15)*8/11</f>
        <v>7.2727272727272738E-2</v>
      </c>
      <c r="Y32" s="116">
        <f>$C$15+($C$23-$C$15)*9/11</f>
        <v>8.1818181818181818E-2</v>
      </c>
      <c r="Z32" s="116">
        <f>$C$15+($C$23-$C$15)*10/11</f>
        <v>9.0909090909090912E-2</v>
      </c>
      <c r="AA32" s="116">
        <f>$C$23</f>
        <v>0.1</v>
      </c>
      <c r="AC32" s="109" t="s">
        <v>86</v>
      </c>
      <c r="AD32" s="116">
        <f>$D$15</f>
        <v>0</v>
      </c>
      <c r="AE32" s="116">
        <f>$D$15+($D$23-$D$15)*1/11</f>
        <v>1.8181818181818184E-2</v>
      </c>
      <c r="AF32" s="116">
        <f>$D$15+($D$23-$D$15)*2/11</f>
        <v>3.6363636363636369E-2</v>
      </c>
      <c r="AG32" s="116">
        <f>$D$15+($D$23-$D$15)*3/11</f>
        <v>5.4545454545454557E-2</v>
      </c>
      <c r="AH32" s="116">
        <f>$D$15+($D$23-$D$15)*4/11</f>
        <v>7.2727272727272738E-2</v>
      </c>
      <c r="AI32" s="116">
        <f>$D$15+($D$23-$D$15)*5/11</f>
        <v>9.0909090909090912E-2</v>
      </c>
      <c r="AJ32" s="116">
        <f>$D$15+($D$23-$D$15)*6/11</f>
        <v>0.10909090909090911</v>
      </c>
      <c r="AK32" s="116">
        <f>$D$15+($D$23-$D$15)*7/11</f>
        <v>0.12727272727272729</v>
      </c>
      <c r="AL32" s="116">
        <f>$D$15+($D$23-$D$15)*8/11</f>
        <v>0.14545454545454548</v>
      </c>
      <c r="AM32" s="116">
        <f>$D$15+($D$23-$D$15)*9/11</f>
        <v>0.16363636363636364</v>
      </c>
      <c r="AN32" s="116">
        <f>$D$15+($D$23-$D$15)*10/11</f>
        <v>0.18181818181818182</v>
      </c>
      <c r="AO32" s="116">
        <f>$D$23</f>
        <v>0.2</v>
      </c>
    </row>
    <row r="33" spans="1:41" x14ac:dyDescent="0.25">
      <c r="A33" s="110" t="s">
        <v>88</v>
      </c>
      <c r="B33" s="116">
        <f>$B$16</f>
        <v>0</v>
      </c>
      <c r="C33" s="116">
        <f>$B$16+($B$24-$B$16)*1/11</f>
        <v>2.7272727272727271E-3</v>
      </c>
      <c r="D33" s="116">
        <f>$B$16+($B$24-$B$16)*2/11</f>
        <v>5.4545454545454541E-3</v>
      </c>
      <c r="E33" s="116">
        <f>$B$16+($B$24-$B$16)*3/11</f>
        <v>8.1818181818181807E-3</v>
      </c>
      <c r="F33" s="116">
        <f>$B$16+($B$24-$B$16)*4/11</f>
        <v>1.0909090909090908E-2</v>
      </c>
      <c r="G33" s="116">
        <f>$B$16+($B$24-$B$16)*5/11</f>
        <v>1.3636363636363636E-2</v>
      </c>
      <c r="H33" s="116">
        <f>$B$16+($B$24-$B$16)*6/11</f>
        <v>1.6363636363636361E-2</v>
      </c>
      <c r="I33" s="116">
        <f>$B$16+($B$24-$B$16)*7/11</f>
        <v>1.9090909090909089E-2</v>
      </c>
      <c r="J33" s="116">
        <f>$B$16+($B$24-$B$16)*8/11</f>
        <v>2.1818181818181816E-2</v>
      </c>
      <c r="K33" s="116">
        <f>$B$16+($B$24-$B$16)*9/11</f>
        <v>2.4545454545454547E-2</v>
      </c>
      <c r="L33" s="116">
        <f>$B$16+($B$24-$B$16)*10/11</f>
        <v>2.7272727272727271E-2</v>
      </c>
      <c r="M33" s="116">
        <f>$B$24</f>
        <v>0.03</v>
      </c>
      <c r="O33" s="110" t="s">
        <v>88</v>
      </c>
      <c r="P33" s="116">
        <f>$C$16</f>
        <v>0</v>
      </c>
      <c r="Q33" s="116">
        <f>$C$16+($C$24-$C$16)*1/11</f>
        <v>6.3636363636363638E-3</v>
      </c>
      <c r="R33" s="116">
        <f>$C$16+($C$24-$C$16)*2/11</f>
        <v>1.2727272727272728E-2</v>
      </c>
      <c r="S33" s="116">
        <f>$C$16+($C$24-$C$16)*3/11</f>
        <v>1.9090909090909092E-2</v>
      </c>
      <c r="T33" s="116">
        <f>$C$16+($C$24-$C$16)*4/11</f>
        <v>2.5454545454545455E-2</v>
      </c>
      <c r="U33" s="116">
        <f>$C$16+($C$24-$C$16)*5/11</f>
        <v>3.1818181818181822E-2</v>
      </c>
      <c r="V33" s="116">
        <f>$C$16+($C$24-$C$16)*6/11</f>
        <v>3.8181818181818185E-2</v>
      </c>
      <c r="W33" s="116">
        <f>$C$16+($C$24-$C$16)*7/11</f>
        <v>4.4545454545454548E-2</v>
      </c>
      <c r="X33" s="116">
        <f>$C$16+($C$24-$C$16)*8/11</f>
        <v>5.0909090909090911E-2</v>
      </c>
      <c r="Y33" s="116">
        <f>$C$16+($C$24-$C$16)*9/11</f>
        <v>5.7272727272727281E-2</v>
      </c>
      <c r="Z33" s="116">
        <f>$C$16+($C$24-$C$16)*10/11</f>
        <v>6.3636363636363644E-2</v>
      </c>
      <c r="AA33" s="116">
        <f>$C$24</f>
        <v>7.0000000000000007E-2</v>
      </c>
      <c r="AC33" s="110" t="s">
        <v>88</v>
      </c>
      <c r="AD33" s="116">
        <f>$D$16</f>
        <v>0</v>
      </c>
      <c r="AE33" s="116">
        <f>$D$16+($D$24-$D$16)*1/11</f>
        <v>9.0909090909090922E-3</v>
      </c>
      <c r="AF33" s="116">
        <f>$D$16+($D$24-$D$16)*2/11</f>
        <v>1.8181818181818184E-2</v>
      </c>
      <c r="AG33" s="116">
        <f>$D$16+($D$24-$D$16)*3/11</f>
        <v>2.7272727272727278E-2</v>
      </c>
      <c r="AH33" s="116">
        <f>$D$16+($D$24-$D$16)*4/11</f>
        <v>3.6363636363636369E-2</v>
      </c>
      <c r="AI33" s="116">
        <f>$D$16+($D$24-$D$16)*5/11</f>
        <v>4.5454545454545456E-2</v>
      </c>
      <c r="AJ33" s="116">
        <f>$D$16+($D$24-$D$16)*6/11</f>
        <v>5.4545454545454557E-2</v>
      </c>
      <c r="AK33" s="116">
        <f>$D$16+($D$24-$D$16)*7/11</f>
        <v>6.3636363636363644E-2</v>
      </c>
      <c r="AL33" s="116">
        <f>$D$16+($D$24-$D$16)*8/11</f>
        <v>7.2727272727272738E-2</v>
      </c>
      <c r="AM33" s="116">
        <f>$D$16+($D$24-$D$16)*9/11</f>
        <v>8.1818181818181818E-2</v>
      </c>
      <c r="AN33" s="116">
        <f>$D$16+($D$24-$D$16)*10/11</f>
        <v>9.0909090909090912E-2</v>
      </c>
      <c r="AO33" s="116">
        <f>$D$24</f>
        <v>0.1</v>
      </c>
    </row>
    <row r="34" spans="1:41" x14ac:dyDescent="0.25">
      <c r="A34" s="112" t="s">
        <v>291</v>
      </c>
      <c r="B34" s="113">
        <f t="shared" ref="B34:M34" si="0">SUM(B30:B33)</f>
        <v>1</v>
      </c>
      <c r="C34" s="113">
        <f t="shared" si="0"/>
        <v>1</v>
      </c>
      <c r="D34" s="113">
        <f t="shared" si="0"/>
        <v>1</v>
      </c>
      <c r="E34" s="113">
        <f t="shared" si="0"/>
        <v>1</v>
      </c>
      <c r="F34" s="113">
        <f t="shared" si="0"/>
        <v>1</v>
      </c>
      <c r="G34" s="113">
        <f t="shared" si="0"/>
        <v>0.99999999999999989</v>
      </c>
      <c r="H34" s="113">
        <f t="shared" si="0"/>
        <v>1</v>
      </c>
      <c r="I34" s="113">
        <f t="shared" si="0"/>
        <v>0.99999999999999989</v>
      </c>
      <c r="J34" s="113">
        <f t="shared" si="0"/>
        <v>1</v>
      </c>
      <c r="K34" s="113">
        <f t="shared" si="0"/>
        <v>0.99999999999999989</v>
      </c>
      <c r="L34" s="113">
        <f t="shared" si="0"/>
        <v>0.99999999999999978</v>
      </c>
      <c r="M34" s="113">
        <f t="shared" si="0"/>
        <v>1</v>
      </c>
      <c r="O34" s="112" t="s">
        <v>291</v>
      </c>
      <c r="P34" s="113">
        <f t="shared" ref="P34:AA34" si="1">SUM(P30:P33)</f>
        <v>1</v>
      </c>
      <c r="Q34" s="113">
        <f t="shared" si="1"/>
        <v>0.99999999999999989</v>
      </c>
      <c r="R34" s="113">
        <f t="shared" si="1"/>
        <v>0.99999999999999989</v>
      </c>
      <c r="S34" s="113">
        <f t="shared" si="1"/>
        <v>0.99999999999999989</v>
      </c>
      <c r="T34" s="113">
        <f t="shared" si="1"/>
        <v>1</v>
      </c>
      <c r="U34" s="113">
        <f t="shared" si="1"/>
        <v>0.99999999999999989</v>
      </c>
      <c r="V34" s="113">
        <f t="shared" si="1"/>
        <v>1</v>
      </c>
      <c r="W34" s="113">
        <f t="shared" si="1"/>
        <v>0.99999999999999989</v>
      </c>
      <c r="X34" s="113">
        <f t="shared" si="1"/>
        <v>1.0000000000000002</v>
      </c>
      <c r="Y34" s="113">
        <f t="shared" si="1"/>
        <v>0.99999999999999989</v>
      </c>
      <c r="Z34" s="113">
        <f t="shared" si="1"/>
        <v>1</v>
      </c>
      <c r="AA34" s="113">
        <f t="shared" si="1"/>
        <v>1</v>
      </c>
      <c r="AC34" s="112" t="s">
        <v>291</v>
      </c>
      <c r="AD34" s="113">
        <f t="shared" ref="AD34:AO34" si="2">SUM(AD30:AD33)</f>
        <v>1</v>
      </c>
      <c r="AE34" s="113">
        <f t="shared" si="2"/>
        <v>0.99999999999999989</v>
      </c>
      <c r="AF34" s="113">
        <f t="shared" si="2"/>
        <v>1</v>
      </c>
      <c r="AG34" s="113">
        <f t="shared" si="2"/>
        <v>1</v>
      </c>
      <c r="AH34" s="113">
        <f t="shared" si="2"/>
        <v>1</v>
      </c>
      <c r="AI34" s="113">
        <f t="shared" si="2"/>
        <v>1</v>
      </c>
      <c r="AJ34" s="113">
        <f t="shared" si="2"/>
        <v>1</v>
      </c>
      <c r="AK34" s="113">
        <f t="shared" si="2"/>
        <v>1</v>
      </c>
      <c r="AL34" s="113">
        <f t="shared" si="2"/>
        <v>1</v>
      </c>
      <c r="AM34" s="113">
        <f t="shared" si="2"/>
        <v>1</v>
      </c>
      <c r="AN34" s="113">
        <f t="shared" si="2"/>
        <v>1</v>
      </c>
      <c r="AO34" s="113">
        <f t="shared" si="2"/>
        <v>0.99999999999999989</v>
      </c>
    </row>
    <row r="36" spans="1:41" x14ac:dyDescent="0.25">
      <c r="A36" s="104" t="s">
        <v>292</v>
      </c>
    </row>
    <row r="37" spans="1:41" x14ac:dyDescent="0.25">
      <c r="A37" s="105" t="s">
        <v>281</v>
      </c>
      <c r="B37" s="105" t="s">
        <v>142</v>
      </c>
      <c r="C37" s="105" t="s">
        <v>293</v>
      </c>
      <c r="D37" s="105" t="s">
        <v>119</v>
      </c>
      <c r="E37" s="105" t="s">
        <v>294</v>
      </c>
    </row>
    <row r="38" spans="1:41" x14ac:dyDescent="0.25">
      <c r="A38" s="106" t="s">
        <v>81</v>
      </c>
      <c r="B38" s="114">
        <v>3</v>
      </c>
      <c r="C38" s="114" t="s">
        <v>150</v>
      </c>
      <c r="D38" s="117">
        <v>20</v>
      </c>
      <c r="E38" s="111">
        <v>0.25</v>
      </c>
    </row>
    <row r="39" spans="1:41" x14ac:dyDescent="0.25">
      <c r="A39" s="108" t="s">
        <v>85</v>
      </c>
      <c r="B39" s="114">
        <v>20</v>
      </c>
      <c r="C39" s="114" t="s">
        <v>154</v>
      </c>
      <c r="D39" s="117">
        <v>50</v>
      </c>
      <c r="E39" s="111">
        <v>0</v>
      </c>
    </row>
    <row r="40" spans="1:41" x14ac:dyDescent="0.25">
      <c r="A40" s="109" t="s">
        <v>86</v>
      </c>
      <c r="B40" s="114">
        <v>50</v>
      </c>
      <c r="C40" s="114" t="s">
        <v>154</v>
      </c>
      <c r="D40" s="117">
        <v>100</v>
      </c>
      <c r="E40" s="111">
        <v>0</v>
      </c>
    </row>
    <row r="41" spans="1:41" x14ac:dyDescent="0.25">
      <c r="A41" s="110" t="s">
        <v>88</v>
      </c>
      <c r="B41" s="114">
        <v>100</v>
      </c>
      <c r="C41" s="114" t="s">
        <v>154</v>
      </c>
      <c r="D41" s="117">
        <v>200</v>
      </c>
      <c r="E41" s="111">
        <v>0</v>
      </c>
    </row>
    <row r="43" spans="1:41" x14ac:dyDescent="0.25">
      <c r="A43" s="104" t="s">
        <v>295</v>
      </c>
    </row>
    <row r="44" spans="1:41" x14ac:dyDescent="0.25">
      <c r="A44" s="105" t="s">
        <v>281</v>
      </c>
      <c r="B44" s="105" t="s">
        <v>282</v>
      </c>
      <c r="C44" s="105" t="s">
        <v>283</v>
      </c>
      <c r="D44" s="105" t="s">
        <v>284</v>
      </c>
    </row>
    <row r="45" spans="1:41" x14ac:dyDescent="0.25">
      <c r="A45" s="106" t="s">
        <v>81</v>
      </c>
      <c r="B45" s="115">
        <f>MIN(1,IF($C$38="One-time",($B$6*12/$B$38)*$E$38*0.5,($B$6/$B$38)*0.5))</f>
        <v>0.5</v>
      </c>
      <c r="C45" s="115">
        <f>MIN(1,IF($C$38="One-time",($C$6*12/$B$38)*$E$38*0.5,($C$6/$B$38)*0.5))</f>
        <v>1</v>
      </c>
      <c r="D45" s="115">
        <f>MIN(1,IF($C$38="One-time",($D$6*12/$B$38)*$E$38*0.5,($D$6/$B$38)*0.5))</f>
        <v>1</v>
      </c>
    </row>
    <row r="46" spans="1:41" x14ac:dyDescent="0.25">
      <c r="A46" s="108" t="s">
        <v>85</v>
      </c>
      <c r="B46" s="115">
        <f>MIN(1,IF($C$39="One-time",($B$7*12/$B$39)*$E$38*0.5,($B$7/$B$39)*0.5))</f>
        <v>7.4999999999999997E-2</v>
      </c>
      <c r="C46" s="115">
        <f>MIN(1,IF($C$39="One-time",($C$7*12/$B$39)*$E$38*0.5,($C$7/$B$39)*0.5))</f>
        <v>0.15</v>
      </c>
      <c r="D46" s="115">
        <f>MIN(1,IF($C$39="One-time",($D$7*12/$B$39)*$E$38*0.5,($D$7/$B$39)*0.5))</f>
        <v>0.22500000000000001</v>
      </c>
    </row>
    <row r="47" spans="1:41" x14ac:dyDescent="0.25">
      <c r="A47" s="109" t="s">
        <v>86</v>
      </c>
      <c r="B47" s="115">
        <f>MIN(1,IF($C$40="One-time",($B$8*12/$B$40)*$E$38*0.5,($B$8/$B$40)*0.5))</f>
        <v>0.09</v>
      </c>
      <c r="C47" s="115">
        <f>MIN(1,IF($C$40="One-time",($C$8*12/$B$40)*$E$38*0.5,($C$8/$B$40)*0.5))</f>
        <v>0.18</v>
      </c>
      <c r="D47" s="115">
        <f>MIN(1,IF($C$40="One-time",($D$8*12/$B$40)*$E$38*0.5,($D$8/$B$40)*0.5))</f>
        <v>0.27</v>
      </c>
    </row>
    <row r="48" spans="1:41" x14ac:dyDescent="0.25">
      <c r="A48" s="110" t="s">
        <v>88</v>
      </c>
      <c r="B48" s="115">
        <f>MIN(1,IF($C$41="One-time",($B$9*12/$B$41)*$E$38*0.5,($B$9/$B$41)*0.5))</f>
        <v>0.13500000000000001</v>
      </c>
      <c r="C48" s="115">
        <f>MIN(1,IF($C$41="One-time",($C$9*12/$B$41)*$E$38*0.5,($C$9/$B$41)*0.5))</f>
        <v>0.27</v>
      </c>
      <c r="D48" s="115">
        <f>MIN(1,IF($C$41="One-time",($D$9*12/$B$41)*$E$38*0.5,($D$9/$B$41)*0.5))</f>
        <v>0.40500000000000003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2</vt:i4>
      </vt:variant>
    </vt:vector>
  </HeadingPairs>
  <TitlesOfParts>
    <vt:vector size="12" baseType="lpstr">
      <vt:lpstr>Walkthrough</vt:lpstr>
      <vt:lpstr>Inputs</vt:lpstr>
      <vt:lpstr>VIP Levels</vt:lpstr>
      <vt:lpstr>Missions</vt:lpstr>
      <vt:lpstr>Affiliate Projection</vt:lpstr>
      <vt:lpstr>Revenue</vt:lpstr>
      <vt:lpstr>Affiliate Costs</vt:lpstr>
      <vt:lpstr>Summary</vt:lpstr>
      <vt:lpstr>Scenarios (Sc)</vt:lpstr>
      <vt:lpstr>TestSc</vt:lpstr>
      <vt:lpstr>AffAttrition</vt:lpstr>
      <vt:lpstr>SampleAffConv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Jorge Naupari</cp:lastModifiedBy>
  <dcterms:created xsi:type="dcterms:W3CDTF">2025-12-13T15:56:41Z</dcterms:created>
  <dcterms:modified xsi:type="dcterms:W3CDTF">2025-12-25T11:04:37Z</dcterms:modified>
</cp:coreProperties>
</file>