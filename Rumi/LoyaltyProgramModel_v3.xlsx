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CC44D6B2-90C3-48ED-ADC5-8DE92F5842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VIP Levels" sheetId="2" r:id="rId2"/>
    <sheet name="Missions" sheetId="3" r:id="rId3"/>
    <sheet name="Affiliate Projection" sheetId="4" r:id="rId4"/>
    <sheet name="Revenue" sheetId="5" r:id="rId5"/>
    <sheet name="Costs" sheetId="6" r:id="rId6"/>
    <sheet name="Summary" sheetId="7" r:id="rId7"/>
    <sheet name="Scenarios (Sc)" sheetId="8" r:id="rId8"/>
    <sheet name="Sc.Planning" sheetId="9" r:id="rId9"/>
    <sheet name="Sc.Calc" sheetId="10" r:id="rId10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0" i="10" l="1"/>
  <c r="AW10" i="10"/>
  <c r="AV10" i="10"/>
  <c r="AU10" i="10"/>
  <c r="AT10" i="10"/>
  <c r="AS10" i="10"/>
  <c r="AR10" i="10"/>
  <c r="AQ10" i="10"/>
  <c r="AP10" i="10"/>
  <c r="AO10" i="10"/>
  <c r="AN10" i="10"/>
  <c r="AM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M72" i="9"/>
  <c r="L72" i="9"/>
  <c r="K72" i="9"/>
  <c r="J72" i="9"/>
  <c r="I72" i="9"/>
  <c r="H72" i="9"/>
  <c r="G72" i="9"/>
  <c r="F72" i="9"/>
  <c r="E72" i="9"/>
  <c r="D72" i="9"/>
  <c r="C72" i="9"/>
  <c r="B72" i="9"/>
  <c r="M56" i="9"/>
  <c r="L56" i="9"/>
  <c r="K56" i="9"/>
  <c r="J56" i="9"/>
  <c r="I56" i="9"/>
  <c r="H56" i="9"/>
  <c r="G56" i="9"/>
  <c r="F56" i="9"/>
  <c r="E56" i="9"/>
  <c r="D56" i="9"/>
  <c r="C56" i="9"/>
  <c r="B56" i="9"/>
  <c r="D20" i="9"/>
  <c r="C20" i="9"/>
  <c r="B20" i="9"/>
  <c r="K28" i="6"/>
  <c r="J28" i="6"/>
  <c r="G28" i="6"/>
  <c r="F28" i="6"/>
  <c r="E28" i="6"/>
  <c r="D28" i="6"/>
  <c r="C28" i="6"/>
  <c r="M7" i="5"/>
  <c r="L7" i="5"/>
  <c r="H7" i="5"/>
  <c r="G7" i="5"/>
  <c r="B7" i="5"/>
  <c r="J12" i="3" s="1"/>
  <c r="M5" i="5"/>
  <c r="L5" i="5"/>
  <c r="K5" i="5"/>
  <c r="K7" i="5" s="1"/>
  <c r="J5" i="5"/>
  <c r="J7" i="5" s="1"/>
  <c r="I5" i="5"/>
  <c r="I7" i="5" s="1"/>
  <c r="H5" i="5"/>
  <c r="G5" i="5"/>
  <c r="F5" i="5"/>
  <c r="F7" i="5" s="1"/>
  <c r="E5" i="5"/>
  <c r="E7" i="5" s="1"/>
  <c r="D5" i="5"/>
  <c r="D7" i="5" s="1"/>
  <c r="C5" i="5"/>
  <c r="C7" i="5" s="1"/>
  <c r="B5" i="5"/>
  <c r="I7" i="4"/>
  <c r="I19" i="4" s="1"/>
  <c r="H7" i="4"/>
  <c r="H19" i="4" s="1"/>
  <c r="D7" i="4"/>
  <c r="D19" i="4" s="1"/>
  <c r="M6" i="4"/>
  <c r="L6" i="4"/>
  <c r="K6" i="4"/>
  <c r="J6" i="4"/>
  <c r="I6" i="4"/>
  <c r="H6" i="4"/>
  <c r="G6" i="4"/>
  <c r="F6" i="4"/>
  <c r="E6" i="4"/>
  <c r="D6" i="4"/>
  <c r="C6" i="4"/>
  <c r="B6" i="4"/>
  <c r="M5" i="4"/>
  <c r="M7" i="4" s="1"/>
  <c r="M19" i="4" s="1"/>
  <c r="K5" i="4"/>
  <c r="K7" i="4" s="1"/>
  <c r="K19" i="4" s="1"/>
  <c r="J5" i="4"/>
  <c r="J7" i="4" s="1"/>
  <c r="J19" i="4" s="1"/>
  <c r="I5" i="4"/>
  <c r="H5" i="4"/>
  <c r="G5" i="4"/>
  <c r="G7" i="4" s="1"/>
  <c r="G19" i="4" s="1"/>
  <c r="F5" i="4"/>
  <c r="F7" i="4" s="1"/>
  <c r="F19" i="4" s="1"/>
  <c r="E5" i="4"/>
  <c r="E7" i="4" s="1"/>
  <c r="E19" i="4" s="1"/>
  <c r="M4" i="4"/>
  <c r="M28" i="6" s="1"/>
  <c r="L4" i="4"/>
  <c r="L28" i="6" s="1"/>
  <c r="K4" i="4"/>
  <c r="J4" i="4"/>
  <c r="I4" i="4"/>
  <c r="I28" i="6" s="1"/>
  <c r="H4" i="4"/>
  <c r="H28" i="6" s="1"/>
  <c r="G4" i="4"/>
  <c r="F4" i="4"/>
  <c r="E4" i="4"/>
  <c r="D4" i="4"/>
  <c r="D5" i="4" s="1"/>
  <c r="C4" i="4"/>
  <c r="C5" i="4" s="1"/>
  <c r="C7" i="4" s="1"/>
  <c r="C19" i="4" s="1"/>
  <c r="B4" i="4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1" i="3"/>
  <c r="J10" i="3"/>
  <c r="J8" i="3"/>
  <c r="J7" i="3"/>
  <c r="J6" i="3"/>
  <c r="J5" i="3"/>
  <c r="R19" i="1"/>
  <c r="Q19" i="1"/>
  <c r="P19" i="1"/>
  <c r="O19" i="1"/>
  <c r="N19" i="1"/>
  <c r="M19" i="1"/>
  <c r="L19" i="1"/>
  <c r="K19" i="1"/>
  <c r="J19" i="1"/>
  <c r="I19" i="1"/>
  <c r="H19" i="1"/>
  <c r="G19" i="1"/>
  <c r="R18" i="1"/>
  <c r="Q18" i="1"/>
  <c r="P18" i="1"/>
  <c r="O18" i="1"/>
  <c r="N18" i="1"/>
  <c r="M18" i="1"/>
  <c r="L18" i="1"/>
  <c r="K18" i="1"/>
  <c r="J18" i="1"/>
  <c r="I18" i="1"/>
  <c r="H18" i="1"/>
  <c r="G18" i="1"/>
  <c r="R17" i="1"/>
  <c r="Q17" i="1"/>
  <c r="P17" i="1"/>
  <c r="O17" i="1"/>
  <c r="N17" i="1"/>
  <c r="M17" i="1"/>
  <c r="L17" i="1"/>
  <c r="K17" i="1"/>
  <c r="J17" i="1"/>
  <c r="I17" i="1"/>
  <c r="H17" i="1"/>
  <c r="G17" i="1"/>
  <c r="R16" i="1"/>
  <c r="Q16" i="1"/>
  <c r="P16" i="1"/>
  <c r="O16" i="1"/>
  <c r="N16" i="1"/>
  <c r="M16" i="1"/>
  <c r="L16" i="1"/>
  <c r="K16" i="1"/>
  <c r="J16" i="1"/>
  <c r="I16" i="1"/>
  <c r="H16" i="1"/>
  <c r="G16" i="1"/>
  <c r="R11" i="1"/>
  <c r="Q11" i="1"/>
  <c r="P11" i="1"/>
  <c r="O11" i="1"/>
  <c r="N11" i="1"/>
  <c r="M11" i="1"/>
  <c r="L11" i="1"/>
  <c r="K11" i="1"/>
  <c r="J11" i="1"/>
  <c r="I11" i="1"/>
  <c r="H11" i="1"/>
  <c r="G11" i="1"/>
  <c r="B28" i="6" l="1"/>
  <c r="B5" i="4" a="1"/>
  <c r="B5" i="4" s="1"/>
  <c r="B7" i="4" s="1"/>
  <c r="J9" i="3"/>
  <c r="L5" i="4"/>
  <c r="L7" i="4" s="1"/>
  <c r="L19" i="4" s="1"/>
  <c r="B19" i="4" l="1"/>
  <c r="B8" i="4"/>
  <c r="B13" i="4" l="1"/>
  <c r="B16" i="4"/>
  <c r="B22" i="4" s="1"/>
  <c r="B4" i="7"/>
  <c r="C8" i="4"/>
  <c r="B15" i="4"/>
  <c r="B21" i="4" s="1"/>
  <c r="B27" i="6" s="1"/>
  <c r="B17" i="4"/>
  <c r="B23" i="4" s="1"/>
  <c r="B14" i="4"/>
  <c r="B20" i="4" s="1"/>
  <c r="B25" i="6"/>
  <c r="B9" i="6" a="1"/>
  <c r="B9" i="6" s="1"/>
  <c r="B19" i="7" s="1"/>
  <c r="B11" i="4"/>
  <c r="B26" i="6"/>
  <c r="B14" i="6" a="1"/>
  <c r="B14" i="6" s="1"/>
  <c r="B13" i="7" s="1"/>
  <c r="B24" i="6"/>
  <c r="B13" i="6"/>
  <c r="B7" i="6" a="1"/>
  <c r="B7" i="6" s="1"/>
  <c r="B11" i="7" s="1"/>
  <c r="B12" i="7" l="1"/>
  <c r="B15" i="6"/>
  <c r="B16" i="6" s="1"/>
  <c r="B29" i="6"/>
  <c r="B6" i="6"/>
  <c r="B10" i="7" s="1"/>
  <c r="C16" i="4"/>
  <c r="C22" i="4" s="1"/>
  <c r="D8" i="4"/>
  <c r="C4" i="7"/>
  <c r="C15" i="4"/>
  <c r="C21" i="4" s="1"/>
  <c r="C17" i="4"/>
  <c r="C23" i="4" s="1"/>
  <c r="C13" i="4"/>
  <c r="C14" i="4"/>
  <c r="C20" i="4" s="1"/>
  <c r="B8" i="6"/>
  <c r="B18" i="7" s="1"/>
  <c r="B10" i="4"/>
  <c r="B9" i="4" s="1"/>
  <c r="C10" i="4" l="1"/>
  <c r="C9" i="6"/>
  <c r="C19" i="7" s="1"/>
  <c r="C14" i="6"/>
  <c r="C13" i="7" s="1"/>
  <c r="C25" i="6"/>
  <c r="C7" i="6"/>
  <c r="C11" i="7" s="1"/>
  <c r="E8" i="4"/>
  <c r="D16" i="4"/>
  <c r="D22" i="4" s="1"/>
  <c r="D14" i="4"/>
  <c r="D20" i="4" s="1"/>
  <c r="D4" i="7"/>
  <c r="D17" i="4"/>
  <c r="D23" i="4" s="1"/>
  <c r="D13" i="4"/>
  <c r="D15" i="4"/>
  <c r="D21" i="4" s="1"/>
  <c r="B4" i="5"/>
  <c r="B5" i="7"/>
  <c r="C11" i="4"/>
  <c r="C27" i="6"/>
  <c r="C6" i="6"/>
  <c r="C10" i="7" s="1"/>
  <c r="C13" i="6"/>
  <c r="C8" i="6"/>
  <c r="C18" i="7" s="1"/>
  <c r="C26" i="6"/>
  <c r="C24" i="6"/>
  <c r="C15" i="6" l="1"/>
  <c r="C16" i="6" s="1"/>
  <c r="C12" i="7"/>
  <c r="B8" i="5"/>
  <c r="B6" i="5"/>
  <c r="D10" i="4"/>
  <c r="D7" i="6"/>
  <c r="D11" i="7" s="1"/>
  <c r="D9" i="6"/>
  <c r="D19" i="7" s="1"/>
  <c r="D25" i="6"/>
  <c r="D14" i="6"/>
  <c r="D13" i="7" s="1"/>
  <c r="C29" i="6"/>
  <c r="B20" i="7"/>
  <c r="B21" i="7" s="1"/>
  <c r="D6" i="6"/>
  <c r="D10" i="7" s="1"/>
  <c r="D13" i="6"/>
  <c r="D11" i="4"/>
  <c r="D8" i="6"/>
  <c r="D18" i="7" s="1"/>
  <c r="D27" i="6"/>
  <c r="D26" i="6"/>
  <c r="D24" i="6"/>
  <c r="F8" i="4"/>
  <c r="E4" i="7"/>
  <c r="E16" i="4"/>
  <c r="E22" i="4" s="1"/>
  <c r="E14" i="4"/>
  <c r="E20" i="4" s="1"/>
  <c r="E13" i="4"/>
  <c r="E15" i="4"/>
  <c r="E21" i="4" s="1"/>
  <c r="E17" i="4"/>
  <c r="E23" i="4" s="1"/>
  <c r="C9" i="4"/>
  <c r="F16" i="4" l="1"/>
  <c r="F22" i="4" s="1"/>
  <c r="F4" i="7"/>
  <c r="F14" i="4"/>
  <c r="F20" i="4" s="1"/>
  <c r="F15" i="4"/>
  <c r="F21" i="4" s="1"/>
  <c r="G8" i="4"/>
  <c r="F13" i="4"/>
  <c r="F17" i="4"/>
  <c r="F23" i="4" s="1"/>
  <c r="D12" i="7"/>
  <c r="D15" i="6"/>
  <c r="D16" i="6" s="1"/>
  <c r="D29" i="6"/>
  <c r="C4" i="5"/>
  <c r="C5" i="7"/>
  <c r="D9" i="4"/>
  <c r="B6" i="7"/>
  <c r="B5" i="6"/>
  <c r="E10" i="4"/>
  <c r="E14" i="6"/>
  <c r="E13" i="7" s="1"/>
  <c r="E25" i="6"/>
  <c r="E7" i="6"/>
  <c r="E11" i="7" s="1"/>
  <c r="E9" i="6"/>
  <c r="E19" i="7" s="1"/>
  <c r="E13" i="6"/>
  <c r="E27" i="6"/>
  <c r="E8" i="6"/>
  <c r="E18" i="7" s="1"/>
  <c r="E24" i="6"/>
  <c r="E26" i="6"/>
  <c r="E6" i="6"/>
  <c r="E10" i="7" s="1"/>
  <c r="E11" i="4"/>
  <c r="E12" i="7" l="1"/>
  <c r="E15" i="6"/>
  <c r="E16" i="6" s="1"/>
  <c r="B10" i="6"/>
  <c r="B21" i="6" s="1"/>
  <c r="B9" i="7"/>
  <c r="B14" i="7" s="1"/>
  <c r="B15" i="7" s="1"/>
  <c r="F10" i="4"/>
  <c r="F25" i="6"/>
  <c r="F14" i="6"/>
  <c r="F13" i="7" s="1"/>
  <c r="F9" i="6"/>
  <c r="F19" i="7" s="1"/>
  <c r="F7" i="6"/>
  <c r="F11" i="7" s="1"/>
  <c r="G16" i="4"/>
  <c r="G22" i="4" s="1"/>
  <c r="G4" i="7"/>
  <c r="G14" i="4"/>
  <c r="G20" i="4" s="1"/>
  <c r="G17" i="4"/>
  <c r="G23" i="4" s="1"/>
  <c r="H8" i="4"/>
  <c r="G13" i="4"/>
  <c r="G15" i="4"/>
  <c r="G21" i="4" s="1"/>
  <c r="F8" i="6"/>
  <c r="F18" i="7" s="1"/>
  <c r="F6" i="6"/>
  <c r="F10" i="7" s="1"/>
  <c r="F26" i="6"/>
  <c r="F24" i="6"/>
  <c r="F13" i="6"/>
  <c r="F27" i="6"/>
  <c r="F11" i="4"/>
  <c r="E9" i="4"/>
  <c r="D5" i="7"/>
  <c r="D4" i="5"/>
  <c r="C20" i="7"/>
  <c r="C21" i="7" s="1"/>
  <c r="C8" i="5"/>
  <c r="C6" i="5"/>
  <c r="E29" i="6"/>
  <c r="H4" i="7" l="1"/>
  <c r="H16" i="4"/>
  <c r="H22" i="4" s="1"/>
  <c r="H14" i="4"/>
  <c r="H20" i="4" s="1"/>
  <c r="H17" i="4"/>
  <c r="H23" i="4" s="1"/>
  <c r="H13" i="4"/>
  <c r="I8" i="4"/>
  <c r="H15" i="4"/>
  <c r="H21" i="4" s="1"/>
  <c r="F15" i="6"/>
  <c r="F16" i="6" s="1"/>
  <c r="F12" i="7"/>
  <c r="F29" i="6"/>
  <c r="G11" i="4"/>
  <c r="G8" i="6"/>
  <c r="G18" i="7" s="1"/>
  <c r="G6" i="6"/>
  <c r="G10" i="7" s="1"/>
  <c r="G26" i="6"/>
  <c r="G27" i="6"/>
  <c r="G24" i="6"/>
  <c r="G13" i="6"/>
  <c r="G10" i="4"/>
  <c r="G7" i="6"/>
  <c r="G11" i="7" s="1"/>
  <c r="G14" i="6"/>
  <c r="G13" i="7" s="1"/>
  <c r="G9" i="6"/>
  <c r="G19" i="7" s="1"/>
  <c r="G25" i="6"/>
  <c r="C6" i="7"/>
  <c r="C5" i="6"/>
  <c r="D6" i="5"/>
  <c r="D8" i="5"/>
  <c r="F9" i="4"/>
  <c r="D20" i="7"/>
  <c r="D21" i="7" s="1"/>
  <c r="E5" i="7"/>
  <c r="E4" i="5"/>
  <c r="G15" i="6" l="1"/>
  <c r="G16" i="6" s="1"/>
  <c r="G12" i="7"/>
  <c r="E20" i="7"/>
  <c r="E21" i="7" s="1"/>
  <c r="G9" i="4"/>
  <c r="H27" i="6"/>
  <c r="H11" i="4"/>
  <c r="H24" i="6"/>
  <c r="H8" i="6"/>
  <c r="H18" i="7" s="1"/>
  <c r="H6" i="6"/>
  <c r="H10" i="7" s="1"/>
  <c r="H13" i="6"/>
  <c r="H26" i="6"/>
  <c r="G29" i="6"/>
  <c r="I16" i="4"/>
  <c r="I22" i="4" s="1"/>
  <c r="I4" i="7"/>
  <c r="I14" i="4"/>
  <c r="I20" i="4" s="1"/>
  <c r="I17" i="4"/>
  <c r="I23" i="4" s="1"/>
  <c r="I15" i="4"/>
  <c r="I21" i="4" s="1"/>
  <c r="J8" i="4"/>
  <c r="I13" i="4"/>
  <c r="F4" i="5"/>
  <c r="F5" i="7"/>
  <c r="D6" i="7"/>
  <c r="D5" i="6"/>
  <c r="C9" i="7"/>
  <c r="C14" i="7" s="1"/>
  <c r="C15" i="7" s="1"/>
  <c r="C10" i="6"/>
  <c r="C21" i="6" s="1"/>
  <c r="E6" i="5"/>
  <c r="E8" i="5"/>
  <c r="H10" i="4"/>
  <c r="H9" i="6"/>
  <c r="H19" i="7" s="1"/>
  <c r="H7" i="6"/>
  <c r="H11" i="7" s="1"/>
  <c r="H14" i="6"/>
  <c r="H13" i="7" s="1"/>
  <c r="H25" i="6"/>
  <c r="F20" i="7" l="1"/>
  <c r="F21" i="7" s="1"/>
  <c r="J16" i="4"/>
  <c r="J22" i="4" s="1"/>
  <c r="J4" i="7"/>
  <c r="J14" i="4"/>
  <c r="J20" i="4" s="1"/>
  <c r="J15" i="4"/>
  <c r="J21" i="4" s="1"/>
  <c r="K8" i="4"/>
  <c r="J13" i="4"/>
  <c r="J17" i="4"/>
  <c r="J23" i="4" s="1"/>
  <c r="I10" i="4"/>
  <c r="I7" i="6"/>
  <c r="I11" i="7" s="1"/>
  <c r="I14" i="6"/>
  <c r="I13" i="7" s="1"/>
  <c r="I9" i="6"/>
  <c r="I19" i="7" s="1"/>
  <c r="I25" i="6"/>
  <c r="I8" i="6"/>
  <c r="I18" i="7" s="1"/>
  <c r="I24" i="6"/>
  <c r="I11" i="4"/>
  <c r="I27" i="6"/>
  <c r="I6" i="6"/>
  <c r="I10" i="7" s="1"/>
  <c r="I13" i="6"/>
  <c r="I26" i="6"/>
  <c r="H29" i="6"/>
  <c r="E6" i="7"/>
  <c r="E5" i="6"/>
  <c r="F6" i="5"/>
  <c r="F8" i="5"/>
  <c r="H15" i="6"/>
  <c r="H16" i="6" s="1"/>
  <c r="H12" i="7"/>
  <c r="H9" i="4"/>
  <c r="G4" i="5"/>
  <c r="G5" i="7"/>
  <c r="D10" i="6"/>
  <c r="D21" i="6" s="1"/>
  <c r="D9" i="7"/>
  <c r="D14" i="7" s="1"/>
  <c r="D15" i="7" s="1"/>
  <c r="I15" i="6" l="1"/>
  <c r="I16" i="6" s="1"/>
  <c r="I12" i="7"/>
  <c r="I29" i="6"/>
  <c r="J10" i="4"/>
  <c r="J25" i="6"/>
  <c r="J14" i="6"/>
  <c r="J13" i="7" s="1"/>
  <c r="J9" i="6"/>
  <c r="J19" i="7" s="1"/>
  <c r="J7" i="6"/>
  <c r="J11" i="7" s="1"/>
  <c r="G20" i="7"/>
  <c r="G21" i="7" s="1"/>
  <c r="H4" i="5"/>
  <c r="H5" i="7"/>
  <c r="J27" i="6"/>
  <c r="J11" i="4"/>
  <c r="J6" i="6"/>
  <c r="J10" i="7" s="1"/>
  <c r="J26" i="6"/>
  <c r="J24" i="6"/>
  <c r="J13" i="6"/>
  <c r="J8" i="6"/>
  <c r="J18" i="7" s="1"/>
  <c r="E9" i="7"/>
  <c r="E14" i="7" s="1"/>
  <c r="E15" i="7" s="1"/>
  <c r="E10" i="6"/>
  <c r="E21" i="6" s="1"/>
  <c r="I9" i="4"/>
  <c r="G8" i="5"/>
  <c r="G6" i="5"/>
  <c r="K4" i="7"/>
  <c r="K14" i="4"/>
  <c r="K20" i="4" s="1"/>
  <c r="K15" i="4"/>
  <c r="K21" i="4" s="1"/>
  <c r="K13" i="4"/>
  <c r="L8" i="4"/>
  <c r="K17" i="4"/>
  <c r="K23" i="4" s="1"/>
  <c r="K16" i="4"/>
  <c r="K22" i="4" s="1"/>
  <c r="F6" i="7"/>
  <c r="F5" i="6"/>
  <c r="J29" i="6" l="1"/>
  <c r="I4" i="5"/>
  <c r="I5" i="7"/>
  <c r="H8" i="5"/>
  <c r="H6" i="5"/>
  <c r="K13" i="6"/>
  <c r="K11" i="4"/>
  <c r="K24" i="6"/>
  <c r="K26" i="6"/>
  <c r="K8" i="6"/>
  <c r="K18" i="7" s="1"/>
  <c r="K6" i="6"/>
  <c r="K10" i="7" s="1"/>
  <c r="K27" i="6"/>
  <c r="L14" i="4"/>
  <c r="L20" i="4" s="1"/>
  <c r="L17" i="4"/>
  <c r="L23" i="4" s="1"/>
  <c r="L13" i="4"/>
  <c r="L16" i="4"/>
  <c r="L22" i="4" s="1"/>
  <c r="L4" i="7"/>
  <c r="L15" i="4"/>
  <c r="L21" i="4" s="1"/>
  <c r="M8" i="4"/>
  <c r="H20" i="7"/>
  <c r="H21" i="7" s="1"/>
  <c r="K10" i="4"/>
  <c r="K7" i="6"/>
  <c r="K11" i="7" s="1"/>
  <c r="K9" i="6"/>
  <c r="K19" i="7" s="1"/>
  <c r="K25" i="6"/>
  <c r="K14" i="6"/>
  <c r="K13" i="7" s="1"/>
  <c r="J12" i="7"/>
  <c r="J15" i="6"/>
  <c r="J16" i="6" s="1"/>
  <c r="F9" i="7"/>
  <c r="F14" i="7" s="1"/>
  <c r="F15" i="7" s="1"/>
  <c r="F10" i="6"/>
  <c r="F21" i="6" s="1"/>
  <c r="J9" i="4"/>
  <c r="G6" i="7"/>
  <c r="G5" i="6"/>
  <c r="M17" i="4" l="1"/>
  <c r="M23" i="4" s="1"/>
  <c r="M13" i="4"/>
  <c r="M16" i="4"/>
  <c r="M22" i="4" s="1"/>
  <c r="M4" i="7"/>
  <c r="M14" i="4"/>
  <c r="M20" i="4" s="1"/>
  <c r="M15" i="4"/>
  <c r="M21" i="4" s="1"/>
  <c r="L10" i="4"/>
  <c r="L9" i="6"/>
  <c r="L19" i="7" s="1"/>
  <c r="L14" i="6"/>
  <c r="L13" i="7" s="1"/>
  <c r="L7" i="6"/>
  <c r="L11" i="7" s="1"/>
  <c r="L25" i="6"/>
  <c r="L13" i="6"/>
  <c r="L27" i="6"/>
  <c r="L6" i="6"/>
  <c r="L10" i="7" s="1"/>
  <c r="L26" i="6"/>
  <c r="L11" i="4"/>
  <c r="L24" i="6"/>
  <c r="L8" i="6"/>
  <c r="L18" i="7" s="1"/>
  <c r="G9" i="7"/>
  <c r="G14" i="7" s="1"/>
  <c r="G15" i="7" s="1"/>
  <c r="G10" i="6"/>
  <c r="G21" i="6" s="1"/>
  <c r="J4" i="5"/>
  <c r="J5" i="7"/>
  <c r="K29" i="6"/>
  <c r="K12" i="7"/>
  <c r="K15" i="6"/>
  <c r="K16" i="6" s="1"/>
  <c r="K9" i="4"/>
  <c r="H6" i="7"/>
  <c r="H5" i="6"/>
  <c r="I20" i="7"/>
  <c r="I21" i="7" s="1"/>
  <c r="I8" i="5"/>
  <c r="I6" i="5"/>
  <c r="J8" i="5" l="1"/>
  <c r="J6" i="5"/>
  <c r="I6" i="7"/>
  <c r="I5" i="6"/>
  <c r="L15" i="6"/>
  <c r="L16" i="6" s="1"/>
  <c r="L12" i="7"/>
  <c r="J20" i="7"/>
  <c r="J21" i="7" s="1"/>
  <c r="L29" i="6"/>
  <c r="H9" i="7"/>
  <c r="H14" i="7" s="1"/>
  <c r="H15" i="7" s="1"/>
  <c r="H10" i="6"/>
  <c r="H21" i="6" s="1"/>
  <c r="M10" i="4"/>
  <c r="M9" i="6"/>
  <c r="M19" i="7" s="1"/>
  <c r="M25" i="6"/>
  <c r="M14" i="6"/>
  <c r="M13" i="7" s="1"/>
  <c r="M7" i="6"/>
  <c r="M11" i="7" s="1"/>
  <c r="L9" i="4"/>
  <c r="M11" i="4"/>
  <c r="M8" i="6"/>
  <c r="M18" i="7" s="1"/>
  <c r="M26" i="6"/>
  <c r="M6" i="6"/>
  <c r="M10" i="7" s="1"/>
  <c r="M13" i="6"/>
  <c r="M27" i="6"/>
  <c r="M24" i="6"/>
  <c r="K4" i="5"/>
  <c r="K5" i="7"/>
  <c r="M12" i="7" l="1"/>
  <c r="M15" i="6"/>
  <c r="M16" i="6" s="1"/>
  <c r="L4" i="5"/>
  <c r="L5" i="7"/>
  <c r="I9" i="7"/>
  <c r="I14" i="7" s="1"/>
  <c r="I15" i="7" s="1"/>
  <c r="I10" i="6"/>
  <c r="I21" i="6" s="1"/>
  <c r="M9" i="4"/>
  <c r="K20" i="7"/>
  <c r="K21" i="7" s="1"/>
  <c r="K6" i="5"/>
  <c r="K8" i="5"/>
  <c r="M29" i="6"/>
  <c r="J6" i="7"/>
  <c r="J5" i="6"/>
  <c r="K5" i="6" l="1"/>
  <c r="K6" i="7"/>
  <c r="M4" i="5"/>
  <c r="M5" i="7"/>
  <c r="J9" i="7"/>
  <c r="J14" i="7" s="1"/>
  <c r="J15" i="7" s="1"/>
  <c r="J10" i="6"/>
  <c r="J21" i="6" s="1"/>
  <c r="L20" i="7"/>
  <c r="L21" i="7" s="1"/>
  <c r="L6" i="5"/>
  <c r="L8" i="5"/>
  <c r="M8" i="5" l="1"/>
  <c r="M6" i="5"/>
  <c r="L5" i="6"/>
  <c r="L6" i="7"/>
  <c r="M20" i="7"/>
  <c r="M21" i="7" s="1"/>
  <c r="K9" i="7"/>
  <c r="K14" i="7" s="1"/>
  <c r="K15" i="7" s="1"/>
  <c r="K10" i="6"/>
  <c r="K21" i="6" s="1"/>
  <c r="L9" i="7" l="1"/>
  <c r="L14" i="7" s="1"/>
  <c r="L15" i="7" s="1"/>
  <c r="L10" i="6"/>
  <c r="L21" i="6" s="1"/>
  <c r="M5" i="6"/>
  <c r="M6" i="7"/>
  <c r="M9" i="7" l="1"/>
  <c r="M14" i="7" s="1"/>
  <c r="M15" i="7" s="1"/>
  <c r="M10" i="6"/>
  <c r="M21" i="6" s="1"/>
</calcChain>
</file>

<file path=xl/sharedStrings.xml><?xml version="1.0" encoding="utf-8"?>
<sst xmlns="http://schemas.openxmlformats.org/spreadsheetml/2006/main" count="1985" uniqueCount="273">
  <si>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</si>
  <si>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</si>
  <si>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</si>
  <si>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</si>
  <si>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</si>
  <si>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</si>
  <si>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</si>
  <si>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</si>
  <si>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</si>
  <si>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</si>
  <si>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</si>
  <si>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</si>
  <si>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</si>
  <si>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</si>
  <si>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</si>
  <si>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</si>
  <si>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</si>
  <si>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</si>
  <si>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</si>
  <si>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</si>
  <si>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</si>
  <si>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</si>
  <si>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</si>
  <si>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</si>
  <si>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</si>
  <si>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</si>
  <si>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</si>
  <si>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</si>
  <si>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</si>
  <si>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</si>
  <si>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</si>
  <si>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</si>
  <si>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</si>
  <si>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</si>
  <si>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</si>
  <si>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</si>
  <si>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</si>
  <si>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</si>
  <si>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</si>
  <si>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</si>
  <si>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</si>
  <si>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</si>
  <si>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</si>
  <si>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</si>
  <si>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</si>
  <si>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</si>
  <si>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</si>
  <si>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</si>
  <si>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</si>
  <si>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</si>
  <si>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</si>
  <si>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</si>
  <si>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</si>
  <si>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</si>
  <si>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</si>
  <si>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</si>
  <si>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</si>
  <si>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</si>
  <si>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Level #</t>
  </si>
  <si>
    <t>Sales Threshold</t>
  </si>
  <si>
    <t>Base Commission %</t>
  </si>
  <si>
    <t>WELCOME REWARDS</t>
  </si>
  <si>
    <t>--- Commission Boost ---</t>
  </si>
  <si>
    <t>--- Gift Card ---</t>
  </si>
  <si>
    <t>Quantity</t>
  </si>
  <si>
    <t>Value %</t>
  </si>
  <si>
    <t>Duration (Days)</t>
  </si>
  <si>
    <t>Value $</t>
  </si>
  <si>
    <t>Spark Ads Qty</t>
  </si>
  <si>
    <t>Spark Ads $</t>
  </si>
  <si>
    <t>--- Follower Discount  ---</t>
  </si>
  <si>
    <t>--- Physical Gift  ---</t>
  </si>
  <si>
    <t>--- Experience ---</t>
  </si>
  <si>
    <t>Experience Qty</t>
  </si>
  <si>
    <t>Experience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</si>
  <si>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</si>
  <si>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</si>
  <si>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</si>
  <si>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</si>
  <si>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</si>
  <si>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</si>
  <si>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</si>
  <si>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Type</t>
  </si>
  <si>
    <t>Reward Value</t>
  </si>
  <si>
    <t>Reward Duration</t>
  </si>
  <si>
    <t>Active?</t>
  </si>
  <si>
    <t>Cost per Completion</t>
  </si>
  <si>
    <t>Sales</t>
  </si>
  <si>
    <t>One-time</t>
  </si>
  <si>
    <t>Gift Card</t>
  </si>
  <si>
    <t>Yes</t>
  </si>
  <si>
    <t>Videos</t>
  </si>
  <si>
    <t>Views</t>
  </si>
  <si>
    <t>Discount</t>
  </si>
  <si>
    <t>Monthly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</si>
  <si>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</si>
  <si>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</si>
  <si>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</si>
  <si>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</si>
  <si>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</si>
  <si>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</si>
  <si>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</si>
  <si>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</si>
  <si>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</si>
  <si>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</si>
  <si>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</si>
  <si>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</si>
  <si>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</si>
  <si>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</si>
  <si>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</si>
  <si>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</si>
  <si>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</si>
  <si>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</si>
  <si>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</si>
  <si>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</si>
  <si>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</si>
  <si>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</si>
  <si>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</si>
  <si>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</si>
  <si>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</si>
  <si>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</si>
  <si>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</si>
  <si>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</si>
  <si>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</si>
  <si>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</si>
  <si>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</si>
  <si>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</si>
  <si>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</si>
  <si>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</si>
  <si>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</si>
  <si>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</si>
  <si>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</si>
  <si>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</si>
  <si>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</si>
  <si>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</si>
  <si>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</si>
  <si>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</si>
  <si>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</si>
  <si>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</si>
  <si>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</si>
  <si>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</si>
  <si>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</si>
  <si>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</si>
  <si>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</si>
  <si>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</si>
  <si>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</si>
  <si>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</si>
  <si>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</si>
  <si>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</si>
  <si>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</si>
  <si>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</si>
  <si>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</si>
  <si>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</si>
  <si>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</si>
  <si>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</si>
  <si>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</si>
  <si>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</si>
  <si>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</si>
  <si>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</si>
  <si>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</si>
  <si>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</si>
  <si>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</si>
  <si>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</si>
  <si>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</si>
  <si>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</si>
  <si>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</si>
  <si>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SCENARIO COMPARISON</t>
  </si>
  <si>
    <t>INPUT ASSUMPTIONS</t>
  </si>
  <si>
    <t>Variable</t>
  </si>
  <si>
    <t>Conservative</t>
  </si>
  <si>
    <t>Base Case</t>
  </si>
  <si>
    <t>Optimistic</t>
  </si>
  <si>
    <t>Performer Distribution</t>
  </si>
  <si>
    <t>Base</t>
  </si>
  <si>
    <t>Uplift Factor</t>
  </si>
  <si>
    <t>1.05x</t>
  </si>
  <si>
    <t>1.5x</t>
  </si>
  <si>
    <t>1.95x</t>
  </si>
  <si>
    <t>Mission Variance Multiplier</t>
  </si>
  <si>
    <t>0.7x</t>
  </si>
  <si>
    <t>1.0x</t>
  </si>
  <si>
    <t>1.3x</t>
  </si>
  <si>
    <t>AVERAGE FROM THREE SCENARIOS</t>
  </si>
  <si>
    <t>Loyalty Cost per Sale</t>
  </si>
  <si>
    <t>X</t>
  </si>
  <si>
    <t>Loyalty Cost % Margin</t>
  </si>
  <si>
    <t>Discount Cost per Sale</t>
  </si>
  <si>
    <t>Discount Cost % Margin</t>
  </si>
  <si>
    <t>Loyalty Cost per Unit</t>
  </si>
  <si>
    <t>% of Margin</t>
  </si>
  <si>
    <t>Discount Cost per Unit</t>
  </si>
  <si>
    <t>CONSERVATIVE - MONTHLY UNIT COST TRAJECTORY</t>
  </si>
  <si>
    <t>Average</t>
  </si>
  <si>
    <t>BASE - MONTHLY UNIT COST TRAJECTORY</t>
  </si>
  <si>
    <t>OPTIMISTIC - MONTHLY UNIT COST TRAJECTORY</t>
  </si>
  <si>
    <t>SCENARIO PLANNING - INPUTS</t>
  </si>
  <si>
    <t>These inputs feed into ScenarioCalc.md methodology</t>
  </si>
  <si>
    <t>1. PERFORMER SALES RANGES</t>
  </si>
  <si>
    <t>Performer</t>
  </si>
  <si>
    <t>Min Sales/Mo</t>
  </si>
  <si>
    <t>Max Sales/Mo</t>
  </si>
  <si>
    <t>Inactive</t>
  </si>
  <si>
    <t>Casual</t>
  </si>
  <si>
    <t>Active</t>
  </si>
  <si>
    <t>Power</t>
  </si>
  <si>
    <t>Viral</t>
  </si>
  <si>
    <t>2. PERFORMER DISTRIBUTION (% per scenario)</t>
  </si>
  <si>
    <t>Total</t>
  </si>
  <si>
    <t>3. UPLIFT FACTORS</t>
  </si>
  <si>
    <t>Scenario</t>
  </si>
  <si>
    <t>4. SALES THRESHOLDS</t>
  </si>
  <si>
    <t>Tier</t>
  </si>
  <si>
    <t>Cumulative Sales</t>
  </si>
  <si>
    <t>5. Mission Completion Variance Multiplier</t>
  </si>
  <si>
    <t>Variance</t>
  </si>
  <si>
    <t>SCENARIO PLANNING - Outputs</t>
  </si>
  <si>
    <t>STEP 1: VIP Level Growth</t>
  </si>
  <si>
    <t>CONSERVATIVE</t>
  </si>
  <si>
    <t>BASE</t>
  </si>
  <si>
    <t>OPTIMISTIC</t>
  </si>
  <si>
    <t>STEP 2: AVG SALES/MO PER TIER</t>
  </si>
  <si>
    <t>STEP 4: MISSION COMPLETION RATES</t>
  </si>
  <si>
    <t>Mission</t>
  </si>
  <si>
    <t>Frequency</t>
  </si>
  <si>
    <t>Cons.</t>
  </si>
  <si>
    <t>Optim.</t>
  </si>
  <si>
    <t>BASE SCENARIO CALCULATION</t>
  </si>
  <si>
    <t>CONSERVATIVE SCENARIO CALCULATION</t>
  </si>
  <si>
    <t>OPTIMISTIC SCENARIO CALCULATION</t>
  </si>
  <si>
    <t>Uplift Factor: 1.5x</t>
  </si>
  <si>
    <t>Uplift Factor: 1.05x</t>
  </si>
  <si>
    <t>Uplift Factor: 1.95x</t>
  </si>
  <si>
    <t>1. VIP LEVEL DISTRIBUTION</t>
  </si>
  <si>
    <t>2. AVG SALES/MO PER TIER</t>
  </si>
  <si>
    <t>Avg Sales/Mo</t>
  </si>
  <si>
    <t xml:space="preserve"> </t>
  </si>
  <si>
    <t>3. BUCKET CREATION SUMMARY</t>
  </si>
  <si>
    <t>Original</t>
  </si>
  <si>
    <t>Uplifted</t>
  </si>
  <si>
    <t>Buckets</t>
  </si>
  <si>
    <t>% per Bucket</t>
  </si>
  <si>
    <t>0-1</t>
  </si>
  <si>
    <t>0-1.5</t>
  </si>
  <si>
    <t>0-1.05</t>
  </si>
  <si>
    <t>0-1.95</t>
  </si>
  <si>
    <t>2-4</t>
  </si>
  <si>
    <t>3-6</t>
  </si>
  <si>
    <t>2.10-4.20</t>
  </si>
  <si>
    <t>3.90-7.80</t>
  </si>
  <si>
    <t>5-10</t>
  </si>
  <si>
    <t>7.5-15</t>
  </si>
  <si>
    <t>5.25-10.50</t>
  </si>
  <si>
    <t>9.75-19.50</t>
  </si>
  <si>
    <t>15-30</t>
  </si>
  <si>
    <t>50-100</t>
  </si>
  <si>
    <t>4. DETAILED BUCKET PROGRESSION</t>
  </si>
  <si>
    <t>Shows tier for each bucket at each month</t>
  </si>
  <si>
    <t>Sales/Mo</t>
  </si>
  <si>
    <t>Final</t>
  </si>
  <si>
    <t>Bron</t>
  </si>
  <si>
    <t>Silv</t>
  </si>
  <si>
    <t>Plat</t>
  </si>
  <si>
    <t>5. M12 TIER COMPOSITION</t>
  </si>
  <si>
    <t>Who's Here</t>
  </si>
  <si>
    <t>Total %</t>
  </si>
  <si>
    <t>Inactive (low buckets)</t>
  </si>
  <si>
    <t>Inactive (top) + Casual + Low Active</t>
  </si>
  <si>
    <t>Mid Active</t>
  </si>
  <si>
    <t>Inactive (0, 0.5, 1.0)</t>
  </si>
  <si>
    <t>High Active + Power + Viral</t>
  </si>
  <si>
    <t>Inactive (1.5) + Casual + Low Active</t>
  </si>
  <si>
    <t>4. MISSION COMPLETION RATES</t>
  </si>
  <si>
    <t>6. MISSION COMPLETION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</si>
</sst>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\$#,##0"/>
    <numFmt numFmtId="166" formatCode="0.0%"/>
    <numFmt numFmtId="167" formatCode="0.0"/>
  </numFmts>
  <fonts count="50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4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b/>
      <sz val="14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rgb="FFFFF2CC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EBF1DE"/>
        <bgColor rgb="FFFFF2CC"/>
      </patternFill>
    </fill>
    <fill>
      <patternFill patternType="solid">
        <fgColor rgb="FFFFF2CC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20"/>
    <xf numFmtId="9" fontId="15" fillId="0" borderId="20"/>
  </cellStyleXfs>
  <cellXfs count="237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17" fillId="0" borderId="0" xfId="0" applyFont="1" applyBorder="1"/>
    <xf numFmtId="0" fontId="18" fillId="22" borderId="5" xfId="0" applyFont="1" applyFill="1" applyBorder="1" applyAlignment="1">
      <alignment horizontal="center" vertical="center"/>
    </xf>
    <xf numFmtId="0" fontId="0" fillId="0" borderId="5" xfId="0" applyBorder="1"/>
    <xf numFmtId="0" fontId="2" fillId="23" borderId="0" xfId="0" applyFont="1" applyFill="1" applyBorder="1"/>
    <xf numFmtId="0" fontId="5" fillId="23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165" fontId="0" fillId="17" borderId="5" xfId="0" applyNumberFormat="1" applyFill="1" applyBorder="1" applyAlignment="1">
      <alignment horizontal="center"/>
    </xf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19" fillId="0" borderId="0" xfId="0" applyFont="1" applyBorder="1"/>
    <xf numFmtId="0" fontId="20" fillId="0" borderId="0" xfId="0" applyFont="1" applyBorder="1"/>
    <xf numFmtId="0" fontId="0" fillId="0" borderId="6" xfId="0" applyBorder="1"/>
    <xf numFmtId="9" fontId="0" fillId="25" borderId="6" xfId="0" applyNumberFormat="1" applyFill="1" applyBorder="1" applyAlignment="1">
      <alignment horizontal="center" vertical="center"/>
    </xf>
    <xf numFmtId="0" fontId="21" fillId="0" borderId="6" xfId="0" applyFont="1" applyBorder="1"/>
    <xf numFmtId="9" fontId="21" fillId="26" borderId="6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0" borderId="8" xfId="0" applyBorder="1" applyAlignment="1">
      <alignment horizontal="center" vertical="center"/>
    </xf>
    <xf numFmtId="9" fontId="0" fillId="29" borderId="8" xfId="0" applyNumberFormat="1" applyFill="1" applyBorder="1" applyAlignment="1">
      <alignment horizontal="center" vertical="center"/>
    </xf>
    <xf numFmtId="0" fontId="0" fillId="29" borderId="8" xfId="0" applyFill="1" applyBorder="1" applyAlignment="1">
      <alignment horizontal="center" vertical="center"/>
    </xf>
    <xf numFmtId="0" fontId="0" fillId="31" borderId="8" xfId="0" applyFill="1" applyBorder="1" applyAlignment="1">
      <alignment horizontal="center" vertical="center"/>
    </xf>
    <xf numFmtId="0" fontId="23" fillId="0" borderId="0" xfId="0" applyFont="1" applyBorder="1"/>
    <xf numFmtId="0" fontId="24" fillId="0" borderId="0" xfId="0" applyFont="1" applyBorder="1"/>
    <xf numFmtId="0" fontId="25" fillId="24" borderId="6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9" fontId="0" fillId="32" borderId="6" xfId="0" applyNumberFormat="1" applyFill="1" applyBorder="1" applyAlignment="1">
      <alignment horizontal="center" vertical="center"/>
    </xf>
    <xf numFmtId="9" fontId="0" fillId="33" borderId="6" xfId="0" applyNumberFormat="1" applyFill="1" applyBorder="1" applyAlignment="1">
      <alignment horizontal="center" vertical="center"/>
    </xf>
    <xf numFmtId="0" fontId="27" fillId="0" borderId="7" xfId="0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 vertical="center"/>
    </xf>
    <xf numFmtId="0" fontId="28" fillId="0" borderId="7" xfId="0" applyFont="1" applyBorder="1"/>
    <xf numFmtId="9" fontId="26" fillId="0" borderId="7" xfId="0" applyNumberFormat="1" applyFont="1" applyBorder="1" applyAlignment="1">
      <alignment horizontal="center" vertical="center"/>
    </xf>
    <xf numFmtId="0" fontId="26" fillId="0" borderId="0" xfId="0" applyFont="1" applyBorder="1"/>
    <xf numFmtId="0" fontId="26" fillId="0" borderId="8" xfId="0" applyFont="1" applyBorder="1" applyAlignment="1">
      <alignment horizontal="center"/>
    </xf>
    <xf numFmtId="0" fontId="27" fillId="0" borderId="4" xfId="0" applyFont="1" applyBorder="1"/>
    <xf numFmtId="9" fontId="26" fillId="0" borderId="10" xfId="0" applyNumberFormat="1" applyFont="1" applyBorder="1" applyAlignment="1">
      <alignment horizontal="center" vertical="center"/>
    </xf>
    <xf numFmtId="0" fontId="26" fillId="0" borderId="11" xfId="0" applyFont="1" applyBorder="1"/>
    <xf numFmtId="9" fontId="26" fillId="0" borderId="11" xfId="0" applyNumberFormat="1" applyFont="1" applyBorder="1" applyAlignment="1">
      <alignment horizontal="center" vertical="center"/>
    </xf>
    <xf numFmtId="0" fontId="9" fillId="28" borderId="8" xfId="0" applyFont="1" applyFill="1" applyBorder="1" applyAlignment="1">
      <alignment horizontal="center" vertical="center"/>
    </xf>
    <xf numFmtId="9" fontId="9" fillId="28" borderId="8" xfId="0" applyNumberFormat="1" applyFont="1" applyFill="1" applyBorder="1" applyAlignment="1">
      <alignment horizontal="center" vertical="center"/>
    </xf>
    <xf numFmtId="9" fontId="0" fillId="31" borderId="8" xfId="0" applyNumberFormat="1" applyFill="1" applyBorder="1" applyAlignment="1">
      <alignment horizontal="center" vertical="center"/>
    </xf>
    <xf numFmtId="0" fontId="4" fillId="0" borderId="8" xfId="0" applyFont="1" applyBorder="1"/>
    <xf numFmtId="9" fontId="26" fillId="31" borderId="8" xfId="0" applyNumberFormat="1" applyFont="1" applyFill="1" applyBorder="1" applyAlignment="1">
      <alignment horizontal="center" vertical="center"/>
    </xf>
    <xf numFmtId="0" fontId="4" fillId="0" borderId="9" xfId="0" applyFont="1" applyBorder="1"/>
    <xf numFmtId="9" fontId="4" fillId="30" borderId="9" xfId="0" applyNumberFormat="1" applyFont="1" applyFill="1" applyBorder="1" applyAlignment="1">
      <alignment horizontal="center" vertical="center"/>
    </xf>
    <xf numFmtId="9" fontId="0" fillId="27" borderId="8" xfId="0" applyNumberFormat="1" applyFill="1" applyBorder="1" applyAlignment="1">
      <alignment horizontal="center" vertical="center"/>
    </xf>
    <xf numFmtId="9" fontId="22" fillId="27" borderId="8" xfId="0" applyNumberFormat="1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9" fillId="28" borderId="4" xfId="0" applyFont="1" applyFill="1" applyBorder="1" applyAlignment="1">
      <alignment horizontal="center" vertical="center"/>
    </xf>
    <xf numFmtId="0" fontId="28" fillId="0" borderId="12" xfId="0" applyFont="1" applyBorder="1"/>
    <xf numFmtId="0" fontId="26" fillId="0" borderId="12" xfId="0" applyFont="1" applyBorder="1" applyAlignment="1">
      <alignment horizontal="center" vertical="center"/>
    </xf>
    <xf numFmtId="0" fontId="26" fillId="0" borderId="12" xfId="0" applyFont="1" applyBorder="1"/>
    <xf numFmtId="0" fontId="0" fillId="27" borderId="8" xfId="0" applyFill="1" applyBorder="1" applyAlignment="1">
      <alignment horizontal="center" vertical="center"/>
    </xf>
    <xf numFmtId="0" fontId="27" fillId="0" borderId="12" xfId="0" applyFont="1" applyBorder="1"/>
    <xf numFmtId="0" fontId="0" fillId="0" borderId="9" xfId="0" applyBorder="1"/>
    <xf numFmtId="0" fontId="0" fillId="31" borderId="9" xfId="0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9" fontId="9" fillId="28" borderId="4" xfId="0" applyNumberFormat="1" applyFont="1" applyFill="1" applyBorder="1" applyAlignment="1">
      <alignment horizontal="center" vertical="center"/>
    </xf>
    <xf numFmtId="0" fontId="26" fillId="32" borderId="8" xfId="0" applyFont="1" applyFill="1" applyBorder="1" applyAlignment="1">
      <alignment horizontal="center"/>
    </xf>
    <xf numFmtId="0" fontId="30" fillId="0" borderId="13" xfId="0" applyFont="1" applyBorder="1"/>
    <xf numFmtId="9" fontId="30" fillId="0" borderId="13" xfId="0" applyNumberFormat="1" applyFont="1" applyBorder="1"/>
    <xf numFmtId="10" fontId="30" fillId="0" borderId="13" xfId="0" applyNumberFormat="1" applyFont="1" applyBorder="1"/>
    <xf numFmtId="0" fontId="32" fillId="38" borderId="14" xfId="0" applyFont="1" applyFill="1" applyBorder="1" applyAlignment="1">
      <alignment horizontal="center" vertical="center"/>
    </xf>
    <xf numFmtId="0" fontId="33" fillId="0" borderId="14" xfId="0" applyFont="1" applyBorder="1" applyAlignment="1">
      <alignment horizontal="center" vertical="center"/>
    </xf>
    <xf numFmtId="166" fontId="33" fillId="0" borderId="14" xfId="0" applyNumberFormat="1" applyFont="1" applyBorder="1" applyAlignment="1">
      <alignment horizontal="center" vertical="center"/>
    </xf>
    <xf numFmtId="9" fontId="33" fillId="0" borderId="14" xfId="0" applyNumberFormat="1" applyFont="1" applyBorder="1" applyAlignment="1">
      <alignment horizontal="center" vertical="center"/>
    </xf>
    <xf numFmtId="10" fontId="33" fillId="0" borderId="14" xfId="0" applyNumberFormat="1" applyFont="1" applyBorder="1" applyAlignment="1">
      <alignment horizontal="center" vertical="center"/>
    </xf>
    <xf numFmtId="167" fontId="33" fillId="0" borderId="14" xfId="0" applyNumberFormat="1" applyFont="1" applyBorder="1" applyAlignment="1">
      <alignment horizontal="center" vertical="center"/>
    </xf>
    <xf numFmtId="0" fontId="33" fillId="34" borderId="14" xfId="0" applyFont="1" applyFill="1" applyBorder="1" applyAlignment="1">
      <alignment horizontal="center" vertical="center"/>
    </xf>
    <xf numFmtId="0" fontId="33" fillId="35" borderId="14" xfId="0" applyFont="1" applyFill="1" applyBorder="1" applyAlignment="1">
      <alignment horizontal="center" vertical="center"/>
    </xf>
    <xf numFmtId="0" fontId="33" fillId="36" borderId="14" xfId="0" applyFont="1" applyFill="1" applyBorder="1" applyAlignment="1">
      <alignment horizontal="center" vertical="center"/>
    </xf>
    <xf numFmtId="0" fontId="33" fillId="37" borderId="14" xfId="0" applyFont="1" applyFill="1" applyBorder="1" applyAlignment="1">
      <alignment horizontal="center" vertical="center"/>
    </xf>
    <xf numFmtId="10" fontId="32" fillId="38" borderId="14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left" vertical="center"/>
    </xf>
    <xf numFmtId="0" fontId="30" fillId="0" borderId="13" xfId="0" applyFont="1" applyBorder="1" applyAlignment="1">
      <alignment horizontal="left" vertical="center"/>
    </xf>
    <xf numFmtId="0" fontId="30" fillId="0" borderId="13" xfId="0" applyFont="1" applyBorder="1" applyAlignment="1">
      <alignment horizontal="left"/>
    </xf>
    <xf numFmtId="0" fontId="31" fillId="0" borderId="13" xfId="0" applyFont="1" applyBorder="1" applyAlignment="1">
      <alignment horizontal="left" vertical="center"/>
    </xf>
    <xf numFmtId="0" fontId="32" fillId="38" borderId="14" xfId="0" applyFont="1" applyFill="1" applyBorder="1" applyAlignment="1">
      <alignment horizontal="left" vertical="center"/>
    </xf>
    <xf numFmtId="0" fontId="33" fillId="0" borderId="14" xfId="0" applyFont="1" applyBorder="1" applyAlignment="1">
      <alignment horizontal="left" vertical="center"/>
    </xf>
    <xf numFmtId="0" fontId="33" fillId="34" borderId="14" xfId="0" applyFont="1" applyFill="1" applyBorder="1" applyAlignment="1">
      <alignment horizontal="left" vertical="center"/>
    </xf>
    <xf numFmtId="0" fontId="33" fillId="35" borderId="14" xfId="0" applyFont="1" applyFill="1" applyBorder="1" applyAlignment="1">
      <alignment horizontal="left" vertical="center"/>
    </xf>
    <xf numFmtId="0" fontId="33" fillId="36" borderId="14" xfId="0" applyFont="1" applyFill="1" applyBorder="1" applyAlignment="1">
      <alignment horizontal="left" vertical="center"/>
    </xf>
    <xf numFmtId="0" fontId="33" fillId="37" borderId="14" xfId="0" applyFont="1" applyFill="1" applyBorder="1" applyAlignment="1">
      <alignment horizontal="left" vertical="center"/>
    </xf>
    <xf numFmtId="0" fontId="0" fillId="0" borderId="0" xfId="0" applyBorder="1" applyAlignment="1">
      <alignment horizontal="left"/>
    </xf>
    <xf numFmtId="1" fontId="33" fillId="0" borderId="14" xfId="0" applyNumberFormat="1" applyFont="1" applyBorder="1" applyAlignment="1">
      <alignment horizontal="center" vertical="center"/>
    </xf>
    <xf numFmtId="2" fontId="0" fillId="25" borderId="6" xfId="0" applyNumberFormat="1" applyFill="1" applyBorder="1" applyAlignment="1">
      <alignment horizontal="center" vertical="center"/>
    </xf>
    <xf numFmtId="2" fontId="0" fillId="33" borderId="6" xfId="0" applyNumberFormat="1" applyFill="1" applyBorder="1" applyAlignment="1">
      <alignment horizontal="center" vertical="center"/>
    </xf>
    <xf numFmtId="0" fontId="26" fillId="0" borderId="13" xfId="0" applyFont="1" applyBorder="1"/>
    <xf numFmtId="9" fontId="26" fillId="0" borderId="13" xfId="0" applyNumberFormat="1" applyFont="1" applyBorder="1" applyAlignment="1">
      <alignment horizontal="center" vertical="center"/>
    </xf>
    <xf numFmtId="0" fontId="0" fillId="0" borderId="13" xfId="0" applyBorder="1"/>
    <xf numFmtId="0" fontId="4" fillId="0" borderId="4" xfId="0" applyFont="1" applyBorder="1"/>
    <xf numFmtId="0" fontId="34" fillId="39" borderId="15" xfId="0" applyFont="1" applyFill="1" applyBorder="1" applyAlignment="1">
      <alignment horizontal="center" vertical="center"/>
    </xf>
    <xf numFmtId="0" fontId="35" fillId="0" borderId="13" xfId="0" applyFont="1" applyBorder="1" applyAlignment="1">
      <alignment horizontal="left"/>
    </xf>
    <xf numFmtId="10" fontId="34" fillId="39" borderId="15" xfId="0" applyNumberFormat="1" applyFont="1" applyFill="1" applyBorder="1" applyAlignment="1">
      <alignment horizontal="center" vertical="center"/>
    </xf>
    <xf numFmtId="0" fontId="30" fillId="40" borderId="15" xfId="0" applyFont="1" applyFill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41" borderId="15" xfId="0" applyFont="1" applyFill="1" applyBorder="1" applyAlignment="1">
      <alignment horizontal="center" vertical="center"/>
    </xf>
    <xf numFmtId="0" fontId="30" fillId="42" borderId="15" xfId="0" applyFont="1" applyFill="1" applyBorder="1" applyAlignment="1">
      <alignment horizontal="center" vertical="center"/>
    </xf>
    <xf numFmtId="0" fontId="30" fillId="43" borderId="15" xfId="0" applyFont="1" applyFill="1" applyBorder="1" applyAlignment="1">
      <alignment horizontal="center" vertical="center"/>
    </xf>
    <xf numFmtId="9" fontId="0" fillId="31" borderId="15" xfId="0" applyNumberFormat="1" applyFill="1" applyBorder="1" applyAlignment="1">
      <alignment horizontal="center" vertical="center"/>
    </xf>
    <xf numFmtId="9" fontId="0" fillId="29" borderId="15" xfId="0" applyNumberFormat="1" applyFill="1" applyBorder="1" applyAlignment="1">
      <alignment horizontal="center" vertical="center"/>
    </xf>
    <xf numFmtId="9" fontId="0" fillId="27" borderId="15" xfId="0" applyNumberFormat="1" applyFill="1" applyBorder="1" applyAlignment="1">
      <alignment horizontal="center" vertical="center"/>
    </xf>
    <xf numFmtId="2" fontId="30" fillId="0" borderId="15" xfId="0" applyNumberFormat="1" applyFont="1" applyBorder="1" applyAlignment="1">
      <alignment horizontal="center" vertical="center"/>
    </xf>
    <xf numFmtId="167" fontId="26" fillId="0" borderId="12" xfId="0" applyNumberFormat="1" applyFont="1" applyBorder="1" applyAlignment="1">
      <alignment horizontal="center" vertical="center"/>
    </xf>
    <xf numFmtId="0" fontId="17" fillId="0" borderId="13" xfId="0" applyFont="1" applyBorder="1"/>
    <xf numFmtId="0" fontId="4" fillId="0" borderId="12" xfId="0" applyFont="1" applyBorder="1"/>
    <xf numFmtId="0" fontId="37" fillId="0" borderId="16" xfId="0" applyFont="1" applyBorder="1"/>
    <xf numFmtId="0" fontId="36" fillId="0" borderId="16" xfId="0" applyFont="1" applyBorder="1"/>
    <xf numFmtId="0" fontId="38" fillId="0" borderId="16" xfId="0" applyFont="1" applyBorder="1"/>
    <xf numFmtId="0" fontId="39" fillId="44" borderId="17" xfId="0" applyFont="1" applyFill="1" applyBorder="1" applyAlignment="1">
      <alignment horizontal="center" vertical="center"/>
    </xf>
    <xf numFmtId="0" fontId="36" fillId="45" borderId="17" xfId="0" applyFont="1" applyFill="1" applyBorder="1" applyAlignment="1">
      <alignment horizontal="center" vertical="center"/>
    </xf>
    <xf numFmtId="166" fontId="36" fillId="0" borderId="17" xfId="0" applyNumberFormat="1" applyFont="1" applyBorder="1" applyAlignment="1">
      <alignment horizontal="center" vertical="center"/>
    </xf>
    <xf numFmtId="0" fontId="36" fillId="46" borderId="17" xfId="0" applyFont="1" applyFill="1" applyBorder="1" applyAlignment="1">
      <alignment horizontal="center" vertical="center"/>
    </xf>
    <xf numFmtId="0" fontId="36" fillId="47" borderId="17" xfId="0" applyFont="1" applyFill="1" applyBorder="1" applyAlignment="1">
      <alignment horizontal="center" vertical="center"/>
    </xf>
    <xf numFmtId="0" fontId="36" fillId="48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9" fontId="36" fillId="0" borderId="17" xfId="0" applyNumberFormat="1" applyFont="1" applyBorder="1" applyAlignment="1">
      <alignment horizontal="center" vertical="center"/>
    </xf>
    <xf numFmtId="167" fontId="36" fillId="0" borderId="17" xfId="0" applyNumberFormat="1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10" fontId="36" fillId="0" borderId="17" xfId="0" applyNumberFormat="1" applyFont="1" applyBorder="1" applyAlignment="1">
      <alignment horizontal="center" vertical="center"/>
    </xf>
    <xf numFmtId="1" fontId="36" fillId="0" borderId="17" xfId="0" applyNumberFormat="1" applyFont="1" applyBorder="1" applyAlignment="1">
      <alignment horizontal="center" vertical="center"/>
    </xf>
    <xf numFmtId="0" fontId="42" fillId="0" borderId="18" xfId="0" applyFont="1" applyBorder="1"/>
    <xf numFmtId="0" fontId="41" fillId="0" borderId="18" xfId="0" applyFont="1" applyBorder="1"/>
    <xf numFmtId="0" fontId="43" fillId="0" borderId="18" xfId="0" applyFont="1" applyBorder="1"/>
    <xf numFmtId="0" fontId="44" fillId="49" borderId="19" xfId="0" applyFont="1" applyFill="1" applyBorder="1" applyAlignment="1">
      <alignment horizontal="center" vertical="center"/>
    </xf>
    <xf numFmtId="0" fontId="41" fillId="50" borderId="19" xfId="0" applyFont="1" applyFill="1" applyBorder="1" applyAlignment="1">
      <alignment horizontal="center" vertical="center"/>
    </xf>
    <xf numFmtId="166" fontId="41" fillId="0" borderId="19" xfId="0" applyNumberFormat="1" applyFont="1" applyBorder="1" applyAlignment="1">
      <alignment horizontal="center" vertical="center"/>
    </xf>
    <xf numFmtId="0" fontId="41" fillId="51" borderId="19" xfId="0" applyFont="1" applyFill="1" applyBorder="1" applyAlignment="1">
      <alignment horizontal="center" vertical="center"/>
    </xf>
    <xf numFmtId="0" fontId="41" fillId="52" borderId="19" xfId="0" applyFont="1" applyFill="1" applyBorder="1" applyAlignment="1">
      <alignment horizontal="center" vertical="center"/>
    </xf>
    <xf numFmtId="0" fontId="41" fillId="53" borderId="19" xfId="0" applyFont="1" applyFill="1" applyBorder="1" applyAlignment="1">
      <alignment horizontal="center" vertical="center"/>
    </xf>
    <xf numFmtId="0" fontId="45" fillId="0" borderId="19" xfId="0" applyFont="1" applyBorder="1" applyAlignment="1">
      <alignment horizontal="center" vertical="center"/>
    </xf>
    <xf numFmtId="9" fontId="41" fillId="0" borderId="19" xfId="0" applyNumberFormat="1" applyFont="1" applyBorder="1" applyAlignment="1">
      <alignment horizontal="center" vertical="center"/>
    </xf>
    <xf numFmtId="167" fontId="41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0" fontId="41" fillId="0" borderId="19" xfId="0" applyNumberFormat="1" applyFont="1" applyBorder="1" applyAlignment="1">
      <alignment horizontal="center" vertical="center"/>
    </xf>
    <xf numFmtId="1" fontId="41" fillId="0" borderId="19" xfId="0" applyNumberFormat="1" applyFont="1" applyBorder="1" applyAlignment="1">
      <alignment horizontal="center" vertical="center"/>
    </xf>
    <xf numFmtId="9" fontId="30" fillId="0" borderId="19" xfId="0" applyNumberFormat="1" applyFont="1" applyBorder="1" applyAlignment="1">
      <alignment horizontal="center" vertical="center"/>
    </xf>
    <xf numFmtId="0" fontId="0" fillId="0" borderId="18" xfId="0" applyBorder="1"/>
    <xf numFmtId="0" fontId="0" fillId="0" borderId="18" xfId="0" applyBorder="1" applyAlignment="1">
      <alignment horizontal="center" vertical="center"/>
    </xf>
    <xf numFmtId="0" fontId="46" fillId="0" borderId="20" xfId="0" applyFont="1"/>
    <xf numFmtId="0" fontId="47" fillId="0" borderId="20" xfId="0" applyFont="1"/>
    <xf numFmtId="0" fontId="48" fillId="54" borderId="21" xfId="0" applyFont="1" applyFill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0" fontId="0" fillId="0" borderId="20" xfId="0"/>
    <xf numFmtId="9" fontId="0" fillId="29" borderId="6" xfId="0" applyNumberFormat="1" applyFill="1" applyBorder="1" applyAlignment="1">
      <alignment horizontal="center" vertical="center"/>
    </xf>
    <xf numFmtId="9" fontId="0" fillId="55" borderId="6" xfId="0" applyNumberFormat="1" applyFill="1" applyBorder="1" applyAlignment="1">
      <alignment horizontal="center" vertical="center"/>
    </xf>
    <xf numFmtId="0" fontId="0" fillId="32" borderId="5" xfId="0" applyFill="1" applyBorder="1" applyAlignment="1">
      <alignment horizontal="center" vertical="center"/>
    </xf>
    <xf numFmtId="0" fontId="0" fillId="56" borderId="5" xfId="0" applyFill="1" applyBorder="1" applyAlignment="1">
      <alignment horizontal="center" vertical="center"/>
    </xf>
    <xf numFmtId="0" fontId="0" fillId="57" borderId="5" xfId="0" applyFill="1" applyBorder="1" applyAlignment="1">
      <alignment horizontal="center" vertical="center"/>
    </xf>
    <xf numFmtId="0" fontId="4" fillId="0" borderId="20" xfId="0" applyFont="1"/>
    <xf numFmtId="0" fontId="9" fillId="54" borderId="21" xfId="0" applyFont="1" applyFill="1" applyBorder="1" applyAlignment="1">
      <alignment horizontal="center" vertical="center"/>
    </xf>
    <xf numFmtId="0" fontId="46" fillId="12" borderId="21" xfId="0" applyFont="1" applyFill="1" applyBorder="1" applyAlignment="1">
      <alignment horizontal="center"/>
    </xf>
    <xf numFmtId="0" fontId="25" fillId="58" borderId="21" xfId="0" applyFont="1" applyFill="1" applyBorder="1" applyAlignment="1">
      <alignment horizontal="left" vertical="center"/>
    </xf>
    <xf numFmtId="0" fontId="49" fillId="58" borderId="21" xfId="0" applyFont="1" applyFill="1" applyBorder="1" applyAlignment="1">
      <alignment horizontal="center" vertical="center"/>
    </xf>
    <xf numFmtId="164" fontId="0" fillId="59" borderId="5" xfId="0" applyNumberFormat="1" applyFill="1" applyBorder="1" applyAlignment="1">
      <alignment horizontal="center"/>
    </xf>
    <xf numFmtId="9" fontId="15" fillId="0" borderId="20" xfId="1" applyAlignment="1">
      <alignment horizontal="center"/>
    </xf>
    <xf numFmtId="0" fontId="1" fillId="0" borderId="20" xfId="0" applyFont="1"/>
    <xf numFmtId="0" fontId="0" fillId="0" borderId="0" xfId="0" applyBorder="1"/>
    <xf numFmtId="0" fontId="1" fillId="0" borderId="20" xfId="0" quotePrefix="1" applyFont="1"/>
    <xf numFmtId="0" fontId="16" fillId="0" borderId="20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"/>
  <sheetViews>
    <sheetView tabSelected="1" zoomScaleNormal="100" workbookViewId="0">
      <selection activeCell="G16" sqref="G16:G19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17.5703125" customWidth="1"/>
    <col min="7" max="7" width="15.140625" customWidth="1"/>
  </cols>
  <sheetData>
    <row r="1" spans="1:18" ht="21" customHeight="1" x14ac:dyDescent="0.35">
      <c r="A1" s="233" t="s">
        <v>0</v>
      </c>
      <c r="B1" s="234"/>
      <c r="C1" s="234"/>
      <c r="D1" s="234"/>
      <c r="E1" s="234"/>
    </row>
    <row r="3" spans="1:18" ht="18.75" customHeight="1" x14ac:dyDescent="0.3">
      <c r="A3" s="1" t="s">
        <v>1</v>
      </c>
      <c r="F3" s="14" t="s">
        <v>2</v>
      </c>
    </row>
    <row r="4" spans="1:18" ht="15.75" customHeight="1" x14ac:dyDescent="0.25">
      <c r="A4" s="2" t="s">
        <v>3</v>
      </c>
      <c r="B4" s="2" t="s">
        <v>4</v>
      </c>
      <c r="C4" s="2" t="s">
        <v>5</v>
      </c>
      <c r="D4" s="2" t="s">
        <v>6</v>
      </c>
      <c r="F4" s="15" t="s">
        <v>7</v>
      </c>
      <c r="G4" s="24"/>
    </row>
    <row r="5" spans="1:18" x14ac:dyDescent="0.25">
      <c r="A5" s="3" t="s">
        <v>8</v>
      </c>
      <c r="B5" s="4">
        <v>150</v>
      </c>
      <c r="C5" s="25" t="s">
        <v>9</v>
      </c>
      <c r="D5" s="3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6" t="s">
        <v>18</v>
      </c>
      <c r="N5" s="16" t="s">
        <v>19</v>
      </c>
      <c r="O5" s="16" t="s">
        <v>20</v>
      </c>
      <c r="P5" s="16" t="s">
        <v>21</v>
      </c>
      <c r="Q5" s="16" t="s">
        <v>22</v>
      </c>
      <c r="R5" s="16" t="s">
        <v>23</v>
      </c>
    </row>
    <row r="6" spans="1:18" x14ac:dyDescent="0.25">
      <c r="A6" s="3" t="s">
        <v>24</v>
      </c>
      <c r="B6" s="4">
        <v>100</v>
      </c>
      <c r="C6" s="25" t="s">
        <v>9</v>
      </c>
      <c r="D6" s="3" t="s">
        <v>25</v>
      </c>
      <c r="F6" s="17" t="s">
        <v>26</v>
      </c>
      <c r="G6" s="18">
        <v>0.96499999999999941</v>
      </c>
      <c r="H6" s="18">
        <v>0.88863636363636322</v>
      </c>
      <c r="I6" s="18">
        <v>0.82499999999999973</v>
      </c>
      <c r="J6" s="18">
        <v>0.75499999999999978</v>
      </c>
      <c r="K6" s="18">
        <v>0.61499999999999988</v>
      </c>
      <c r="L6" s="18">
        <v>0.54499999999999993</v>
      </c>
      <c r="M6" s="18">
        <v>0.54499999999999993</v>
      </c>
      <c r="N6" s="18">
        <v>0.47499999999999998</v>
      </c>
      <c r="O6" s="18">
        <v>0.47499999999999998</v>
      </c>
      <c r="P6" s="18">
        <v>0.47499999999999998</v>
      </c>
      <c r="Q6" s="18">
        <v>0.47499999999999998</v>
      </c>
      <c r="R6" s="18">
        <v>0.47499999999999998</v>
      </c>
    </row>
    <row r="7" spans="1:18" x14ac:dyDescent="0.25">
      <c r="A7" s="3" t="s">
        <v>27</v>
      </c>
      <c r="B7" s="5">
        <v>0.7</v>
      </c>
      <c r="C7" s="25" t="s">
        <v>28</v>
      </c>
      <c r="D7" s="3" t="s">
        <v>29</v>
      </c>
      <c r="F7" s="17" t="s">
        <v>30</v>
      </c>
      <c r="G7" s="18">
        <v>3.1465346534653493E-2</v>
      </c>
      <c r="H7" s="18">
        <v>0.1043636363636362</v>
      </c>
      <c r="I7" s="18">
        <v>0.15806451612903219</v>
      </c>
      <c r="J7" s="18">
        <v>0.21722580645161291</v>
      </c>
      <c r="K7" s="18">
        <v>0.35000000000000009</v>
      </c>
      <c r="L7" s="18">
        <v>0.42000000000000032</v>
      </c>
      <c r="M7" s="18">
        <v>0.42000000000000032</v>
      </c>
      <c r="N7" s="18">
        <v>0.46454545454545482</v>
      </c>
      <c r="O7" s="18">
        <v>0.43909090909090931</v>
      </c>
      <c r="P7" s="18">
        <v>0.41363636363636369</v>
      </c>
      <c r="Q7" s="18">
        <v>0.40090909090909099</v>
      </c>
      <c r="R7" s="18">
        <v>0.37545454545454549</v>
      </c>
    </row>
    <row r="8" spans="1:18" x14ac:dyDescent="0.25">
      <c r="F8" s="17" t="s">
        <v>31</v>
      </c>
      <c r="G8" s="18">
        <v>3.5346534653465361E-3</v>
      </c>
      <c r="H8" s="18">
        <v>3.4653465346534671E-3</v>
      </c>
      <c r="I8" s="18">
        <v>9.9354838709677408E-3</v>
      </c>
      <c r="J8" s="18">
        <v>2.0774193548387099E-2</v>
      </c>
      <c r="K8" s="18">
        <v>2.70967741935484E-2</v>
      </c>
      <c r="L8" s="18">
        <v>1.806451612903226E-2</v>
      </c>
      <c r="M8" s="18">
        <v>1.174193548387097E-2</v>
      </c>
      <c r="N8" s="18">
        <v>3.2680351906158367E-2</v>
      </c>
      <c r="O8" s="18">
        <v>5.4521994134897368E-2</v>
      </c>
      <c r="P8" s="18">
        <v>7.636363636363637E-2</v>
      </c>
      <c r="Q8" s="18">
        <v>8.9090909090909096E-2</v>
      </c>
      <c r="R8" s="18">
        <v>0.11454545454545451</v>
      </c>
    </row>
    <row r="9" spans="1:18" ht="18.75" customHeight="1" x14ac:dyDescent="0.3">
      <c r="A9" s="1" t="s">
        <v>32</v>
      </c>
      <c r="F9" s="17" t="s">
        <v>33</v>
      </c>
      <c r="G9" s="18">
        <v>0</v>
      </c>
      <c r="H9" s="18">
        <v>3.5346534653465361E-3</v>
      </c>
      <c r="I9" s="18">
        <v>7.0000000000000036E-3</v>
      </c>
      <c r="J9" s="18">
        <v>7.0000000000000036E-3</v>
      </c>
      <c r="K9" s="18">
        <v>7.9032258064516189E-3</v>
      </c>
      <c r="L9" s="18">
        <v>1.693548387096775E-2</v>
      </c>
      <c r="M9" s="18">
        <v>2.3258064516129041E-2</v>
      </c>
      <c r="N9" s="18">
        <v>2.7774193548387109E-2</v>
      </c>
      <c r="O9" s="18">
        <v>3.1387096774193567E-2</v>
      </c>
      <c r="P9" s="18">
        <v>3.5000000000000017E-2</v>
      </c>
      <c r="Q9" s="18">
        <v>3.5000000000000017E-2</v>
      </c>
      <c r="R9" s="18">
        <v>3.5000000000000017E-2</v>
      </c>
    </row>
    <row r="10" spans="1:18" ht="18.75" hidden="1" customHeight="1" x14ac:dyDescent="0.3">
      <c r="A10" s="1"/>
      <c r="F10" s="17" t="s">
        <v>34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</row>
    <row r="11" spans="1:18" ht="15.75" customHeight="1" x14ac:dyDescent="0.25">
      <c r="A11" s="2" t="s">
        <v>3</v>
      </c>
      <c r="B11" s="2" t="s">
        <v>4</v>
      </c>
      <c r="C11" s="2" t="s">
        <v>5</v>
      </c>
      <c r="D11" s="2" t="s">
        <v>6</v>
      </c>
      <c r="F11" s="19" t="s">
        <v>35</v>
      </c>
      <c r="G11" s="20">
        <f t="shared" ref="G11:R11" si="0">SUM(G6:G10)</f>
        <v>0.99999999999999944</v>
      </c>
      <c r="H11" s="20">
        <f t="shared" si="0"/>
        <v>0.99999999999999944</v>
      </c>
      <c r="I11" s="20">
        <f t="shared" si="0"/>
        <v>0.99999999999999967</v>
      </c>
      <c r="J11" s="20">
        <f t="shared" si="0"/>
        <v>0.99999999999999978</v>
      </c>
      <c r="K11" s="20">
        <f t="shared" si="0"/>
        <v>1</v>
      </c>
      <c r="L11" s="20">
        <f t="shared" si="0"/>
        <v>1.0000000000000002</v>
      </c>
      <c r="M11" s="20">
        <f t="shared" si="0"/>
        <v>1.0000000000000002</v>
      </c>
      <c r="N11" s="20">
        <f t="shared" si="0"/>
        <v>1.0000000000000002</v>
      </c>
      <c r="O11" s="20">
        <f t="shared" si="0"/>
        <v>1.0000000000000002</v>
      </c>
      <c r="P11" s="20">
        <f t="shared" si="0"/>
        <v>1</v>
      </c>
      <c r="Q11" s="20">
        <f t="shared" si="0"/>
        <v>1</v>
      </c>
      <c r="R11" s="20">
        <f t="shared" si="0"/>
        <v>1</v>
      </c>
    </row>
    <row r="12" spans="1:18" ht="18.75" customHeight="1" x14ac:dyDescent="0.25">
      <c r="A12" s="3" t="s">
        <v>36</v>
      </c>
      <c r="B12" s="6">
        <v>40</v>
      </c>
      <c r="C12" s="25" t="s">
        <v>37</v>
      </c>
      <c r="D12" s="3" t="s">
        <v>38</v>
      </c>
    </row>
    <row r="13" spans="1:18" ht="15.75" customHeight="1" x14ac:dyDescent="0.25">
      <c r="A13" s="3" t="s">
        <v>39</v>
      </c>
      <c r="B13" s="4">
        <v>120</v>
      </c>
      <c r="C13" s="25" t="s">
        <v>40</v>
      </c>
      <c r="D13" s="3" t="s">
        <v>41</v>
      </c>
      <c r="F13" s="14" t="s">
        <v>2</v>
      </c>
    </row>
    <row r="14" spans="1:18" ht="15.75" customHeight="1" x14ac:dyDescent="0.25">
      <c r="A14" s="64" t="s">
        <v>42</v>
      </c>
      <c r="B14" s="4">
        <v>1.3</v>
      </c>
      <c r="C14" s="60" t="s">
        <v>43</v>
      </c>
      <c r="D14" s="64" t="s">
        <v>44</v>
      </c>
      <c r="F14" s="62" t="s">
        <v>45</v>
      </c>
    </row>
    <row r="15" spans="1:18" ht="18.75" customHeight="1" x14ac:dyDescent="0.25">
      <c r="F15" s="16" t="s">
        <v>46</v>
      </c>
      <c r="G15" s="16">
        <v>105</v>
      </c>
      <c r="H15" s="16">
        <v>175</v>
      </c>
      <c r="I15" s="16">
        <v>250</v>
      </c>
      <c r="J15" s="16">
        <v>330</v>
      </c>
      <c r="K15" s="16">
        <v>410</v>
      </c>
      <c r="L15" s="16">
        <v>490</v>
      </c>
      <c r="M15" s="16">
        <v>570</v>
      </c>
      <c r="N15" s="16">
        <v>650</v>
      </c>
      <c r="O15" s="16">
        <v>730</v>
      </c>
      <c r="P15" s="16">
        <v>810</v>
      </c>
      <c r="Q15" s="16">
        <v>890</v>
      </c>
      <c r="R15" s="16">
        <v>970</v>
      </c>
    </row>
    <row r="16" spans="1:18" ht="15.75" customHeight="1" x14ac:dyDescent="0.25">
      <c r="F16" s="17" t="s">
        <v>26</v>
      </c>
      <c r="G16" s="61">
        <f>$G$15*G6</f>
        <v>101.32499999999993</v>
      </c>
      <c r="H16" s="61">
        <f>$H$15*H6</f>
        <v>155.51136363636357</v>
      </c>
      <c r="I16" s="61">
        <f>$I$15*I6</f>
        <v>206.24999999999994</v>
      </c>
      <c r="J16" s="61">
        <f>$J$15*J6</f>
        <v>249.14999999999992</v>
      </c>
      <c r="K16" s="61">
        <f>$K$15*K6</f>
        <v>252.14999999999995</v>
      </c>
      <c r="L16" s="61">
        <f>$L$15*L6</f>
        <v>267.04999999999995</v>
      </c>
      <c r="M16" s="61">
        <f>$M$15*M6</f>
        <v>310.64999999999998</v>
      </c>
      <c r="N16" s="61">
        <f>$N$15*N6</f>
        <v>308.75</v>
      </c>
      <c r="O16" s="61">
        <f>$O$15*O6</f>
        <v>346.75</v>
      </c>
      <c r="P16" s="61">
        <f>$P$15*P6</f>
        <v>384.75</v>
      </c>
      <c r="Q16" s="61">
        <f>$Q$15*Q6</f>
        <v>422.75</v>
      </c>
      <c r="R16" s="61">
        <f>$R$15*R6</f>
        <v>460.75</v>
      </c>
    </row>
    <row r="17" spans="1:18" ht="18.75" customHeight="1" x14ac:dyDescent="0.25">
      <c r="F17" s="17" t="s">
        <v>30</v>
      </c>
      <c r="G17" s="61">
        <f>$G$15*G7</f>
        <v>3.3038613861386166</v>
      </c>
      <c r="H17" s="61">
        <f>$H$15*H7</f>
        <v>18.263636363636333</v>
      </c>
      <c r="I17" s="61">
        <f>$I$15*I7</f>
        <v>39.51612903225805</v>
      </c>
      <c r="J17" s="61">
        <f>$J$15*J7</f>
        <v>71.684516129032261</v>
      </c>
      <c r="K17" s="61">
        <f>$K$15*K7</f>
        <v>143.50000000000003</v>
      </c>
      <c r="L17" s="61">
        <f>$L$15*L7</f>
        <v>205.80000000000015</v>
      </c>
      <c r="M17" s="61">
        <f>$M$15*M7</f>
        <v>239.40000000000018</v>
      </c>
      <c r="N17" s="61">
        <f>$N$15*N7</f>
        <v>301.95454545454561</v>
      </c>
      <c r="O17" s="61">
        <f>$O$15*O7</f>
        <v>320.53636363636377</v>
      </c>
      <c r="P17" s="61">
        <f>$P$15*P7</f>
        <v>335.04545454545462</v>
      </c>
      <c r="Q17" s="61">
        <f>$Q$15*Q7</f>
        <v>356.80909090909097</v>
      </c>
      <c r="R17" s="61">
        <f>$R$15*R7</f>
        <v>364.19090909090914</v>
      </c>
    </row>
    <row r="18" spans="1:18" x14ac:dyDescent="0.25">
      <c r="F18" s="17" t="s">
        <v>31</v>
      </c>
      <c r="G18" s="61">
        <f>$G$15*G8</f>
        <v>0.3711386138613863</v>
      </c>
      <c r="H18" s="61">
        <f>$H$15*H8</f>
        <v>0.60643564356435675</v>
      </c>
      <c r="I18" s="61">
        <f>$I$15*I8</f>
        <v>2.4838709677419351</v>
      </c>
      <c r="J18" s="61">
        <f>$J$15*J8</f>
        <v>6.8554838709677428</v>
      </c>
      <c r="K18" s="61">
        <f>$K$15*K8</f>
        <v>11.109677419354844</v>
      </c>
      <c r="L18" s="61">
        <f>$L$15*L8</f>
        <v>8.8516129032258064</v>
      </c>
      <c r="M18" s="61">
        <f>$M$15*M8</f>
        <v>6.6929032258064529</v>
      </c>
      <c r="N18" s="61">
        <f>$N$15*N8</f>
        <v>21.24222873900294</v>
      </c>
      <c r="O18" s="61">
        <f>$O$15*O8</f>
        <v>39.801055718475077</v>
      </c>
      <c r="P18" s="61">
        <f>$P$15*P8</f>
        <v>61.854545454545459</v>
      </c>
      <c r="Q18" s="61">
        <f>$Q$15*Q8</f>
        <v>79.290909090909096</v>
      </c>
      <c r="R18" s="61">
        <f>$R$15*R8</f>
        <v>111.10909090909087</v>
      </c>
    </row>
    <row r="19" spans="1:18" ht="18.75" customHeight="1" x14ac:dyDescent="0.25">
      <c r="F19" s="17" t="s">
        <v>33</v>
      </c>
      <c r="G19" s="61">
        <f>$G$15*G9</f>
        <v>0</v>
      </c>
      <c r="H19" s="61">
        <f>$H$15*H9</f>
        <v>0.61856435643564378</v>
      </c>
      <c r="I19" s="61">
        <f>$I$15*I9</f>
        <v>1.7500000000000009</v>
      </c>
      <c r="J19" s="61">
        <f>$J$15*J9</f>
        <v>2.3100000000000014</v>
      </c>
      <c r="K19" s="61">
        <f>$K$15*K9</f>
        <v>3.2403225806451639</v>
      </c>
      <c r="L19" s="61">
        <f>$L$15*L9</f>
        <v>8.2983870967741975</v>
      </c>
      <c r="M19" s="61">
        <f>$M$15*M9</f>
        <v>13.257096774193553</v>
      </c>
      <c r="N19" s="61">
        <f>$N$15*N9</f>
        <v>18.053225806451621</v>
      </c>
      <c r="O19" s="61">
        <f>$O$15*O9</f>
        <v>22.912580645161302</v>
      </c>
      <c r="P19" s="61">
        <f>$P$15*P9</f>
        <v>28.350000000000016</v>
      </c>
      <c r="Q19" s="61">
        <f>$Q$15*Q9</f>
        <v>31.150000000000016</v>
      </c>
      <c r="R19" s="61">
        <f>$R$15*R9</f>
        <v>33.950000000000017</v>
      </c>
    </row>
    <row r="20" spans="1:18" ht="15.75" customHeight="1" x14ac:dyDescent="0.25"/>
    <row r="21" spans="1:18" ht="47.25" hidden="1" customHeight="1" x14ac:dyDescent="0.25">
      <c r="F21" s="2" t="s">
        <v>47</v>
      </c>
      <c r="G21" s="2" t="s">
        <v>48</v>
      </c>
    </row>
    <row r="22" spans="1:18" ht="15.75" hidden="1" customHeight="1" x14ac:dyDescent="0.25">
      <c r="F22" s="37" t="s">
        <v>26</v>
      </c>
      <c r="G22" s="48">
        <v>2</v>
      </c>
    </row>
    <row r="23" spans="1:18" ht="18.75" hidden="1" customHeight="1" x14ac:dyDescent="0.25">
      <c r="F23" s="29" t="s">
        <v>30</v>
      </c>
      <c r="G23" s="35">
        <v>12</v>
      </c>
    </row>
    <row r="24" spans="1:18" ht="15.75" hidden="1" customHeight="1" x14ac:dyDescent="0.25">
      <c r="F24" s="40" t="s">
        <v>31</v>
      </c>
      <c r="G24" s="54">
        <v>20</v>
      </c>
    </row>
    <row r="25" spans="1:18" ht="31.5" hidden="1" customHeight="1" x14ac:dyDescent="0.25">
      <c r="F25" s="50" t="s">
        <v>33</v>
      </c>
      <c r="G25" s="52">
        <v>25</v>
      </c>
    </row>
    <row r="26" spans="1:18" hidden="1" x14ac:dyDescent="0.25"/>
    <row r="27" spans="1:18" hidden="1" x14ac:dyDescent="0.25"/>
    <row r="28" spans="1:18" ht="18.75" hidden="1" customHeight="1" x14ac:dyDescent="0.3">
      <c r="A28" s="1" t="s">
        <v>49</v>
      </c>
    </row>
    <row r="29" spans="1:18" ht="15.75" hidden="1" customHeight="1" x14ac:dyDescent="0.25">
      <c r="A29" s="2" t="s">
        <v>3</v>
      </c>
      <c r="B29" s="2" t="s">
        <v>4</v>
      </c>
      <c r="C29" s="2" t="s">
        <v>5</v>
      </c>
      <c r="D29" s="2" t="s">
        <v>6</v>
      </c>
    </row>
    <row r="30" spans="1:18" hidden="1" x14ac:dyDescent="0.25">
      <c r="A30" s="3" t="s">
        <v>50</v>
      </c>
      <c r="B30" s="6">
        <v>15</v>
      </c>
      <c r="C30" s="25" t="s">
        <v>37</v>
      </c>
      <c r="D30" s="3" t="s">
        <v>51</v>
      </c>
    </row>
    <row r="32" spans="1:18" ht="15.75" customHeight="1" x14ac:dyDescent="0.25">
      <c r="F32" s="14" t="s">
        <v>52</v>
      </c>
    </row>
    <row r="33" spans="6:18" x14ac:dyDescent="0.25">
      <c r="F33" s="15" t="s">
        <v>53</v>
      </c>
    </row>
    <row r="34" spans="6:18" ht="18.75" customHeight="1" x14ac:dyDescent="0.25">
      <c r="F34" s="16" t="s">
        <v>54</v>
      </c>
      <c r="G34" s="16" t="s">
        <v>12</v>
      </c>
      <c r="H34" s="16" t="s">
        <v>13</v>
      </c>
      <c r="I34" s="16" t="s">
        <v>14</v>
      </c>
      <c r="J34" s="16" t="s">
        <v>15</v>
      </c>
      <c r="K34" s="16" t="s">
        <v>16</v>
      </c>
      <c r="L34" s="16" t="s">
        <v>17</v>
      </c>
      <c r="M34" s="16" t="s">
        <v>18</v>
      </c>
      <c r="N34" s="16" t="s">
        <v>19</v>
      </c>
      <c r="O34" s="16" t="s">
        <v>20</v>
      </c>
      <c r="P34" s="16" t="s">
        <v>21</v>
      </c>
      <c r="Q34" s="16" t="s">
        <v>22</v>
      </c>
      <c r="R34" s="16" t="s">
        <v>23</v>
      </c>
    </row>
    <row r="35" spans="6:18" x14ac:dyDescent="0.25">
      <c r="F35" s="17" t="s">
        <v>55</v>
      </c>
      <c r="G35" s="21">
        <v>0</v>
      </c>
      <c r="H35" s="21">
        <v>0</v>
      </c>
      <c r="I35" s="21">
        <v>5</v>
      </c>
      <c r="J35" s="21">
        <v>10</v>
      </c>
      <c r="K35" s="21">
        <v>10</v>
      </c>
      <c r="L35" s="21">
        <v>10</v>
      </c>
      <c r="M35" s="21">
        <v>10</v>
      </c>
      <c r="N35" s="21">
        <v>10</v>
      </c>
      <c r="O35" s="21">
        <v>10</v>
      </c>
      <c r="P35" s="21">
        <v>10</v>
      </c>
      <c r="Q35" s="21">
        <v>10</v>
      </c>
      <c r="R35" s="21">
        <v>10</v>
      </c>
    </row>
    <row r="51" ht="18.75" customHeight="1" x14ac:dyDescent="0.25"/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workbookViewId="0">
      <selection activeCell="D34" sqref="D34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9" width="13" customWidth="1"/>
    <col min="10" max="10" width="13" hidden="1" customWidth="1"/>
    <col min="11" max="11" width="16.85546875" hidden="1" customWidth="1"/>
    <col min="12" max="12" width="13" hidden="1" customWidth="1"/>
    <col min="13" max="14" width="13" customWidth="1"/>
    <col min="15" max="15" width="14.42578125" customWidth="1"/>
  </cols>
  <sheetData>
    <row r="1" spans="1:15" ht="21" customHeight="1" x14ac:dyDescent="0.35">
      <c r="A1" s="233" t="s">
        <v>56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</row>
    <row r="3" spans="1:15" ht="18.75" customHeight="1" x14ac:dyDescent="0.3">
      <c r="A3" s="1" t="s">
        <v>57</v>
      </c>
    </row>
    <row r="4" spans="1:15" ht="47.25" customHeight="1" x14ac:dyDescent="0.25">
      <c r="A4" s="2" t="s">
        <v>58</v>
      </c>
      <c r="B4" s="2" t="s">
        <v>47</v>
      </c>
      <c r="C4" s="2" t="s">
        <v>59</v>
      </c>
      <c r="D4" s="2" t="s">
        <v>60</v>
      </c>
      <c r="E4" s="2" t="s">
        <v>48</v>
      </c>
    </row>
    <row r="5" spans="1:15" x14ac:dyDescent="0.25">
      <c r="A5" s="47">
        <v>1</v>
      </c>
      <c r="B5" s="37" t="s">
        <v>26</v>
      </c>
      <c r="C5" s="37">
        <v>0</v>
      </c>
      <c r="D5" s="38">
        <v>0.2</v>
      </c>
      <c r="E5" s="48">
        <v>0.5</v>
      </c>
    </row>
    <row r="6" spans="1:15" x14ac:dyDescent="0.25">
      <c r="A6" s="36">
        <v>2</v>
      </c>
      <c r="B6" s="29" t="s">
        <v>30</v>
      </c>
      <c r="C6" s="29">
        <v>15</v>
      </c>
      <c r="D6" s="30">
        <v>0.2</v>
      </c>
      <c r="E6" s="35">
        <v>3.3</v>
      </c>
    </row>
    <row r="7" spans="1:15" x14ac:dyDescent="0.25">
      <c r="A7" s="53">
        <v>3</v>
      </c>
      <c r="B7" s="40" t="s">
        <v>31</v>
      </c>
      <c r="C7" s="40">
        <v>75</v>
      </c>
      <c r="D7" s="41">
        <v>0.2</v>
      </c>
      <c r="E7" s="54">
        <v>8.1999999999999993</v>
      </c>
    </row>
    <row r="8" spans="1:15" x14ac:dyDescent="0.25">
      <c r="A8" s="49">
        <v>4</v>
      </c>
      <c r="B8" s="50" t="s">
        <v>33</v>
      </c>
      <c r="C8" s="50">
        <v>150</v>
      </c>
      <c r="D8" s="51">
        <v>0.2</v>
      </c>
      <c r="E8" s="52">
        <v>33</v>
      </c>
    </row>
    <row r="9" spans="1:15" hidden="1" x14ac:dyDescent="0.25">
      <c r="A9" s="34">
        <v>5</v>
      </c>
      <c r="B9" s="4" t="s">
        <v>34</v>
      </c>
      <c r="C9" s="4">
        <v>0</v>
      </c>
      <c r="D9" s="5">
        <v>0</v>
      </c>
      <c r="E9" s="13">
        <v>0</v>
      </c>
    </row>
    <row r="12" spans="1:15" ht="18.75" customHeight="1" x14ac:dyDescent="0.3">
      <c r="A12" s="1" t="s">
        <v>61</v>
      </c>
    </row>
    <row r="13" spans="1:15" ht="18.75" customHeight="1" x14ac:dyDescent="0.3">
      <c r="A13" s="74" t="s">
        <v>62</v>
      </c>
      <c r="F13" s="74" t="s">
        <v>63</v>
      </c>
    </row>
    <row r="14" spans="1:15" ht="18.75" customHeight="1" x14ac:dyDescent="0.25">
      <c r="A14" s="79" t="s">
        <v>11</v>
      </c>
      <c r="B14" s="79" t="s">
        <v>64</v>
      </c>
      <c r="C14" s="79" t="s">
        <v>65</v>
      </c>
      <c r="D14" s="79" t="s">
        <v>66</v>
      </c>
      <c r="F14" s="79" t="s">
        <v>11</v>
      </c>
      <c r="G14" s="79" t="s">
        <v>64</v>
      </c>
      <c r="H14" s="79" t="s">
        <v>67</v>
      </c>
      <c r="J14" s="55" t="s">
        <v>11</v>
      </c>
      <c r="K14" s="79" t="s">
        <v>68</v>
      </c>
      <c r="L14" s="79" t="s">
        <v>69</v>
      </c>
    </row>
    <row r="15" spans="1:15" x14ac:dyDescent="0.25">
      <c r="A15" s="82" t="s">
        <v>26</v>
      </c>
      <c r="B15" s="80">
        <v>0</v>
      </c>
      <c r="C15" s="84">
        <v>0.15</v>
      </c>
      <c r="D15" s="80">
        <v>0</v>
      </c>
      <c r="F15" s="82" t="s">
        <v>26</v>
      </c>
      <c r="G15" s="80">
        <v>0</v>
      </c>
      <c r="H15" s="81">
        <v>0</v>
      </c>
      <c r="J15" s="59" t="s">
        <v>26</v>
      </c>
      <c r="K15" s="80">
        <v>0</v>
      </c>
      <c r="L15" s="81">
        <v>0</v>
      </c>
    </row>
    <row r="16" spans="1:15" x14ac:dyDescent="0.25">
      <c r="A16" s="82" t="s">
        <v>30</v>
      </c>
      <c r="B16" s="80">
        <v>1</v>
      </c>
      <c r="C16" s="84">
        <v>0.15</v>
      </c>
      <c r="D16" s="80">
        <v>4</v>
      </c>
      <c r="F16" s="82" t="s">
        <v>30</v>
      </c>
      <c r="G16" s="80">
        <v>1</v>
      </c>
      <c r="H16" s="81">
        <v>50</v>
      </c>
      <c r="J16" s="59" t="s">
        <v>30</v>
      </c>
      <c r="K16" s="80">
        <v>0</v>
      </c>
      <c r="L16" s="81">
        <v>0</v>
      </c>
    </row>
    <row r="17" spans="1:12" x14ac:dyDescent="0.25">
      <c r="A17" s="82" t="s">
        <v>31</v>
      </c>
      <c r="B17" s="80">
        <v>1</v>
      </c>
      <c r="C17" s="84">
        <v>0.2</v>
      </c>
      <c r="D17" s="80">
        <v>7</v>
      </c>
      <c r="F17" s="82" t="s">
        <v>31</v>
      </c>
      <c r="G17" s="80">
        <v>1</v>
      </c>
      <c r="H17" s="81">
        <v>100</v>
      </c>
      <c r="J17" s="59" t="s">
        <v>31</v>
      </c>
      <c r="K17" s="80">
        <v>0</v>
      </c>
      <c r="L17" s="81">
        <v>0</v>
      </c>
    </row>
    <row r="18" spans="1:12" ht="15.75" customHeight="1" x14ac:dyDescent="0.25">
      <c r="A18" s="82" t="s">
        <v>33</v>
      </c>
      <c r="B18" s="80">
        <v>2</v>
      </c>
      <c r="C18" s="84">
        <v>0.25</v>
      </c>
      <c r="D18" s="80">
        <v>7</v>
      </c>
      <c r="F18" s="82" t="s">
        <v>33</v>
      </c>
      <c r="G18" s="80">
        <v>1</v>
      </c>
      <c r="H18" s="81">
        <v>300</v>
      </c>
      <c r="J18" s="59" t="s">
        <v>33</v>
      </c>
      <c r="K18" s="80">
        <v>0</v>
      </c>
      <c r="L18" s="81">
        <v>0</v>
      </c>
    </row>
    <row r="19" spans="1:12" hidden="1" x14ac:dyDescent="0.25">
      <c r="A19" s="83" t="s">
        <v>34</v>
      </c>
      <c r="B19" s="56">
        <v>0</v>
      </c>
      <c r="C19" s="57">
        <v>0</v>
      </c>
      <c r="D19" s="56">
        <v>0</v>
      </c>
      <c r="F19" s="83" t="s">
        <v>34</v>
      </c>
      <c r="G19" s="56">
        <v>0</v>
      </c>
      <c r="H19" s="58">
        <v>0</v>
      </c>
      <c r="J19" s="3" t="s">
        <v>34</v>
      </c>
      <c r="K19" s="56">
        <v>0</v>
      </c>
      <c r="L19" s="58">
        <v>0</v>
      </c>
    </row>
    <row r="21" spans="1:12" ht="18.75" customHeight="1" x14ac:dyDescent="0.3">
      <c r="A21" s="74" t="s">
        <v>70</v>
      </c>
      <c r="F21" s="74" t="s">
        <v>71</v>
      </c>
    </row>
    <row r="22" spans="1:12" ht="18.75" customHeight="1" x14ac:dyDescent="0.25">
      <c r="A22" s="79" t="s">
        <v>11</v>
      </c>
      <c r="B22" s="79" t="s">
        <v>64</v>
      </c>
      <c r="C22" s="79" t="s">
        <v>65</v>
      </c>
      <c r="D22" s="79" t="s">
        <v>66</v>
      </c>
      <c r="F22" s="55" t="s">
        <v>11</v>
      </c>
      <c r="G22" s="79" t="s">
        <v>64</v>
      </c>
      <c r="H22" s="79" t="s">
        <v>67</v>
      </c>
    </row>
    <row r="23" spans="1:12" x14ac:dyDescent="0.25">
      <c r="A23" s="82" t="s">
        <v>26</v>
      </c>
      <c r="B23" s="80">
        <v>1</v>
      </c>
      <c r="C23" s="84">
        <v>0.15</v>
      </c>
      <c r="D23" s="80">
        <v>7</v>
      </c>
      <c r="F23" s="59" t="s">
        <v>26</v>
      </c>
      <c r="G23" s="80">
        <v>0</v>
      </c>
      <c r="H23" s="81">
        <v>0</v>
      </c>
    </row>
    <row r="24" spans="1:12" x14ac:dyDescent="0.25">
      <c r="A24" s="82" t="s">
        <v>30</v>
      </c>
      <c r="B24" s="80">
        <v>1</v>
      </c>
      <c r="C24" s="84">
        <v>0.15</v>
      </c>
      <c r="D24" s="80">
        <v>7</v>
      </c>
      <c r="F24" s="59" t="s">
        <v>30</v>
      </c>
      <c r="G24" s="80">
        <v>0</v>
      </c>
      <c r="H24" s="81">
        <v>0</v>
      </c>
    </row>
    <row r="25" spans="1:12" x14ac:dyDescent="0.25">
      <c r="A25" s="82" t="s">
        <v>31</v>
      </c>
      <c r="B25" s="80">
        <v>1</v>
      </c>
      <c r="C25" s="84">
        <v>0.2</v>
      </c>
      <c r="D25" s="80">
        <v>7</v>
      </c>
      <c r="F25" s="59" t="s">
        <v>31</v>
      </c>
      <c r="G25" s="80">
        <v>0</v>
      </c>
      <c r="H25" s="81">
        <v>0</v>
      </c>
    </row>
    <row r="26" spans="1:12" x14ac:dyDescent="0.25">
      <c r="A26" s="82" t="s">
        <v>33</v>
      </c>
      <c r="B26" s="80">
        <v>1</v>
      </c>
      <c r="C26" s="84">
        <v>0.2</v>
      </c>
      <c r="D26" s="80">
        <v>7</v>
      </c>
      <c r="F26" s="59" t="s">
        <v>33</v>
      </c>
      <c r="G26" s="80">
        <v>0</v>
      </c>
      <c r="H26" s="81">
        <v>0</v>
      </c>
    </row>
    <row r="27" spans="1:12" hidden="1" x14ac:dyDescent="0.25">
      <c r="A27" s="3" t="s">
        <v>34</v>
      </c>
      <c r="B27" s="56">
        <v>0</v>
      </c>
      <c r="C27" s="57">
        <v>0</v>
      </c>
      <c r="D27" s="56">
        <v>0</v>
      </c>
      <c r="F27" s="3" t="s">
        <v>34</v>
      </c>
      <c r="G27" s="56">
        <v>0</v>
      </c>
      <c r="H27" s="58">
        <v>0</v>
      </c>
    </row>
    <row r="29" spans="1:12" ht="18.75" customHeight="1" x14ac:dyDescent="0.3">
      <c r="A29" s="74" t="s">
        <v>72</v>
      </c>
    </row>
    <row r="30" spans="1:12" ht="31.5" customHeight="1" x14ac:dyDescent="0.25">
      <c r="A30" s="55" t="s">
        <v>11</v>
      </c>
      <c r="B30" s="79" t="s">
        <v>73</v>
      </c>
      <c r="C30" s="79" t="s">
        <v>74</v>
      </c>
    </row>
    <row r="31" spans="1:12" x14ac:dyDescent="0.25">
      <c r="A31" s="59" t="s">
        <v>26</v>
      </c>
      <c r="B31" s="80">
        <v>0</v>
      </c>
      <c r="C31" s="81">
        <v>0</v>
      </c>
    </row>
    <row r="32" spans="1:12" x14ac:dyDescent="0.25">
      <c r="A32" s="59" t="s">
        <v>30</v>
      </c>
      <c r="B32" s="80">
        <v>0</v>
      </c>
      <c r="C32" s="81">
        <v>0</v>
      </c>
    </row>
    <row r="33" spans="1:3" x14ac:dyDescent="0.25">
      <c r="A33" s="59" t="s">
        <v>31</v>
      </c>
      <c r="B33" s="80">
        <v>0</v>
      </c>
      <c r="C33" s="81">
        <v>0</v>
      </c>
    </row>
    <row r="34" spans="1:3" x14ac:dyDescent="0.25">
      <c r="A34" s="59" t="s">
        <v>33</v>
      </c>
      <c r="B34" s="80">
        <v>0</v>
      </c>
      <c r="C34" s="81">
        <v>0</v>
      </c>
    </row>
    <row r="35" spans="1:3" hidden="1" x14ac:dyDescent="0.25">
      <c r="A35" s="3" t="s">
        <v>34</v>
      </c>
      <c r="B35" s="56">
        <v>0</v>
      </c>
      <c r="C35" s="58">
        <v>0</v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zoomScale="130" zoomScaleNormal="130" workbookViewId="0">
      <selection activeCell="E28" sqref="E28"/>
    </sheetView>
  </sheetViews>
  <sheetFormatPr defaultRowHeight="15" x14ac:dyDescent="0.25"/>
  <cols>
    <col min="1" max="10" width="18" customWidth="1"/>
  </cols>
  <sheetData>
    <row r="1" spans="1:12" ht="21" customHeight="1" x14ac:dyDescent="0.35">
      <c r="A1" s="233" t="s">
        <v>75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</row>
    <row r="3" spans="1:12" ht="18.75" customHeight="1" x14ac:dyDescent="0.3">
      <c r="A3" s="1" t="s">
        <v>76</v>
      </c>
    </row>
    <row r="4" spans="1:12" ht="31.5" customHeight="1" x14ac:dyDescent="0.25">
      <c r="A4" s="2" t="s">
        <v>77</v>
      </c>
      <c r="B4" s="2" t="s">
        <v>78</v>
      </c>
      <c r="C4" s="2" t="s">
        <v>79</v>
      </c>
      <c r="D4" s="2" t="s">
        <v>80</v>
      </c>
      <c r="E4" s="2" t="s">
        <v>81</v>
      </c>
      <c r="F4" s="2" t="s">
        <v>82</v>
      </c>
      <c r="G4" s="2" t="s">
        <v>83</v>
      </c>
      <c r="H4" s="2" t="s">
        <v>84</v>
      </c>
      <c r="I4" s="2" t="s">
        <v>85</v>
      </c>
      <c r="J4" s="2" t="s">
        <v>86</v>
      </c>
    </row>
    <row r="5" spans="1:12" x14ac:dyDescent="0.25">
      <c r="A5" s="37" t="s">
        <v>26</v>
      </c>
      <c r="B5" s="37" t="s">
        <v>87</v>
      </c>
      <c r="C5" s="37">
        <v>10</v>
      </c>
      <c r="D5" s="37" t="s">
        <v>88</v>
      </c>
      <c r="E5" s="38">
        <v>0.34</v>
      </c>
      <c r="F5" s="37" t="s">
        <v>89</v>
      </c>
      <c r="G5" s="39">
        <v>20</v>
      </c>
      <c r="H5" s="37">
        <v>0</v>
      </c>
      <c r="I5" s="37" t="s">
        <v>90</v>
      </c>
      <c r="J5" s="43">
        <f>IF(D5="Weekly",(Inputs!$B$13/30)*4,IF(D5="Monthly",Inputs!$B$13/30,1))*IF(F5="Gift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x14ac:dyDescent="0.25">
      <c r="A6" s="37" t="s">
        <v>26</v>
      </c>
      <c r="B6" s="37"/>
      <c r="C6" s="37"/>
      <c r="D6" s="37"/>
      <c r="E6" s="38"/>
      <c r="F6" s="37"/>
      <c r="G6" s="39"/>
      <c r="H6" s="37"/>
      <c r="I6" s="37"/>
      <c r="J6" s="43">
        <f>IF(D6="Weekly",(Inputs!$B$13/30)*4,IF(D6="Monthly",Inputs!$B$13/30,1))*IF(F6="Gift Card",G6,IF(F6="Spark Ads",G6,IF(F6="Commission Boost",G6*(INDEX('VIP Levels'!$E$5:$E$9,MATCH(A6,'VIP Levels'!$B$5:$B$9,0))*Inputs!$B$14/30*H6)*Revenue!$B$7,IF(F6="Discount",G6*(INDEX('VIP Levels'!$E$5:$E$9,MATCH(A6,'VIP Levels'!$B$5:$B$9,0))*Inputs!$B$14/30*H6)*Inputs!$B$12,0))))</f>
        <v>0</v>
      </c>
    </row>
    <row r="7" spans="1:12" x14ac:dyDescent="0.25">
      <c r="A7" s="37" t="s">
        <v>26</v>
      </c>
      <c r="B7" s="37" t="s">
        <v>92</v>
      </c>
      <c r="C7" s="37">
        <v>1500</v>
      </c>
      <c r="D7" s="37" t="s">
        <v>88</v>
      </c>
      <c r="E7" s="38">
        <v>0.9</v>
      </c>
      <c r="F7" s="37" t="s">
        <v>93</v>
      </c>
      <c r="G7" s="38">
        <v>0.15</v>
      </c>
      <c r="H7" s="37">
        <v>7</v>
      </c>
      <c r="I7" s="37" t="s">
        <v>90</v>
      </c>
      <c r="J7" s="43">
        <f>IF(D7="Weekly",(Inputs!$B$13/30)*4,IF(D7="Monthly",Inputs!$B$13/30,1))*IF(F7="Gift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0.90999999999999992</v>
      </c>
    </row>
    <row r="8" spans="1:12" x14ac:dyDescent="0.25">
      <c r="A8" s="29" t="s">
        <v>30</v>
      </c>
      <c r="B8" s="29" t="s">
        <v>87</v>
      </c>
      <c r="C8" s="29">
        <v>15</v>
      </c>
      <c r="D8" s="29" t="s">
        <v>94</v>
      </c>
      <c r="E8" s="30">
        <v>0.15</v>
      </c>
      <c r="F8" s="29" t="s">
        <v>89</v>
      </c>
      <c r="G8" s="31">
        <v>50</v>
      </c>
      <c r="H8" s="29">
        <v>0</v>
      </c>
      <c r="I8" s="29" t="s">
        <v>90</v>
      </c>
      <c r="J8" s="44">
        <f>IF(D8="Weekly",(Inputs!$B$13/30)*4,IF(D8="Monthly",Inputs!$B$13/30,1))*IF(F8="Gift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200</v>
      </c>
    </row>
    <row r="9" spans="1:12" x14ac:dyDescent="0.25">
      <c r="A9" s="29" t="s">
        <v>30</v>
      </c>
      <c r="B9" s="29" t="s">
        <v>91</v>
      </c>
      <c r="C9" s="29">
        <v>15</v>
      </c>
      <c r="D9" s="29" t="s">
        <v>94</v>
      </c>
      <c r="E9" s="30">
        <v>0.6</v>
      </c>
      <c r="F9" s="29" t="s">
        <v>95</v>
      </c>
      <c r="G9" s="30">
        <v>0.1</v>
      </c>
      <c r="H9" s="29">
        <v>7</v>
      </c>
      <c r="I9" s="29" t="s">
        <v>90</v>
      </c>
      <c r="J9" s="44">
        <f>IF(D9="Weekly",(Inputs!$B$13/30)*4,IF(D9="Monthly",Inputs!$B$13/30,1))*IF(F9="Gift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16.015999999999998</v>
      </c>
    </row>
    <row r="10" spans="1:12" x14ac:dyDescent="0.25">
      <c r="A10" s="29" t="s">
        <v>30</v>
      </c>
      <c r="B10" s="29" t="s">
        <v>92</v>
      </c>
      <c r="C10" s="29">
        <v>10000</v>
      </c>
      <c r="D10" s="29" t="s">
        <v>94</v>
      </c>
      <c r="E10" s="30">
        <v>0.8</v>
      </c>
      <c r="F10" s="29" t="s">
        <v>93</v>
      </c>
      <c r="G10" s="30">
        <v>0.15</v>
      </c>
      <c r="H10" s="29">
        <v>2</v>
      </c>
      <c r="I10" s="29" t="s">
        <v>90</v>
      </c>
      <c r="J10" s="44">
        <f>IF(D10="Weekly",(Inputs!$B$13/30)*4,IF(D10="Monthly",Inputs!$B$13/30,1))*IF(F10="Gift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6.863999999999999</v>
      </c>
    </row>
    <row r="11" spans="1:12" x14ac:dyDescent="0.25">
      <c r="A11" s="40" t="s">
        <v>31</v>
      </c>
      <c r="B11" s="40" t="s">
        <v>87</v>
      </c>
      <c r="C11" s="40">
        <v>50</v>
      </c>
      <c r="D11" s="40" t="s">
        <v>94</v>
      </c>
      <c r="E11" s="41">
        <v>0.11</v>
      </c>
      <c r="F11" s="40" t="s">
        <v>89</v>
      </c>
      <c r="G11" s="42">
        <v>150</v>
      </c>
      <c r="H11" s="40">
        <v>0</v>
      </c>
      <c r="I11" s="40" t="s">
        <v>90</v>
      </c>
      <c r="J11" s="46">
        <f>IF(D11="Weekly",(Inputs!$B$13/30)*4,IF(D11="Monthly",Inputs!$B$13/30,1))*IF(F11="Gift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600</v>
      </c>
    </row>
    <row r="12" spans="1:12" x14ac:dyDescent="0.25">
      <c r="A12" s="40" t="s">
        <v>31</v>
      </c>
      <c r="B12" s="40" t="s">
        <v>91</v>
      </c>
      <c r="C12" s="40">
        <v>20</v>
      </c>
      <c r="D12" s="40" t="s">
        <v>94</v>
      </c>
      <c r="E12" s="41">
        <v>0.7</v>
      </c>
      <c r="F12" s="40" t="s">
        <v>95</v>
      </c>
      <c r="G12" s="41">
        <v>0.1</v>
      </c>
      <c r="H12" s="40">
        <v>7</v>
      </c>
      <c r="I12" s="40" t="s">
        <v>90</v>
      </c>
      <c r="J12" s="46">
        <f>IF(D12="Weekly",(Inputs!$B$13/30)*4,IF(D12="Monthly",Inputs!$B$13/30,1))*IF(F12="Gift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39.797333333333341</v>
      </c>
    </row>
    <row r="13" spans="1:12" x14ac:dyDescent="0.25">
      <c r="A13" s="40" t="s">
        <v>31</v>
      </c>
      <c r="B13" s="40" t="s">
        <v>92</v>
      </c>
      <c r="C13" s="40">
        <v>20000</v>
      </c>
      <c r="D13" s="40" t="s">
        <v>96</v>
      </c>
      <c r="E13" s="41">
        <v>0.7</v>
      </c>
      <c r="F13" s="40" t="s">
        <v>93</v>
      </c>
      <c r="G13" s="41">
        <v>0.1</v>
      </c>
      <c r="H13" s="40">
        <v>2</v>
      </c>
      <c r="I13" s="40" t="s">
        <v>90</v>
      </c>
      <c r="J13" s="46">
        <f>IF(D13="Weekly",(Inputs!$B$13/30)*4,IF(D13="Monthly",Inputs!$B$13/30,1))*IF(F13="Gift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45.482666666666667</v>
      </c>
    </row>
    <row r="14" spans="1:12" x14ac:dyDescent="0.25">
      <c r="A14" s="26" t="s">
        <v>33</v>
      </c>
      <c r="B14" s="26" t="s">
        <v>87</v>
      </c>
      <c r="C14" s="26">
        <v>100</v>
      </c>
      <c r="D14" s="26" t="s">
        <v>94</v>
      </c>
      <c r="E14" s="27">
        <v>0.23</v>
      </c>
      <c r="F14" s="26" t="s">
        <v>89</v>
      </c>
      <c r="G14" s="28">
        <v>400</v>
      </c>
      <c r="H14" s="26">
        <v>0</v>
      </c>
      <c r="I14" s="26" t="s">
        <v>90</v>
      </c>
      <c r="J14" s="45">
        <f>IF(D14="Weekly",(Inputs!$B$13/30)*4,IF(D14="Monthly",Inputs!$B$13/30,1))*IF(F14="Gift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1600</v>
      </c>
    </row>
    <row r="15" spans="1:12" ht="15.75" customHeight="1" x14ac:dyDescent="0.25">
      <c r="A15" s="26" t="s">
        <v>33</v>
      </c>
      <c r="B15" s="26" t="s">
        <v>91</v>
      </c>
      <c r="C15" s="26">
        <v>5</v>
      </c>
      <c r="D15" s="26" t="s">
        <v>96</v>
      </c>
      <c r="E15" s="27">
        <v>0.7</v>
      </c>
      <c r="F15" s="26" t="s">
        <v>95</v>
      </c>
      <c r="G15" s="27">
        <v>0.15</v>
      </c>
      <c r="H15" s="26">
        <v>7</v>
      </c>
      <c r="I15" s="26" t="s">
        <v>90</v>
      </c>
      <c r="J15" s="45">
        <f>IF(D15="Weekly",(Inputs!$B$13/30)*4,IF(D15="Monthly",Inputs!$B$13/30,1))*IF(F15="Gift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960.95999999999992</v>
      </c>
    </row>
    <row r="16" spans="1:12" x14ac:dyDescent="0.25">
      <c r="A16" s="26" t="s">
        <v>33</v>
      </c>
      <c r="B16" s="26" t="s">
        <v>92</v>
      </c>
      <c r="C16" s="26">
        <v>20000</v>
      </c>
      <c r="D16" s="26" t="s">
        <v>96</v>
      </c>
      <c r="E16" s="27">
        <v>0.5</v>
      </c>
      <c r="F16" s="26" t="s">
        <v>93</v>
      </c>
      <c r="G16" s="27">
        <v>0.15</v>
      </c>
      <c r="H16" s="26">
        <v>2</v>
      </c>
      <c r="I16" s="26" t="s">
        <v>90</v>
      </c>
      <c r="J16" s="45">
        <f>IF(D16="Weekly",(Inputs!$B$13/30)*4,IF(D16="Monthly",Inputs!$B$13/30,1))*IF(F16="Gift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274.56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topLeftCell="A3" workbookViewId="0">
      <selection activeCell="E38" sqref="E38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233" t="s">
        <v>97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</row>
    <row r="3" spans="1:17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7" x14ac:dyDescent="0.25">
      <c r="A4" s="9" t="s">
        <v>99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100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101</v>
      </c>
      <c r="B6" s="8">
        <f>Inputs!G$35</f>
        <v>0</v>
      </c>
      <c r="C6" s="8">
        <f>Inputs!H$35</f>
        <v>0</v>
      </c>
      <c r="D6" s="8">
        <f>Inputs!I$35</f>
        <v>5</v>
      </c>
      <c r="E6" s="8">
        <f>Inputs!J$35</f>
        <v>10</v>
      </c>
      <c r="F6" s="8">
        <f>Inputs!K$35</f>
        <v>10</v>
      </c>
      <c r="G6" s="8">
        <f>Inputs!L$35</f>
        <v>10</v>
      </c>
      <c r="H6" s="8">
        <f>Inputs!M$35</f>
        <v>10</v>
      </c>
      <c r="I6" s="8">
        <f>Inputs!N$35</f>
        <v>10</v>
      </c>
      <c r="J6" s="8">
        <f>Inputs!O$35</f>
        <v>10</v>
      </c>
      <c r="K6" s="8">
        <f>Inputs!P$35</f>
        <v>10</v>
      </c>
      <c r="L6" s="8">
        <f>Inputs!Q$35</f>
        <v>10</v>
      </c>
      <c r="M6" s="8">
        <f>Inputs!R$35</f>
        <v>10</v>
      </c>
    </row>
    <row r="7" spans="1:17" x14ac:dyDescent="0.25">
      <c r="A7" s="9" t="s">
        <v>102</v>
      </c>
      <c r="B7" s="8">
        <f t="shared" ref="B7:M7" si="1">B5+B6</f>
        <v>105</v>
      </c>
      <c r="C7" s="8">
        <f t="shared" si="1"/>
        <v>70</v>
      </c>
      <c r="D7" s="8">
        <f t="shared" si="1"/>
        <v>75</v>
      </c>
      <c r="E7" s="8">
        <f t="shared" si="1"/>
        <v>80</v>
      </c>
      <c r="F7" s="8">
        <f t="shared" si="1"/>
        <v>80</v>
      </c>
      <c r="G7" s="8">
        <f t="shared" si="1"/>
        <v>80</v>
      </c>
      <c r="H7" s="8">
        <f t="shared" si="1"/>
        <v>80</v>
      </c>
      <c r="I7" s="8">
        <f t="shared" si="1"/>
        <v>80</v>
      </c>
      <c r="J7" s="8">
        <f t="shared" si="1"/>
        <v>80</v>
      </c>
      <c r="K7" s="8">
        <f t="shared" si="1"/>
        <v>80</v>
      </c>
      <c r="L7" s="8">
        <f t="shared" si="1"/>
        <v>80</v>
      </c>
      <c r="M7" s="8">
        <f t="shared" si="1"/>
        <v>80</v>
      </c>
      <c r="Q7" t="s">
        <v>103</v>
      </c>
    </row>
    <row r="8" spans="1:17" x14ac:dyDescent="0.25">
      <c r="A8" s="9" t="s">
        <v>104</v>
      </c>
      <c r="B8" s="8">
        <f>B7</f>
        <v>105</v>
      </c>
      <c r="C8" s="8">
        <f t="shared" ref="C8:M8" si="2">B8+C7</f>
        <v>175</v>
      </c>
      <c r="D8" s="8">
        <f t="shared" si="2"/>
        <v>250</v>
      </c>
      <c r="E8" s="8">
        <f t="shared" si="2"/>
        <v>330</v>
      </c>
      <c r="F8" s="8">
        <f t="shared" si="2"/>
        <v>410</v>
      </c>
      <c r="G8" s="8">
        <f t="shared" si="2"/>
        <v>490</v>
      </c>
      <c r="H8" s="8">
        <f t="shared" si="2"/>
        <v>570</v>
      </c>
      <c r="I8" s="8">
        <f t="shared" si="2"/>
        <v>650</v>
      </c>
      <c r="J8" s="8">
        <f t="shared" si="2"/>
        <v>730</v>
      </c>
      <c r="K8" s="8">
        <f t="shared" si="2"/>
        <v>810</v>
      </c>
      <c r="L8" s="8">
        <f t="shared" si="2"/>
        <v>890</v>
      </c>
      <c r="M8" s="8">
        <f t="shared" si="2"/>
        <v>970</v>
      </c>
    </row>
    <row r="9" spans="1:17" x14ac:dyDescent="0.25">
      <c r="A9" s="9" t="s">
        <v>105</v>
      </c>
      <c r="B9" s="8">
        <f t="shared" ref="B9:M9" si="3">B10+B11</f>
        <v>69</v>
      </c>
      <c r="C9" s="8">
        <f t="shared" si="3"/>
        <v>203</v>
      </c>
      <c r="D9" s="8">
        <f t="shared" si="3"/>
        <v>351</v>
      </c>
      <c r="E9" s="8">
        <f t="shared" si="3"/>
        <v>530</v>
      </c>
      <c r="F9" s="8">
        <f t="shared" si="3"/>
        <v>872</v>
      </c>
      <c r="G9" s="8">
        <f t="shared" si="3"/>
        <v>1273</v>
      </c>
      <c r="H9" s="8">
        <f t="shared" si="3"/>
        <v>1558</v>
      </c>
      <c r="I9" s="8">
        <f t="shared" si="3"/>
        <v>2100</v>
      </c>
      <c r="J9" s="8">
        <f t="shared" si="3"/>
        <v>2516</v>
      </c>
      <c r="K9" s="8">
        <f t="shared" si="3"/>
        <v>2951</v>
      </c>
      <c r="L9" s="8">
        <f t="shared" si="3"/>
        <v>3283</v>
      </c>
      <c r="M9" s="8">
        <f t="shared" si="3"/>
        <v>3723</v>
      </c>
    </row>
    <row r="10" spans="1:17" x14ac:dyDescent="0.25">
      <c r="A10" s="9" t="s">
        <v>106</v>
      </c>
      <c r="B10" s="8">
        <f>ROUND(B13*'VIP Levels'!$E$5+B14*'VIP Levels'!$E$6+B15*'VIP Levels'!$E$7+B16*'VIP Levels'!$E$8+B17*'VIP Levels'!$E$9,0)</f>
        <v>60</v>
      </c>
      <c r="C10" s="8">
        <f>ROUND(C13*'VIP Levels'!$E$5+C14*'VIP Levels'!$E$6+C15*'VIP Levels'!$E$7+C16*'VIP Levels'!$E$8+C17*'VIP Levels'!$E$9,0)</f>
        <v>179</v>
      </c>
      <c r="D10" s="8">
        <f>ROUND(D13*'VIP Levels'!$E$5+D14*'VIP Levels'!$E$6+D15*'VIP Levels'!$E$7+D16*'VIP Levels'!$E$8+D17*'VIP Levels'!$E$9,0)</f>
        <v>317</v>
      </c>
      <c r="E10" s="8">
        <f>ROUND(E13*'VIP Levels'!$E$5+E14*'VIP Levels'!$E$6+E15*'VIP Levels'!$E$7+E16*'VIP Levels'!$E$8+E17*'VIP Levels'!$E$9,0)</f>
        <v>486</v>
      </c>
      <c r="F10" s="8">
        <f>ROUND(F13*'VIP Levels'!$E$5+F14*'VIP Levels'!$E$6+F15*'VIP Levels'!$E$7+F16*'VIP Levels'!$E$8+F17*'VIP Levels'!$E$9,0)</f>
        <v>790</v>
      </c>
      <c r="G10" s="8">
        <f>ROUND(G13*'VIP Levels'!$E$5+G14*'VIP Levels'!$E$6+G15*'VIP Levels'!$E$7+G16*'VIP Levels'!$E$8+G17*'VIP Levels'!$E$9,0)</f>
        <v>1151</v>
      </c>
      <c r="H10" s="8">
        <f>ROUND(H13*'VIP Levels'!$E$5+H14*'VIP Levels'!$E$6+H15*'VIP Levels'!$E$7+H16*'VIP Levels'!$E$8+H17*'VIP Levels'!$E$9,0)</f>
        <v>1431</v>
      </c>
      <c r="I10" s="8">
        <f>ROUND(I13*'VIP Levels'!$E$5+I14*'VIP Levels'!$E$6+I15*'VIP Levels'!$E$7+I16*'VIP Levels'!$E$8+I17*'VIP Levels'!$E$9,0)</f>
        <v>1917</v>
      </c>
      <c r="J10" s="8">
        <f>ROUND(J13*'VIP Levels'!$E$5+J14*'VIP Levels'!$E$6+J15*'VIP Levels'!$E$7+J16*'VIP Levels'!$E$8+J17*'VIP Levels'!$E$9,0)</f>
        <v>2320</v>
      </c>
      <c r="K10" s="8">
        <f>ROUND(K13*'VIP Levels'!$E$5+K14*'VIP Levels'!$E$6+K15*'VIP Levels'!$E$7+K16*'VIP Levels'!$E$8+K17*'VIP Levels'!$E$9,0)</f>
        <v>2730</v>
      </c>
      <c r="L10" s="8">
        <f>ROUND(L13*'VIP Levels'!$E$5+L14*'VIP Levels'!$E$6+L15*'VIP Levels'!$E$7+L16*'VIP Levels'!$E$8+L17*'VIP Levels'!$E$9,0)</f>
        <v>3060</v>
      </c>
      <c r="M10" s="8">
        <f>ROUND(M13*'VIP Levels'!$E$5+M14*'VIP Levels'!$E$6+M15*'VIP Levels'!$E$7+M16*'VIP Levels'!$E$8+M17*'VIP Levels'!$E$9,0)</f>
        <v>3464</v>
      </c>
    </row>
    <row r="11" spans="1:17" x14ac:dyDescent="0.25">
      <c r="A11" s="9" t="s">
        <v>107</v>
      </c>
      <c r="B11" s="8">
        <f>ROUND(B19*'VIP Levels'!$B$15*'VIP Levels'!$E$5*(Inputs!$B$14-1)*('VIP Levels'!$D$15/30)+B20*'VIP Levels'!$B$16*'VIP Levels'!$E$6*(Inputs!$B$14-1)*('VIP Levels'!$D$16/30)+B21*'VIP Levels'!$B$17*'VIP Levels'!$E$7*(Inputs!$B$14-1)*('VIP Levels'!$D$17/30)+B22*'VIP Levels'!$B$18*'VIP Levels'!$E$8*(Inputs!$B$14-1)*('VIP Levels'!$D$18/30)+B23*'VIP Levels'!$B$19*'VIP Levels'!$E$9*(Inputs!$B$14-1)*('VIP Levels'!$D$19/30)+B19*'VIP Levels'!$B$23*'VIP Levels'!$E$5*(Inputs!$B$14-1)*('VIP Levels'!$D$23/30)+B20*'VIP Levels'!$B$24*'VIP Levels'!$E$6*(Inputs!$B$14-1)*('VIP Levels'!$D$24/30)+B21*'VIP Levels'!$B$25*'VIP Levels'!$E$7*(Inputs!$B$14-1)*('VIP Levels'!$D$25/30)+B22*'VIP Levels'!$B$26*'VIP Levels'!$E$8*(Inputs!$B$14-1)*('VIP Levels'!$D$26/30)+B23*'VIP Levels'!$B$27*'VIP Levels'!$E$9*(Inputs!$B$14-1)*('VIP Levels'!$D$27/30)+SUMPRODUCT((Missions!$F$6:$F$26="Commission Boost")*(Missions!$A$6:$A$26="Bronze")*(Missions!$D$6:$D$26="One-time")*B19*Missions!$E$6:$E$26*'VIP Levels'!$E$5*(Inputs!$B$14-1)*(Missions!$H$6:$H$26/30))+SUMPRODUCT((Missions!$F$6:$F$26="Commission Boost")*(Missions!$A$6:$A$26="Bronze")*(Missions!$D$6:$D$26&lt;&gt;"One-time")*B13*Missions!$E$6:$E$26*'VIP Levels'!$E$5*(Inputs!$B$14-1)*(Missions!$H$6:$H$26/30))+SUMPRODUCT((Missions!$F$6:$F$26="Commission Boost")*(Missions!$A$6:$A$26="Silver")*(Missions!$D$6:$D$26="One-time")*B20*Missions!$E$6:$E$26*'VIP Levels'!$E$6*(Inputs!$B$14-1)*(Missions!$H$6:$H$26/30))+SUMPRODUCT((Missions!$F$6:$F$26="Commission Boost")*(Missions!$A$6:$A$26="Silver")*(Missions!$D$6:$D$26&lt;&gt;"One-time")*B14*Missions!$E$6:$E$26*'VIP Levels'!$E$6*(Inputs!$B$14-1)*(Missions!$H$6:$H$26/30))+SUMPRODUCT((Missions!$F$6:$F$26="Commission Boost")*(Missions!$A$6:$A$26="Gold")*(Missions!$D$6:$D$26="One-time")*B21*Missions!$E$6:$E$26*'VIP Levels'!$E$7*(Inputs!$B$14-1)*(Missions!$H$6:$H$26/30))+SUMPRODUCT((Missions!$F$6:$F$26="Commission Boost")*(Missions!$A$6:$A$26="Gold")*(Missions!$D$6:$D$26&lt;&gt;"One-time")*B15*Missions!$E$6:$E$26*'VIP Levels'!$E$7*(Inputs!$B$14-1)*(Missions!$H$6:$H$26/30))+SUMPRODUCT((Missions!$F$6:$F$26="Commission Boost")*(Missions!$A$6:$A$26="Platinum")*(Missions!$D$6:$D$26="One-time")*B22*Missions!$E$6:$E$26*'VIP Levels'!$E$8*(Inputs!$B$14-1)*(Missions!$H$6:$H$26/30))+SUMPRODUCT((Missions!$F$6:$F$26="Commission Boost")*(Missions!$A$6:$A$26="Platinum")*(Missions!$D$6:$D$26&lt;&gt;"One-time")*B16*Missions!$E$6:$E$26*'VIP Levels'!$E$8*(Inputs!$B$14-1)*(Missions!$H$6:$H$26/30))+SUMPRODUCT((Missions!$F$6:$F$26="Commission Boost")*(Missions!$A$6:$A$26="Diamond")*(Missions!$D$6:$D$26="One-time")*B23*Missions!$E$6:$E$26*'VIP Levels'!$E$9*(Inputs!$B$14-1)*(Missions!$H$6:$H$26/30))+SUMPRODUCT((Missions!$F$6:$F$26="Commission Boost")*(Missions!$A$6:$A$26="Diamond")*(Missions!$D$6:$D$26&lt;&gt;"One-time")*B17*Missions!$E$6:$E$26*'VIP Levels'!$E$9*(Inputs!$B$14-1)*(Missions!$H$6:$H$26/30))+SUMPRODUCT((Missions!$F$6:$F$26="Discount")*(Missions!$A$6:$A$26="Bronze")*(Missions!$D$6:$D$26="One-time")*B19*Missions!$E$6:$E$26*'VIP Levels'!$E$5*(Inputs!$B$14-1)*(Missions!$H$6:$H$26/30))+SUMPRODUCT((Missions!$F$6:$F$26="Discount")*(Missions!$A$6:$A$26="Bronze")*(Missions!$D$6:$D$26&lt;&gt;"One-time")*B13*Missions!$E$6:$E$26*'VIP Levels'!$E$5*(Inputs!$B$14-1)*(Missions!$H$6:$H$26/30))+SUMPRODUCT((Missions!$F$6:$F$26="Discount")*(Missions!$A$6:$A$26="Silver")*(Missions!$D$6:$D$26="One-time")*B20*Missions!$E$6:$E$26*'VIP Levels'!$E$6*(Inputs!$B$14-1)*(Missions!$H$6:$H$26/30))+SUMPRODUCT((Missions!$F$6:$F$26="Discount")*(Missions!$A$6:$A$26="Silver")*(Missions!$D$6:$D$26&lt;&gt;"One-time")*B14*Missions!$E$6:$E$26*'VIP Levels'!$E$6*(Inputs!$B$14-1)*(Missions!$H$6:$H$26/30))+SUMPRODUCT((Missions!$F$6:$F$26="Discount")*(Missions!$A$6:$A$26="Gold")*(Missions!$D$6:$D$26="One-time")*B21*Missions!$E$6:$E$26*'VIP Levels'!$E$7*(Inputs!$B$14-1)*(Missions!$H$6:$H$26/30))+SUMPRODUCT((Missions!$F$6:$F$26="Discount")*(Missions!$A$6:$A$26="Gold")*(Missions!$D$6:$D$26&lt;&gt;"One-time")*B15*Missions!$E$6:$E$26*'VIP Levels'!$E$7*(Inputs!$B$14-1)*(Missions!$H$6:$H$26/30))+SUMPRODUCT((Missions!$F$6:$F$26="Discount")*(Missions!$A$6:$A$26="Platinum")*(Missions!$D$6:$D$26="One-time")*B22*Missions!$E$6:$E$26*'VIP Levels'!$E$8*(Inputs!$B$14-1)*(Missions!$H$6:$H$26/30))+SUMPRODUCT((Missions!$F$6:$F$26="Discount")*(Missions!$A$6:$A$26="Platinum")*(Missions!$D$6:$D$26&lt;&gt;"One-time")*B16*Missions!$E$6:$E$26*'VIP Levels'!$E$8*(Inputs!$B$14-1)*(Missions!$H$6:$H$26/30))+SUMPRODUCT((Missions!$F$6:$F$26="Discount")*(Missions!$A$6:$A$26="Diamond")*(Missions!$D$6:$D$26="One-time")*B23*Missions!$E$6:$E$26*'VIP Levels'!$E$9*(Inputs!$B$14-1)*(Missions!$H$6:$H$26/30))+SUMPRODUCT((Missions!$F$6:$F$26="Discount")*(Missions!$A$6:$A$26="Diamond")*(Missions!$D$6:$D$26&lt;&gt;"One-time")*B17*Missions!$E$6:$E$26*'VIP Levels'!$E$9*(Inputs!$B$14-1)*(Missions!$H$6:$H$26/30)),0)</f>
        <v>9</v>
      </c>
      <c r="C11" s="8">
        <f>ROUND(C19*'VIP Levels'!$B$15*'VIP Levels'!$E$5*(Inputs!$B$14-1)*('VIP Levels'!$D$15/30)+C20*'VIP Levels'!$B$16*'VIP Levels'!$E$6*(Inputs!$B$14-1)*('VIP Levels'!$D$16/30)+C21*'VIP Levels'!$B$17*'VIP Levels'!$E$7*(Inputs!$B$14-1)*('VIP Levels'!$D$17/30)+C22*'VIP Levels'!$B$18*'VIP Levels'!$E$8*(Inputs!$B$14-1)*('VIP Levels'!$D$18/30)+C23*'VIP Levels'!$B$19*'VIP Levels'!$E$9*(Inputs!$B$14-1)*('VIP Levels'!$D$19/30)+C19*'VIP Levels'!$B$23*'VIP Levels'!$E$5*(Inputs!$B$14-1)*('VIP Levels'!$D$23/30)+C20*'VIP Levels'!$B$24*'VIP Levels'!$E$6*(Inputs!$B$14-1)*('VIP Levels'!$D$24/30)+C21*'VIP Levels'!$B$25*'VIP Levels'!$E$7*(Inputs!$B$14-1)*('VIP Levels'!$D$25/30)+C22*'VIP Levels'!$B$26*'VIP Levels'!$E$8*(Inputs!$B$14-1)*('VIP Levels'!$D$26/30)+C23*'VIP Levels'!$B$27*'VIP Levels'!$E$9*(Inputs!$B$14-1)*('VIP Levels'!$D$27/30)+SUMPRODUCT((Missions!$F$6:$F$26="Commission Boost")*(Missions!$A$6:$A$26="Bronze")*(Missions!$D$6:$D$26="One-time")*C19*Missions!$E$6:$E$26*'VIP Levels'!$E$5*(Inputs!$B$14-1)*(Missions!$H$6:$H$26/30))+SUMPRODUCT((Missions!$F$6:$F$26="Commission Boost")*(Missions!$A$6:$A$26="Bronze")*(Missions!$D$6:$D$26&lt;&gt;"One-time")*C13*Missions!$E$6:$E$26*'VIP Levels'!$E$5*(Inputs!$B$14-1)*(Missions!$H$6:$H$26/30))+SUMPRODUCT((Missions!$F$6:$F$26="Commission Boost")*(Missions!$A$6:$A$26="Silver")*(Missions!$D$6:$D$26="One-time")*C20*Missions!$E$6:$E$26*'VIP Levels'!$E$6*(Inputs!$B$14-1)*(Missions!$H$6:$H$26/30))+SUMPRODUCT((Missions!$F$6:$F$26="Commission Boost")*(Missions!$A$6:$A$26="Silver")*(Missions!$D$6:$D$26&lt;&gt;"One-time")*C14*Missions!$E$6:$E$26*'VIP Levels'!$E$6*(Inputs!$B$14-1)*(Missions!$H$6:$H$26/30))+SUMPRODUCT((Missions!$F$6:$F$26="Commission Boost")*(Missions!$A$6:$A$26="Gold")*(Missions!$D$6:$D$26="One-time")*C21*Missions!$E$6:$E$26*'VIP Levels'!$E$7*(Inputs!$B$14-1)*(Missions!$H$6:$H$26/30))+SUMPRODUCT((Missions!$F$6:$F$26="Commission Boost")*(Missions!$A$6:$A$26="Gold")*(Missions!$D$6:$D$26&lt;&gt;"One-time")*C15*Missions!$E$6:$E$26*'VIP Levels'!$E$7*(Inputs!$B$14-1)*(Missions!$H$6:$H$26/30))+SUMPRODUCT((Missions!$F$6:$F$26="Commission Boost")*(Missions!$A$6:$A$26="Platinum")*(Missions!$D$6:$D$26="One-time")*C22*Missions!$E$6:$E$26*'VIP Levels'!$E$8*(Inputs!$B$14-1)*(Missions!$H$6:$H$26/30))+SUMPRODUCT((Missions!$F$6:$F$26="Commission Boost")*(Missions!$A$6:$A$26="Platinum")*(Missions!$D$6:$D$26&lt;&gt;"One-time")*C16*Missions!$E$6:$E$26*'VIP Levels'!$E$8*(Inputs!$B$14-1)*(Missions!$H$6:$H$26/30))+SUMPRODUCT((Missions!$F$6:$F$26="Commission Boost")*(Missions!$A$6:$A$26="Diamond")*(Missions!$D$6:$D$26="One-time")*C23*Missions!$E$6:$E$26*'VIP Levels'!$E$9*(Inputs!$B$14-1)*(Missions!$H$6:$H$26/30))+SUMPRODUCT((Missions!$F$6:$F$26="Commission Boost")*(Missions!$A$6:$A$26="Diamond")*(Missions!$D$6:$D$26&lt;&gt;"One-time")*C17*Missions!$E$6:$E$26*'VIP Levels'!$E$9*(Inputs!$B$14-1)*(Missions!$H$6:$H$26/30))+SUMPRODUCT((Missions!$F$6:$F$26="Discount")*(Missions!$A$6:$A$26="Bronze")*(Missions!$D$6:$D$26="One-time")*C19*Missions!$E$6:$E$26*'VIP Levels'!$E$5*(Inputs!$B$14-1)*(Missions!$H$6:$H$26/30))+SUMPRODUCT((Missions!$F$6:$F$26="Discount")*(Missions!$A$6:$A$26="Bronze")*(Missions!$D$6:$D$26&lt;&gt;"One-time")*C13*Missions!$E$6:$E$26*'VIP Levels'!$E$5*(Inputs!$B$14-1)*(Missions!$H$6:$H$26/30))+SUMPRODUCT((Missions!$F$6:$F$26="Discount")*(Missions!$A$6:$A$26="Silver")*(Missions!$D$6:$D$26="One-time")*C20*Missions!$E$6:$E$26*'VIP Levels'!$E$6*(Inputs!$B$14-1)*(Missions!$H$6:$H$26/30))+SUMPRODUCT((Missions!$F$6:$F$26="Discount")*(Missions!$A$6:$A$26="Silver")*(Missions!$D$6:$D$26&lt;&gt;"One-time")*C14*Missions!$E$6:$E$26*'VIP Levels'!$E$6*(Inputs!$B$14-1)*(Missions!$H$6:$H$26/30))+SUMPRODUCT((Missions!$F$6:$F$26="Discount")*(Missions!$A$6:$A$26="Gold")*(Missions!$D$6:$D$26="One-time")*C21*Missions!$E$6:$E$26*'VIP Levels'!$E$7*(Inputs!$B$14-1)*(Missions!$H$6:$H$26/30))+SUMPRODUCT((Missions!$F$6:$F$26="Discount")*(Missions!$A$6:$A$26="Gold")*(Missions!$D$6:$D$26&lt;&gt;"One-time")*C15*Missions!$E$6:$E$26*'VIP Levels'!$E$7*(Inputs!$B$14-1)*(Missions!$H$6:$H$26/30))+SUMPRODUCT((Missions!$F$6:$F$26="Discount")*(Missions!$A$6:$A$26="Platinum")*(Missions!$D$6:$D$26="One-time")*C22*Missions!$E$6:$E$26*'VIP Levels'!$E$8*(Inputs!$B$14-1)*(Missions!$H$6:$H$26/30))+SUMPRODUCT((Missions!$F$6:$F$26="Discount")*(Missions!$A$6:$A$26="Platinum")*(Missions!$D$6:$D$26&lt;&gt;"One-time")*C16*Missions!$E$6:$E$26*'VIP Levels'!$E$8*(Inputs!$B$14-1)*(Missions!$H$6:$H$26/30))+SUMPRODUCT((Missions!$F$6:$F$26="Discount")*(Missions!$A$6:$A$26="Diamond")*(Missions!$D$6:$D$26="One-time")*C23*Missions!$E$6:$E$26*'VIP Levels'!$E$9*(Inputs!$B$14-1)*(Missions!$H$6:$H$26/30))+SUMPRODUCT((Missions!$F$6:$F$26="Discount")*(Missions!$A$6:$A$26="Diamond")*(Missions!$D$6:$D$26&lt;&gt;"One-time")*C17*Missions!$E$6:$E$26*'VIP Levels'!$E$9*(Inputs!$B$14-1)*(Missions!$H$6:$H$26/30)),0)</f>
        <v>24</v>
      </c>
      <c r="D11" s="8">
        <f>ROUND(D19*'VIP Levels'!$B$15*'VIP Levels'!$E$5*(Inputs!$B$14-1)*('VIP Levels'!$D$15/30)+D20*'VIP Levels'!$B$16*'VIP Levels'!$E$6*(Inputs!$B$14-1)*('VIP Levels'!$D$16/30)+D21*'VIP Levels'!$B$17*'VIP Levels'!$E$7*(Inputs!$B$14-1)*('VIP Levels'!$D$17/30)+D22*'VIP Levels'!$B$18*'VIP Levels'!$E$8*(Inputs!$B$14-1)*('VIP Levels'!$D$18/30)+D23*'VIP Levels'!$B$19*'VIP Levels'!$E$9*(Inputs!$B$14-1)*('VIP Levels'!$D$19/30)+D19*'VIP Levels'!$B$23*'VIP Levels'!$E$5*(Inputs!$B$14-1)*('VIP Levels'!$D$23/30)+D20*'VIP Levels'!$B$24*'VIP Levels'!$E$6*(Inputs!$B$14-1)*('VIP Levels'!$D$24/30)+D21*'VIP Levels'!$B$25*'VIP Levels'!$E$7*(Inputs!$B$14-1)*('VIP Levels'!$D$25/30)+D22*'VIP Levels'!$B$26*'VIP Levels'!$E$8*(Inputs!$B$14-1)*('VIP Levels'!$D$26/30)+D23*'VIP Levels'!$B$27*'VIP Levels'!$E$9*(Inputs!$B$14-1)*('VIP Levels'!$D$27/30)+SUMPRODUCT((Missions!$F$6:$F$26="Commission Boost")*(Missions!$A$6:$A$26="Bronze")*(Missions!$D$6:$D$26="One-time")*D19*Missions!$E$6:$E$26*'VIP Levels'!$E$5*(Inputs!$B$14-1)*(Missions!$H$6:$H$26/30))+SUMPRODUCT((Missions!$F$6:$F$26="Commission Boost")*(Missions!$A$6:$A$26="Bronze")*(Missions!$D$6:$D$26&lt;&gt;"One-time")*D13*Missions!$E$6:$E$26*'VIP Levels'!$E$5*(Inputs!$B$14-1)*(Missions!$H$6:$H$26/30))+SUMPRODUCT((Missions!$F$6:$F$26="Commission Boost")*(Missions!$A$6:$A$26="Silver")*(Missions!$D$6:$D$26="One-time")*D20*Missions!$E$6:$E$26*'VIP Levels'!$E$6*(Inputs!$B$14-1)*(Missions!$H$6:$H$26/30))+SUMPRODUCT((Missions!$F$6:$F$26="Commission Boost")*(Missions!$A$6:$A$26="Silver")*(Missions!$D$6:$D$26&lt;&gt;"One-time")*D14*Missions!$E$6:$E$26*'VIP Levels'!$E$6*(Inputs!$B$14-1)*(Missions!$H$6:$H$26/30))+SUMPRODUCT((Missions!$F$6:$F$26="Commission Boost")*(Missions!$A$6:$A$26="Gold")*(Missions!$D$6:$D$26="One-time")*D21*Missions!$E$6:$E$26*'VIP Levels'!$E$7*(Inputs!$B$14-1)*(Missions!$H$6:$H$26/30))+SUMPRODUCT((Missions!$F$6:$F$26="Commission Boost")*(Missions!$A$6:$A$26="Gold")*(Missions!$D$6:$D$26&lt;&gt;"One-time")*D15*Missions!$E$6:$E$26*'VIP Levels'!$E$7*(Inputs!$B$14-1)*(Missions!$H$6:$H$26/30))+SUMPRODUCT((Missions!$F$6:$F$26="Commission Boost")*(Missions!$A$6:$A$26="Platinum")*(Missions!$D$6:$D$26="One-time")*D22*Missions!$E$6:$E$26*'VIP Levels'!$E$8*(Inputs!$B$14-1)*(Missions!$H$6:$H$26/30))+SUMPRODUCT((Missions!$F$6:$F$26="Commission Boost")*(Missions!$A$6:$A$26="Platinum")*(Missions!$D$6:$D$26&lt;&gt;"One-time")*D16*Missions!$E$6:$E$26*'VIP Levels'!$E$8*(Inputs!$B$14-1)*(Missions!$H$6:$H$26/30))+SUMPRODUCT((Missions!$F$6:$F$26="Commission Boost")*(Missions!$A$6:$A$26="Diamond")*(Missions!$D$6:$D$26="One-time")*D23*Missions!$E$6:$E$26*'VIP Levels'!$E$9*(Inputs!$B$14-1)*(Missions!$H$6:$H$26/30))+SUMPRODUCT((Missions!$F$6:$F$26="Commission Boost")*(Missions!$A$6:$A$26="Diamond")*(Missions!$D$6:$D$26&lt;&gt;"One-time")*D17*Missions!$E$6:$E$26*'VIP Levels'!$E$9*(Inputs!$B$14-1)*(Missions!$H$6:$H$26/30))+SUMPRODUCT((Missions!$F$6:$F$26="Discount")*(Missions!$A$6:$A$26="Bronze")*(Missions!$D$6:$D$26="One-time")*D19*Missions!$E$6:$E$26*'VIP Levels'!$E$5*(Inputs!$B$14-1)*(Missions!$H$6:$H$26/30))+SUMPRODUCT((Missions!$F$6:$F$26="Discount")*(Missions!$A$6:$A$26="Bronze")*(Missions!$D$6:$D$26&lt;&gt;"One-time")*D13*Missions!$E$6:$E$26*'VIP Levels'!$E$5*(Inputs!$B$14-1)*(Missions!$H$6:$H$26/30))+SUMPRODUCT((Missions!$F$6:$F$26="Discount")*(Missions!$A$6:$A$26="Silver")*(Missions!$D$6:$D$26="One-time")*D20*Missions!$E$6:$E$26*'VIP Levels'!$E$6*(Inputs!$B$14-1)*(Missions!$H$6:$H$26/30))+SUMPRODUCT((Missions!$F$6:$F$26="Discount")*(Missions!$A$6:$A$26="Silver")*(Missions!$D$6:$D$26&lt;&gt;"One-time")*D14*Missions!$E$6:$E$26*'VIP Levels'!$E$6*(Inputs!$B$14-1)*(Missions!$H$6:$H$26/30))+SUMPRODUCT((Missions!$F$6:$F$26="Discount")*(Missions!$A$6:$A$26="Gold")*(Missions!$D$6:$D$26="One-time")*D21*Missions!$E$6:$E$26*'VIP Levels'!$E$7*(Inputs!$B$14-1)*(Missions!$H$6:$H$26/30))+SUMPRODUCT((Missions!$F$6:$F$26="Discount")*(Missions!$A$6:$A$26="Gold")*(Missions!$D$6:$D$26&lt;&gt;"One-time")*D15*Missions!$E$6:$E$26*'VIP Levels'!$E$7*(Inputs!$B$14-1)*(Missions!$H$6:$H$26/30))+SUMPRODUCT((Missions!$F$6:$F$26="Discount")*(Missions!$A$6:$A$26="Platinum")*(Missions!$D$6:$D$26="One-time")*D22*Missions!$E$6:$E$26*'VIP Levels'!$E$8*(Inputs!$B$14-1)*(Missions!$H$6:$H$26/30))+SUMPRODUCT((Missions!$F$6:$F$26="Discount")*(Missions!$A$6:$A$26="Platinum")*(Missions!$D$6:$D$26&lt;&gt;"One-time")*D16*Missions!$E$6:$E$26*'VIP Levels'!$E$8*(Inputs!$B$14-1)*(Missions!$H$6:$H$26/30))+SUMPRODUCT((Missions!$F$6:$F$26="Discount")*(Missions!$A$6:$A$26="Diamond")*(Missions!$D$6:$D$26="One-time")*D23*Missions!$E$6:$E$26*'VIP Levels'!$E$9*(Inputs!$B$14-1)*(Missions!$H$6:$H$26/30))+SUMPRODUCT((Missions!$F$6:$F$26="Discount")*(Missions!$A$6:$A$26="Diamond")*(Missions!$D$6:$D$26&lt;&gt;"One-time")*D17*Missions!$E$6:$E$26*'VIP Levels'!$E$9*(Inputs!$B$14-1)*(Missions!$H$6:$H$26/30)),0)</f>
        <v>34</v>
      </c>
      <c r="E11" s="8">
        <f>ROUND(E19*'VIP Levels'!$B$15*'VIP Levels'!$E$5*(Inputs!$B$14-1)*('VIP Levels'!$D$15/30)+E20*'VIP Levels'!$B$16*'VIP Levels'!$E$6*(Inputs!$B$14-1)*('VIP Levels'!$D$16/30)+E21*'VIP Levels'!$B$17*'VIP Levels'!$E$7*(Inputs!$B$14-1)*('VIP Levels'!$D$17/30)+E22*'VIP Levels'!$B$18*'VIP Levels'!$E$8*(Inputs!$B$14-1)*('VIP Levels'!$D$18/30)+E23*'VIP Levels'!$B$19*'VIP Levels'!$E$9*(Inputs!$B$14-1)*('VIP Levels'!$D$19/30)+E19*'VIP Levels'!$B$23*'VIP Levels'!$E$5*(Inputs!$B$14-1)*('VIP Levels'!$D$23/30)+E20*'VIP Levels'!$B$24*'VIP Levels'!$E$6*(Inputs!$B$14-1)*('VIP Levels'!$D$24/30)+E21*'VIP Levels'!$B$25*'VIP Levels'!$E$7*(Inputs!$B$14-1)*('VIP Levels'!$D$25/30)+E22*'VIP Levels'!$B$26*'VIP Levels'!$E$8*(Inputs!$B$14-1)*('VIP Levels'!$D$26/30)+E23*'VIP Levels'!$B$27*'VIP Levels'!$E$9*(Inputs!$B$14-1)*('VIP Levels'!$D$27/30)+SUMPRODUCT((Missions!$F$6:$F$26="Commission Boost")*(Missions!$A$6:$A$26="Bronze")*(Missions!$D$6:$D$26="One-time")*E19*Missions!$E$6:$E$26*'VIP Levels'!$E$5*(Inputs!$B$14-1)*(Missions!$H$6:$H$26/30))+SUMPRODUCT((Missions!$F$6:$F$26="Commission Boost")*(Missions!$A$6:$A$26="Bronze")*(Missions!$D$6:$D$26&lt;&gt;"One-time")*E13*Missions!$E$6:$E$26*'VIP Levels'!$E$5*(Inputs!$B$14-1)*(Missions!$H$6:$H$26/30))+SUMPRODUCT((Missions!$F$6:$F$26="Commission Boost")*(Missions!$A$6:$A$26="Silver")*(Missions!$D$6:$D$26="One-time")*E20*Missions!$E$6:$E$26*'VIP Levels'!$E$6*(Inputs!$B$14-1)*(Missions!$H$6:$H$26/30))+SUMPRODUCT((Missions!$F$6:$F$26="Commission Boost")*(Missions!$A$6:$A$26="Silver")*(Missions!$D$6:$D$26&lt;&gt;"One-time")*E14*Missions!$E$6:$E$26*'VIP Levels'!$E$6*(Inputs!$B$14-1)*(Missions!$H$6:$H$26/30))+SUMPRODUCT((Missions!$F$6:$F$26="Commission Boost")*(Missions!$A$6:$A$26="Gold")*(Missions!$D$6:$D$26="One-time")*E21*Missions!$E$6:$E$26*'VIP Levels'!$E$7*(Inputs!$B$14-1)*(Missions!$H$6:$H$26/30))+SUMPRODUCT((Missions!$F$6:$F$26="Commission Boost")*(Missions!$A$6:$A$26="Gold")*(Missions!$D$6:$D$26&lt;&gt;"One-time")*E15*Missions!$E$6:$E$26*'VIP Levels'!$E$7*(Inputs!$B$14-1)*(Missions!$H$6:$H$26/30))+SUMPRODUCT((Missions!$F$6:$F$26="Commission Boost")*(Missions!$A$6:$A$26="Platinum")*(Missions!$D$6:$D$26="One-time")*E22*Missions!$E$6:$E$26*'VIP Levels'!$E$8*(Inputs!$B$14-1)*(Missions!$H$6:$H$26/30))+SUMPRODUCT((Missions!$F$6:$F$26="Commission Boost")*(Missions!$A$6:$A$26="Platinum")*(Missions!$D$6:$D$26&lt;&gt;"One-time")*E16*Missions!$E$6:$E$26*'VIP Levels'!$E$8*(Inputs!$B$14-1)*(Missions!$H$6:$H$26/30))+SUMPRODUCT((Missions!$F$6:$F$26="Commission Boost")*(Missions!$A$6:$A$26="Diamond")*(Missions!$D$6:$D$26="One-time")*E23*Missions!$E$6:$E$26*'VIP Levels'!$E$9*(Inputs!$B$14-1)*(Missions!$H$6:$H$26/30))+SUMPRODUCT((Missions!$F$6:$F$26="Commission Boost")*(Missions!$A$6:$A$26="Diamond")*(Missions!$D$6:$D$26&lt;&gt;"One-time")*E17*Missions!$E$6:$E$26*'VIP Levels'!$E$9*(Inputs!$B$14-1)*(Missions!$H$6:$H$26/30))+SUMPRODUCT((Missions!$F$6:$F$26="Discount")*(Missions!$A$6:$A$26="Bronze")*(Missions!$D$6:$D$26="One-time")*E19*Missions!$E$6:$E$26*'VIP Levels'!$E$5*(Inputs!$B$14-1)*(Missions!$H$6:$H$26/30))+SUMPRODUCT((Missions!$F$6:$F$26="Discount")*(Missions!$A$6:$A$26="Bronze")*(Missions!$D$6:$D$26&lt;&gt;"One-time")*E13*Missions!$E$6:$E$26*'VIP Levels'!$E$5*(Inputs!$B$14-1)*(Missions!$H$6:$H$26/30))+SUMPRODUCT((Missions!$F$6:$F$26="Discount")*(Missions!$A$6:$A$26="Silver")*(Missions!$D$6:$D$26="One-time")*E20*Missions!$E$6:$E$26*'VIP Levels'!$E$6*(Inputs!$B$14-1)*(Missions!$H$6:$H$26/30))+SUMPRODUCT((Missions!$F$6:$F$26="Discount")*(Missions!$A$6:$A$26="Silver")*(Missions!$D$6:$D$26&lt;&gt;"One-time")*E14*Missions!$E$6:$E$26*'VIP Levels'!$E$6*(Inputs!$B$14-1)*(Missions!$H$6:$H$26/30))+SUMPRODUCT((Missions!$F$6:$F$26="Discount")*(Missions!$A$6:$A$26="Gold")*(Missions!$D$6:$D$26="One-time")*E21*Missions!$E$6:$E$26*'VIP Levels'!$E$7*(Inputs!$B$14-1)*(Missions!$H$6:$H$26/30))+SUMPRODUCT((Missions!$F$6:$F$26="Discount")*(Missions!$A$6:$A$26="Gold")*(Missions!$D$6:$D$26&lt;&gt;"One-time")*E15*Missions!$E$6:$E$26*'VIP Levels'!$E$7*(Inputs!$B$14-1)*(Missions!$H$6:$H$26/30))+SUMPRODUCT((Missions!$F$6:$F$26="Discount")*(Missions!$A$6:$A$26="Platinum")*(Missions!$D$6:$D$26="One-time")*E22*Missions!$E$6:$E$26*'VIP Levels'!$E$8*(Inputs!$B$14-1)*(Missions!$H$6:$H$26/30))+SUMPRODUCT((Missions!$F$6:$F$26="Discount")*(Missions!$A$6:$A$26="Platinum")*(Missions!$D$6:$D$26&lt;&gt;"One-time")*E16*Missions!$E$6:$E$26*'VIP Levels'!$E$8*(Inputs!$B$14-1)*(Missions!$H$6:$H$26/30))+SUMPRODUCT((Missions!$F$6:$F$26="Discount")*(Missions!$A$6:$A$26="Diamond")*(Missions!$D$6:$D$26="One-time")*E23*Missions!$E$6:$E$26*'VIP Levels'!$E$9*(Inputs!$B$14-1)*(Missions!$H$6:$H$26/30))+SUMPRODUCT((Missions!$F$6:$F$26="Discount")*(Missions!$A$6:$A$26="Diamond")*(Missions!$D$6:$D$26&lt;&gt;"One-time")*E17*Missions!$E$6:$E$26*'VIP Levels'!$E$9*(Inputs!$B$14-1)*(Missions!$H$6:$H$26/30)),0)</f>
        <v>44</v>
      </c>
      <c r="F11" s="8">
        <f>ROUND(F19*'VIP Levels'!$B$15*'VIP Levels'!$E$5*(Inputs!$B$14-1)*('VIP Levels'!$D$15/30)+F20*'VIP Levels'!$B$16*'VIP Levels'!$E$6*(Inputs!$B$14-1)*('VIP Levels'!$D$16/30)+F21*'VIP Levels'!$B$17*'VIP Levels'!$E$7*(Inputs!$B$14-1)*('VIP Levels'!$D$17/30)+F22*'VIP Levels'!$B$18*'VIP Levels'!$E$8*(Inputs!$B$14-1)*('VIP Levels'!$D$18/30)+F23*'VIP Levels'!$B$19*'VIP Levels'!$E$9*(Inputs!$B$14-1)*('VIP Levels'!$D$19/30)+F19*'VIP Levels'!$B$23*'VIP Levels'!$E$5*(Inputs!$B$14-1)*('VIP Levels'!$D$23/30)+F20*'VIP Levels'!$B$24*'VIP Levels'!$E$6*(Inputs!$B$14-1)*('VIP Levels'!$D$24/30)+F21*'VIP Levels'!$B$25*'VIP Levels'!$E$7*(Inputs!$B$14-1)*('VIP Levels'!$D$25/30)+F22*'VIP Levels'!$B$26*'VIP Levels'!$E$8*(Inputs!$B$14-1)*('VIP Levels'!$D$26/30)+F23*'VIP Levels'!$B$27*'VIP Levels'!$E$9*(Inputs!$B$14-1)*('VIP Levels'!$D$27/30)+SUMPRODUCT((Missions!$F$6:$F$26="Commission Boost")*(Missions!$A$6:$A$26="Bronze")*(Missions!$D$6:$D$26="One-time")*F19*Missions!$E$6:$E$26*'VIP Levels'!$E$5*(Inputs!$B$14-1)*(Missions!$H$6:$H$26/30))+SUMPRODUCT((Missions!$F$6:$F$26="Commission Boost")*(Missions!$A$6:$A$26="Bronze")*(Missions!$D$6:$D$26&lt;&gt;"One-time")*F13*Missions!$E$6:$E$26*'VIP Levels'!$E$5*(Inputs!$B$14-1)*(Missions!$H$6:$H$26/30))+SUMPRODUCT((Missions!$F$6:$F$26="Commission Boost")*(Missions!$A$6:$A$26="Silver")*(Missions!$D$6:$D$26="One-time")*F20*Missions!$E$6:$E$26*'VIP Levels'!$E$6*(Inputs!$B$14-1)*(Missions!$H$6:$H$26/30))+SUMPRODUCT((Missions!$F$6:$F$26="Commission Boost")*(Missions!$A$6:$A$26="Silver")*(Missions!$D$6:$D$26&lt;&gt;"One-time")*F14*Missions!$E$6:$E$26*'VIP Levels'!$E$6*(Inputs!$B$14-1)*(Missions!$H$6:$H$26/30))+SUMPRODUCT((Missions!$F$6:$F$26="Commission Boost")*(Missions!$A$6:$A$26="Gold")*(Missions!$D$6:$D$26="One-time")*F21*Missions!$E$6:$E$26*'VIP Levels'!$E$7*(Inputs!$B$14-1)*(Missions!$H$6:$H$26/30))+SUMPRODUCT((Missions!$F$6:$F$26="Commission Boost")*(Missions!$A$6:$A$26="Gold")*(Missions!$D$6:$D$26&lt;&gt;"One-time")*F15*Missions!$E$6:$E$26*'VIP Levels'!$E$7*(Inputs!$B$14-1)*(Missions!$H$6:$H$26/30))+SUMPRODUCT((Missions!$F$6:$F$26="Commission Boost")*(Missions!$A$6:$A$26="Platinum")*(Missions!$D$6:$D$26="One-time")*F22*Missions!$E$6:$E$26*'VIP Levels'!$E$8*(Inputs!$B$14-1)*(Missions!$H$6:$H$26/30))+SUMPRODUCT((Missions!$F$6:$F$26="Commission Boost")*(Missions!$A$6:$A$26="Platinum")*(Missions!$D$6:$D$26&lt;&gt;"One-time")*F16*Missions!$E$6:$E$26*'VIP Levels'!$E$8*(Inputs!$B$14-1)*(Missions!$H$6:$H$26/30))+SUMPRODUCT((Missions!$F$6:$F$26="Commission Boost")*(Missions!$A$6:$A$26="Diamond")*(Missions!$D$6:$D$26="One-time")*F23*Missions!$E$6:$E$26*'VIP Levels'!$E$9*(Inputs!$B$14-1)*(Missions!$H$6:$H$26/30))+SUMPRODUCT((Missions!$F$6:$F$26="Commission Boost")*(Missions!$A$6:$A$26="Diamond")*(Missions!$D$6:$D$26&lt;&gt;"One-time")*F17*Missions!$E$6:$E$26*'VIP Levels'!$E$9*(Inputs!$B$14-1)*(Missions!$H$6:$H$26/30))+SUMPRODUCT((Missions!$F$6:$F$26="Discount")*(Missions!$A$6:$A$26="Bronze")*(Missions!$D$6:$D$26="One-time")*F19*Missions!$E$6:$E$26*'VIP Levels'!$E$5*(Inputs!$B$14-1)*(Missions!$H$6:$H$26/30))+SUMPRODUCT((Missions!$F$6:$F$26="Discount")*(Missions!$A$6:$A$26="Bronze")*(Missions!$D$6:$D$26&lt;&gt;"One-time")*F13*Missions!$E$6:$E$26*'VIP Levels'!$E$5*(Inputs!$B$14-1)*(Missions!$H$6:$H$26/30))+SUMPRODUCT((Missions!$F$6:$F$26="Discount")*(Missions!$A$6:$A$26="Silver")*(Missions!$D$6:$D$26="One-time")*F20*Missions!$E$6:$E$26*'VIP Levels'!$E$6*(Inputs!$B$14-1)*(Missions!$H$6:$H$26/30))+SUMPRODUCT((Missions!$F$6:$F$26="Discount")*(Missions!$A$6:$A$26="Silver")*(Missions!$D$6:$D$26&lt;&gt;"One-time")*F14*Missions!$E$6:$E$26*'VIP Levels'!$E$6*(Inputs!$B$14-1)*(Missions!$H$6:$H$26/30))+SUMPRODUCT((Missions!$F$6:$F$26="Discount")*(Missions!$A$6:$A$26="Gold")*(Missions!$D$6:$D$26="One-time")*F21*Missions!$E$6:$E$26*'VIP Levels'!$E$7*(Inputs!$B$14-1)*(Missions!$H$6:$H$26/30))+SUMPRODUCT((Missions!$F$6:$F$26="Discount")*(Missions!$A$6:$A$26="Gold")*(Missions!$D$6:$D$26&lt;&gt;"One-time")*F15*Missions!$E$6:$E$26*'VIP Levels'!$E$7*(Inputs!$B$14-1)*(Missions!$H$6:$H$26/30))+SUMPRODUCT((Missions!$F$6:$F$26="Discount")*(Missions!$A$6:$A$26="Platinum")*(Missions!$D$6:$D$26="One-time")*F22*Missions!$E$6:$E$26*'VIP Levels'!$E$8*(Inputs!$B$14-1)*(Missions!$H$6:$H$26/30))+SUMPRODUCT((Missions!$F$6:$F$26="Discount")*(Missions!$A$6:$A$26="Platinum")*(Missions!$D$6:$D$26&lt;&gt;"One-time")*F16*Missions!$E$6:$E$26*'VIP Levels'!$E$8*(Inputs!$B$14-1)*(Missions!$H$6:$H$26/30))+SUMPRODUCT((Missions!$F$6:$F$26="Discount")*(Missions!$A$6:$A$26="Diamond")*(Missions!$D$6:$D$26="One-time")*F23*Missions!$E$6:$E$26*'VIP Levels'!$E$9*(Inputs!$B$14-1)*(Missions!$H$6:$H$26/30))+SUMPRODUCT((Missions!$F$6:$F$26="Discount")*(Missions!$A$6:$A$26="Diamond")*(Missions!$D$6:$D$26&lt;&gt;"One-time")*F17*Missions!$E$6:$E$26*'VIP Levels'!$E$9*(Inputs!$B$14-1)*(Missions!$H$6:$H$26/30)),0)</f>
        <v>82</v>
      </c>
      <c r="G11" s="8">
        <f>ROUND(G19*'VIP Levels'!$B$15*'VIP Levels'!$E$5*(Inputs!$B$14-1)*('VIP Levels'!$D$15/30)+G20*'VIP Levels'!$B$16*'VIP Levels'!$E$6*(Inputs!$B$14-1)*('VIP Levels'!$D$16/30)+G21*'VIP Levels'!$B$17*'VIP Levels'!$E$7*(Inputs!$B$14-1)*('VIP Levels'!$D$17/30)+G22*'VIP Levels'!$B$18*'VIP Levels'!$E$8*(Inputs!$B$14-1)*('VIP Levels'!$D$18/30)+G23*'VIP Levels'!$B$19*'VIP Levels'!$E$9*(Inputs!$B$14-1)*('VIP Levels'!$D$19/30)+G19*'VIP Levels'!$B$23*'VIP Levels'!$E$5*(Inputs!$B$14-1)*('VIP Levels'!$D$23/30)+G20*'VIP Levels'!$B$24*'VIP Levels'!$E$6*(Inputs!$B$14-1)*('VIP Levels'!$D$24/30)+G21*'VIP Levels'!$B$25*'VIP Levels'!$E$7*(Inputs!$B$14-1)*('VIP Levels'!$D$25/30)+G22*'VIP Levels'!$B$26*'VIP Levels'!$E$8*(Inputs!$B$14-1)*('VIP Levels'!$D$26/30)+G23*'VIP Levels'!$B$27*'VIP Levels'!$E$9*(Inputs!$B$14-1)*('VIP Levels'!$D$27/30)+SUMPRODUCT((Missions!$F$6:$F$26="Commission Boost")*(Missions!$A$6:$A$26="Bronze")*(Missions!$D$6:$D$26="One-time")*G19*Missions!$E$6:$E$26*'VIP Levels'!$E$5*(Inputs!$B$14-1)*(Missions!$H$6:$H$26/30))+SUMPRODUCT((Missions!$F$6:$F$26="Commission Boost")*(Missions!$A$6:$A$26="Bronze")*(Missions!$D$6:$D$26&lt;&gt;"One-time")*G13*Missions!$E$6:$E$26*'VIP Levels'!$E$5*(Inputs!$B$14-1)*(Missions!$H$6:$H$26/30))+SUMPRODUCT((Missions!$F$6:$F$26="Commission Boost")*(Missions!$A$6:$A$26="Silver")*(Missions!$D$6:$D$26="One-time")*G20*Missions!$E$6:$E$26*'VIP Levels'!$E$6*(Inputs!$B$14-1)*(Missions!$H$6:$H$26/30))+SUMPRODUCT((Missions!$F$6:$F$26="Commission Boost")*(Missions!$A$6:$A$26="Silver")*(Missions!$D$6:$D$26&lt;&gt;"One-time")*G14*Missions!$E$6:$E$26*'VIP Levels'!$E$6*(Inputs!$B$14-1)*(Missions!$H$6:$H$26/30))+SUMPRODUCT((Missions!$F$6:$F$26="Commission Boost")*(Missions!$A$6:$A$26="Gold")*(Missions!$D$6:$D$26="One-time")*G21*Missions!$E$6:$E$26*'VIP Levels'!$E$7*(Inputs!$B$14-1)*(Missions!$H$6:$H$26/30))+SUMPRODUCT((Missions!$F$6:$F$26="Commission Boost")*(Missions!$A$6:$A$26="Gold")*(Missions!$D$6:$D$26&lt;&gt;"One-time")*G15*Missions!$E$6:$E$26*'VIP Levels'!$E$7*(Inputs!$B$14-1)*(Missions!$H$6:$H$26/30))+SUMPRODUCT((Missions!$F$6:$F$26="Commission Boost")*(Missions!$A$6:$A$26="Platinum")*(Missions!$D$6:$D$26="One-time")*G22*Missions!$E$6:$E$26*'VIP Levels'!$E$8*(Inputs!$B$14-1)*(Missions!$H$6:$H$26/30))+SUMPRODUCT((Missions!$F$6:$F$26="Commission Boost")*(Missions!$A$6:$A$26="Platinum")*(Missions!$D$6:$D$26&lt;&gt;"One-time")*G16*Missions!$E$6:$E$26*'VIP Levels'!$E$8*(Inputs!$B$14-1)*(Missions!$H$6:$H$26/30))+SUMPRODUCT((Missions!$F$6:$F$26="Commission Boost")*(Missions!$A$6:$A$26="Diamond")*(Missions!$D$6:$D$26="One-time")*G23*Missions!$E$6:$E$26*'VIP Levels'!$E$9*(Inputs!$B$14-1)*(Missions!$H$6:$H$26/30))+SUMPRODUCT((Missions!$F$6:$F$26="Commission Boost")*(Missions!$A$6:$A$26="Diamond")*(Missions!$D$6:$D$26&lt;&gt;"One-time")*G17*Missions!$E$6:$E$26*'VIP Levels'!$E$9*(Inputs!$B$14-1)*(Missions!$H$6:$H$26/30))+SUMPRODUCT((Missions!$F$6:$F$26="Discount")*(Missions!$A$6:$A$26="Bronze")*(Missions!$D$6:$D$26="One-time")*G19*Missions!$E$6:$E$26*'VIP Levels'!$E$5*(Inputs!$B$14-1)*(Missions!$H$6:$H$26/30))+SUMPRODUCT((Missions!$F$6:$F$26="Discount")*(Missions!$A$6:$A$26="Bronze")*(Missions!$D$6:$D$26&lt;&gt;"One-time")*G13*Missions!$E$6:$E$26*'VIP Levels'!$E$5*(Inputs!$B$14-1)*(Missions!$H$6:$H$26/30))+SUMPRODUCT((Missions!$F$6:$F$26="Discount")*(Missions!$A$6:$A$26="Silver")*(Missions!$D$6:$D$26="One-time")*G20*Missions!$E$6:$E$26*'VIP Levels'!$E$6*(Inputs!$B$14-1)*(Missions!$H$6:$H$26/30))+SUMPRODUCT((Missions!$F$6:$F$26="Discount")*(Missions!$A$6:$A$26="Silver")*(Missions!$D$6:$D$26&lt;&gt;"One-time")*G14*Missions!$E$6:$E$26*'VIP Levels'!$E$6*(Inputs!$B$14-1)*(Missions!$H$6:$H$26/30))+SUMPRODUCT((Missions!$F$6:$F$26="Discount")*(Missions!$A$6:$A$26="Gold")*(Missions!$D$6:$D$26="One-time")*G21*Missions!$E$6:$E$26*'VIP Levels'!$E$7*(Inputs!$B$14-1)*(Missions!$H$6:$H$26/30))+SUMPRODUCT((Missions!$F$6:$F$26="Discount")*(Missions!$A$6:$A$26="Gold")*(Missions!$D$6:$D$26&lt;&gt;"One-time")*G15*Missions!$E$6:$E$26*'VIP Levels'!$E$7*(Inputs!$B$14-1)*(Missions!$H$6:$H$26/30))+SUMPRODUCT((Missions!$F$6:$F$26="Discount")*(Missions!$A$6:$A$26="Platinum")*(Missions!$D$6:$D$26="One-time")*G22*Missions!$E$6:$E$26*'VIP Levels'!$E$8*(Inputs!$B$14-1)*(Missions!$H$6:$H$26/30))+SUMPRODUCT((Missions!$F$6:$F$26="Discount")*(Missions!$A$6:$A$26="Platinum")*(Missions!$D$6:$D$26&lt;&gt;"One-time")*G16*Missions!$E$6:$E$26*'VIP Levels'!$E$8*(Inputs!$B$14-1)*(Missions!$H$6:$H$26/30))+SUMPRODUCT((Missions!$F$6:$F$26="Discount")*(Missions!$A$6:$A$26="Diamond")*(Missions!$D$6:$D$26="One-time")*G23*Missions!$E$6:$E$26*'VIP Levels'!$E$9*(Inputs!$B$14-1)*(Missions!$H$6:$H$26/30))+SUMPRODUCT((Missions!$F$6:$F$26="Discount")*(Missions!$A$6:$A$26="Diamond")*(Missions!$D$6:$D$26&lt;&gt;"One-time")*G17*Missions!$E$6:$E$26*'VIP Levels'!$E$9*(Inputs!$B$14-1)*(Missions!$H$6:$H$26/30)),0)</f>
        <v>122</v>
      </c>
      <c r="H11" s="8">
        <f>ROUND(H19*'VIP Levels'!$B$15*'VIP Levels'!$E$5*(Inputs!$B$14-1)*('VIP Levels'!$D$15/30)+H20*'VIP Levels'!$B$16*'VIP Levels'!$E$6*(Inputs!$B$14-1)*('VIP Levels'!$D$16/30)+H21*'VIP Levels'!$B$17*'VIP Levels'!$E$7*(Inputs!$B$14-1)*('VIP Levels'!$D$17/30)+H22*'VIP Levels'!$B$18*'VIP Levels'!$E$8*(Inputs!$B$14-1)*('VIP Levels'!$D$18/30)+H23*'VIP Levels'!$B$19*'VIP Levels'!$E$9*(Inputs!$B$14-1)*('VIP Levels'!$D$19/30)+H19*'VIP Levels'!$B$23*'VIP Levels'!$E$5*(Inputs!$B$14-1)*('VIP Levels'!$D$23/30)+H20*'VIP Levels'!$B$24*'VIP Levels'!$E$6*(Inputs!$B$14-1)*('VIP Levels'!$D$24/30)+H21*'VIP Levels'!$B$25*'VIP Levels'!$E$7*(Inputs!$B$14-1)*('VIP Levels'!$D$25/30)+H22*'VIP Levels'!$B$26*'VIP Levels'!$E$8*(Inputs!$B$14-1)*('VIP Levels'!$D$26/30)+H23*'VIP Levels'!$B$27*'VIP Levels'!$E$9*(Inputs!$B$14-1)*('VIP Levels'!$D$27/30)+SUMPRODUCT((Missions!$F$6:$F$26="Commission Boost")*(Missions!$A$6:$A$26="Bronze")*(Missions!$D$6:$D$26="One-time")*H19*Missions!$E$6:$E$26*'VIP Levels'!$E$5*(Inputs!$B$14-1)*(Missions!$H$6:$H$26/30))+SUMPRODUCT((Missions!$F$6:$F$26="Commission Boost")*(Missions!$A$6:$A$26="Bronze")*(Missions!$D$6:$D$26&lt;&gt;"One-time")*H13*Missions!$E$6:$E$26*'VIP Levels'!$E$5*(Inputs!$B$14-1)*(Missions!$H$6:$H$26/30))+SUMPRODUCT((Missions!$F$6:$F$26="Commission Boost")*(Missions!$A$6:$A$26="Silver")*(Missions!$D$6:$D$26="One-time")*H20*Missions!$E$6:$E$26*'VIP Levels'!$E$6*(Inputs!$B$14-1)*(Missions!$H$6:$H$26/30))+SUMPRODUCT((Missions!$F$6:$F$26="Commission Boost")*(Missions!$A$6:$A$26="Silver")*(Missions!$D$6:$D$26&lt;&gt;"One-time")*H14*Missions!$E$6:$E$26*'VIP Levels'!$E$6*(Inputs!$B$14-1)*(Missions!$H$6:$H$26/30))+SUMPRODUCT((Missions!$F$6:$F$26="Commission Boost")*(Missions!$A$6:$A$26="Gold")*(Missions!$D$6:$D$26="One-time")*H21*Missions!$E$6:$E$26*'VIP Levels'!$E$7*(Inputs!$B$14-1)*(Missions!$H$6:$H$26/30))+SUMPRODUCT((Missions!$F$6:$F$26="Commission Boost")*(Missions!$A$6:$A$26="Gold")*(Missions!$D$6:$D$26&lt;&gt;"One-time")*H15*Missions!$E$6:$E$26*'VIP Levels'!$E$7*(Inputs!$B$14-1)*(Missions!$H$6:$H$26/30))+SUMPRODUCT((Missions!$F$6:$F$26="Commission Boost")*(Missions!$A$6:$A$26="Platinum")*(Missions!$D$6:$D$26="One-time")*H22*Missions!$E$6:$E$26*'VIP Levels'!$E$8*(Inputs!$B$14-1)*(Missions!$H$6:$H$26/30))+SUMPRODUCT((Missions!$F$6:$F$26="Commission Boost")*(Missions!$A$6:$A$26="Platinum")*(Missions!$D$6:$D$26&lt;&gt;"One-time")*H16*Missions!$E$6:$E$26*'VIP Levels'!$E$8*(Inputs!$B$14-1)*(Missions!$H$6:$H$26/30))+SUMPRODUCT((Missions!$F$6:$F$26="Commission Boost")*(Missions!$A$6:$A$26="Diamond")*(Missions!$D$6:$D$26="One-time")*H23*Missions!$E$6:$E$26*'VIP Levels'!$E$9*(Inputs!$B$14-1)*(Missions!$H$6:$H$26/30))+SUMPRODUCT((Missions!$F$6:$F$26="Commission Boost")*(Missions!$A$6:$A$26="Diamond")*(Missions!$D$6:$D$26&lt;&gt;"One-time")*H17*Missions!$E$6:$E$26*'VIP Levels'!$E$9*(Inputs!$B$14-1)*(Missions!$H$6:$H$26/30))+SUMPRODUCT((Missions!$F$6:$F$26="Discount")*(Missions!$A$6:$A$26="Bronze")*(Missions!$D$6:$D$26="One-time")*H19*Missions!$E$6:$E$26*'VIP Levels'!$E$5*(Inputs!$B$14-1)*(Missions!$H$6:$H$26/30))+SUMPRODUCT((Missions!$F$6:$F$26="Discount")*(Missions!$A$6:$A$26="Bronze")*(Missions!$D$6:$D$26&lt;&gt;"One-time")*H13*Missions!$E$6:$E$26*'VIP Levels'!$E$5*(Inputs!$B$14-1)*(Missions!$H$6:$H$26/30))+SUMPRODUCT((Missions!$F$6:$F$26="Discount")*(Missions!$A$6:$A$26="Silver")*(Missions!$D$6:$D$26="One-time")*H20*Missions!$E$6:$E$26*'VIP Levels'!$E$6*(Inputs!$B$14-1)*(Missions!$H$6:$H$26/30))+SUMPRODUCT((Missions!$F$6:$F$26="Discount")*(Missions!$A$6:$A$26="Silver")*(Missions!$D$6:$D$26&lt;&gt;"One-time")*H14*Missions!$E$6:$E$26*'VIP Levels'!$E$6*(Inputs!$B$14-1)*(Missions!$H$6:$H$26/30))+SUMPRODUCT((Missions!$F$6:$F$26="Discount")*(Missions!$A$6:$A$26="Gold")*(Missions!$D$6:$D$26="One-time")*H21*Missions!$E$6:$E$26*'VIP Levels'!$E$7*(Inputs!$B$14-1)*(Missions!$H$6:$H$26/30))+SUMPRODUCT((Missions!$F$6:$F$26="Discount")*(Missions!$A$6:$A$26="Gold")*(Missions!$D$6:$D$26&lt;&gt;"One-time")*H15*Missions!$E$6:$E$26*'VIP Levels'!$E$7*(Inputs!$B$14-1)*(Missions!$H$6:$H$26/30))+SUMPRODUCT((Missions!$F$6:$F$26="Discount")*(Missions!$A$6:$A$26="Platinum")*(Missions!$D$6:$D$26="One-time")*H22*Missions!$E$6:$E$26*'VIP Levels'!$E$8*(Inputs!$B$14-1)*(Missions!$H$6:$H$26/30))+SUMPRODUCT((Missions!$F$6:$F$26="Discount")*(Missions!$A$6:$A$26="Platinum")*(Missions!$D$6:$D$26&lt;&gt;"One-time")*H16*Missions!$E$6:$E$26*'VIP Levels'!$E$8*(Inputs!$B$14-1)*(Missions!$H$6:$H$26/30))+SUMPRODUCT((Missions!$F$6:$F$26="Discount")*(Missions!$A$6:$A$26="Diamond")*(Missions!$D$6:$D$26="One-time")*H23*Missions!$E$6:$E$26*'VIP Levels'!$E$9*(Inputs!$B$14-1)*(Missions!$H$6:$H$26/30))+SUMPRODUCT((Missions!$F$6:$F$26="Discount")*(Missions!$A$6:$A$26="Diamond")*(Missions!$D$6:$D$26&lt;&gt;"One-time")*H17*Missions!$E$6:$E$26*'VIP Levels'!$E$9*(Inputs!$B$14-1)*(Missions!$H$6:$H$26/30)),0)</f>
        <v>127</v>
      </c>
      <c r="I11" s="8">
        <f>ROUND(I19*'VIP Levels'!$B$15*'VIP Levels'!$E$5*(Inputs!$B$14-1)*('VIP Levels'!$D$15/30)+I20*'VIP Levels'!$B$16*'VIP Levels'!$E$6*(Inputs!$B$14-1)*('VIP Levels'!$D$16/30)+I21*'VIP Levels'!$B$17*'VIP Levels'!$E$7*(Inputs!$B$14-1)*('VIP Levels'!$D$17/30)+I22*'VIP Levels'!$B$18*'VIP Levels'!$E$8*(Inputs!$B$14-1)*('VIP Levels'!$D$18/30)+I23*'VIP Levels'!$B$19*'VIP Levels'!$E$9*(Inputs!$B$14-1)*('VIP Levels'!$D$19/30)+I19*'VIP Levels'!$B$23*'VIP Levels'!$E$5*(Inputs!$B$14-1)*('VIP Levels'!$D$23/30)+I20*'VIP Levels'!$B$24*'VIP Levels'!$E$6*(Inputs!$B$14-1)*('VIP Levels'!$D$24/30)+I21*'VIP Levels'!$B$25*'VIP Levels'!$E$7*(Inputs!$B$14-1)*('VIP Levels'!$D$25/30)+I22*'VIP Levels'!$B$26*'VIP Levels'!$E$8*(Inputs!$B$14-1)*('VIP Levels'!$D$26/30)+I23*'VIP Levels'!$B$27*'VIP Levels'!$E$9*(Inputs!$B$14-1)*('VIP Levels'!$D$27/30)+SUMPRODUCT((Missions!$F$6:$F$26="Commission Boost")*(Missions!$A$6:$A$26="Bronze")*(Missions!$D$6:$D$26="One-time")*I19*Missions!$E$6:$E$26*'VIP Levels'!$E$5*(Inputs!$B$14-1)*(Missions!$H$6:$H$26/30))+SUMPRODUCT((Missions!$F$6:$F$26="Commission Boost")*(Missions!$A$6:$A$26="Bronze")*(Missions!$D$6:$D$26&lt;&gt;"One-time")*I13*Missions!$E$6:$E$26*'VIP Levels'!$E$5*(Inputs!$B$14-1)*(Missions!$H$6:$H$26/30))+SUMPRODUCT((Missions!$F$6:$F$26="Commission Boost")*(Missions!$A$6:$A$26="Silver")*(Missions!$D$6:$D$26="One-time")*I20*Missions!$E$6:$E$26*'VIP Levels'!$E$6*(Inputs!$B$14-1)*(Missions!$H$6:$H$26/30))+SUMPRODUCT((Missions!$F$6:$F$26="Commission Boost")*(Missions!$A$6:$A$26="Silver")*(Missions!$D$6:$D$26&lt;&gt;"One-time")*I14*Missions!$E$6:$E$26*'VIP Levels'!$E$6*(Inputs!$B$14-1)*(Missions!$H$6:$H$26/30))+SUMPRODUCT((Missions!$F$6:$F$26="Commission Boost")*(Missions!$A$6:$A$26="Gold")*(Missions!$D$6:$D$26="One-time")*I21*Missions!$E$6:$E$26*'VIP Levels'!$E$7*(Inputs!$B$14-1)*(Missions!$H$6:$H$26/30))+SUMPRODUCT((Missions!$F$6:$F$26="Commission Boost")*(Missions!$A$6:$A$26="Gold")*(Missions!$D$6:$D$26&lt;&gt;"One-time")*I15*Missions!$E$6:$E$26*'VIP Levels'!$E$7*(Inputs!$B$14-1)*(Missions!$H$6:$H$26/30))+SUMPRODUCT((Missions!$F$6:$F$26="Commission Boost")*(Missions!$A$6:$A$26="Platinum")*(Missions!$D$6:$D$26="One-time")*I22*Missions!$E$6:$E$26*'VIP Levels'!$E$8*(Inputs!$B$14-1)*(Missions!$H$6:$H$26/30))+SUMPRODUCT((Missions!$F$6:$F$26="Commission Boost")*(Missions!$A$6:$A$26="Platinum")*(Missions!$D$6:$D$26&lt;&gt;"One-time")*I16*Missions!$E$6:$E$26*'VIP Levels'!$E$8*(Inputs!$B$14-1)*(Missions!$H$6:$H$26/30))+SUMPRODUCT((Missions!$F$6:$F$26="Commission Boost")*(Missions!$A$6:$A$26="Diamond")*(Missions!$D$6:$D$26="One-time")*I23*Missions!$E$6:$E$26*'VIP Levels'!$E$9*(Inputs!$B$14-1)*(Missions!$H$6:$H$26/30))+SUMPRODUCT((Missions!$F$6:$F$26="Commission Boost")*(Missions!$A$6:$A$26="Diamond")*(Missions!$D$6:$D$26&lt;&gt;"One-time")*I17*Missions!$E$6:$E$26*'VIP Levels'!$E$9*(Inputs!$B$14-1)*(Missions!$H$6:$H$26/30))+SUMPRODUCT((Missions!$F$6:$F$26="Discount")*(Missions!$A$6:$A$26="Bronze")*(Missions!$D$6:$D$26="One-time")*I19*Missions!$E$6:$E$26*'VIP Levels'!$E$5*(Inputs!$B$14-1)*(Missions!$H$6:$H$26/30))+SUMPRODUCT((Missions!$F$6:$F$26="Discount")*(Missions!$A$6:$A$26="Bronze")*(Missions!$D$6:$D$26&lt;&gt;"One-time")*I13*Missions!$E$6:$E$26*'VIP Levels'!$E$5*(Inputs!$B$14-1)*(Missions!$H$6:$H$26/30))+SUMPRODUCT((Missions!$F$6:$F$26="Discount")*(Missions!$A$6:$A$26="Silver")*(Missions!$D$6:$D$26="One-time")*I20*Missions!$E$6:$E$26*'VIP Levels'!$E$6*(Inputs!$B$14-1)*(Missions!$H$6:$H$26/30))+SUMPRODUCT((Missions!$F$6:$F$26="Discount")*(Missions!$A$6:$A$26="Silver")*(Missions!$D$6:$D$26&lt;&gt;"One-time")*I14*Missions!$E$6:$E$26*'VIP Levels'!$E$6*(Inputs!$B$14-1)*(Missions!$H$6:$H$26/30))+SUMPRODUCT((Missions!$F$6:$F$26="Discount")*(Missions!$A$6:$A$26="Gold")*(Missions!$D$6:$D$26="One-time")*I21*Missions!$E$6:$E$26*'VIP Levels'!$E$7*(Inputs!$B$14-1)*(Missions!$H$6:$H$26/30))+SUMPRODUCT((Missions!$F$6:$F$26="Discount")*(Missions!$A$6:$A$26="Gold")*(Missions!$D$6:$D$26&lt;&gt;"One-time")*I15*Missions!$E$6:$E$26*'VIP Levels'!$E$7*(Inputs!$B$14-1)*(Missions!$H$6:$H$26/30))+SUMPRODUCT((Missions!$F$6:$F$26="Discount")*(Missions!$A$6:$A$26="Platinum")*(Missions!$D$6:$D$26="One-time")*I22*Missions!$E$6:$E$26*'VIP Levels'!$E$8*(Inputs!$B$14-1)*(Missions!$H$6:$H$26/30))+SUMPRODUCT((Missions!$F$6:$F$26="Discount")*(Missions!$A$6:$A$26="Platinum")*(Missions!$D$6:$D$26&lt;&gt;"One-time")*I16*Missions!$E$6:$E$26*'VIP Levels'!$E$8*(Inputs!$B$14-1)*(Missions!$H$6:$H$26/30))+SUMPRODUCT((Missions!$F$6:$F$26="Discount")*(Missions!$A$6:$A$26="Diamond")*(Missions!$D$6:$D$26="One-time")*I23*Missions!$E$6:$E$26*'VIP Levels'!$E$9*(Inputs!$B$14-1)*(Missions!$H$6:$H$26/30))+SUMPRODUCT((Missions!$F$6:$F$26="Discount")*(Missions!$A$6:$A$26="Diamond")*(Missions!$D$6:$D$26&lt;&gt;"One-time")*I17*Missions!$E$6:$E$26*'VIP Levels'!$E$9*(Inputs!$B$14-1)*(Missions!$H$6:$H$26/30)),0)</f>
        <v>183</v>
      </c>
      <c r="J11" s="8">
        <f>ROUND(J19*'VIP Levels'!$B$15*'VIP Levels'!$E$5*(Inputs!$B$14-1)*('VIP Levels'!$D$15/30)+J20*'VIP Levels'!$B$16*'VIP Levels'!$E$6*(Inputs!$B$14-1)*('VIP Levels'!$D$16/30)+J21*'VIP Levels'!$B$17*'VIP Levels'!$E$7*(Inputs!$B$14-1)*('VIP Levels'!$D$17/30)+J22*'VIP Levels'!$B$18*'VIP Levels'!$E$8*(Inputs!$B$14-1)*('VIP Levels'!$D$18/30)+J23*'VIP Levels'!$B$19*'VIP Levels'!$E$9*(Inputs!$B$14-1)*('VIP Levels'!$D$19/30)+J19*'VIP Levels'!$B$23*'VIP Levels'!$E$5*(Inputs!$B$14-1)*('VIP Levels'!$D$23/30)+J20*'VIP Levels'!$B$24*'VIP Levels'!$E$6*(Inputs!$B$14-1)*('VIP Levels'!$D$24/30)+J21*'VIP Levels'!$B$25*'VIP Levels'!$E$7*(Inputs!$B$14-1)*('VIP Levels'!$D$25/30)+J22*'VIP Levels'!$B$26*'VIP Levels'!$E$8*(Inputs!$B$14-1)*('VIP Levels'!$D$26/30)+J23*'VIP Levels'!$B$27*'VIP Levels'!$E$9*(Inputs!$B$14-1)*('VIP Levels'!$D$27/30)+SUMPRODUCT((Missions!$F$6:$F$26="Commission Boost")*(Missions!$A$6:$A$26="Bronze")*(Missions!$D$6:$D$26="One-time")*J19*Missions!$E$6:$E$26*'VIP Levels'!$E$5*(Inputs!$B$14-1)*(Missions!$H$6:$H$26/30))+SUMPRODUCT((Missions!$F$6:$F$26="Commission Boost")*(Missions!$A$6:$A$26="Bronze")*(Missions!$D$6:$D$26&lt;&gt;"One-time")*J13*Missions!$E$6:$E$26*'VIP Levels'!$E$5*(Inputs!$B$14-1)*(Missions!$H$6:$H$26/30))+SUMPRODUCT((Missions!$F$6:$F$26="Commission Boost")*(Missions!$A$6:$A$26="Silver")*(Missions!$D$6:$D$26="One-time")*J20*Missions!$E$6:$E$26*'VIP Levels'!$E$6*(Inputs!$B$14-1)*(Missions!$H$6:$H$26/30))+SUMPRODUCT((Missions!$F$6:$F$26="Commission Boost")*(Missions!$A$6:$A$26="Silver")*(Missions!$D$6:$D$26&lt;&gt;"One-time")*J14*Missions!$E$6:$E$26*'VIP Levels'!$E$6*(Inputs!$B$14-1)*(Missions!$H$6:$H$26/30))+SUMPRODUCT((Missions!$F$6:$F$26="Commission Boost")*(Missions!$A$6:$A$26="Gold")*(Missions!$D$6:$D$26="One-time")*J21*Missions!$E$6:$E$26*'VIP Levels'!$E$7*(Inputs!$B$14-1)*(Missions!$H$6:$H$26/30))+SUMPRODUCT((Missions!$F$6:$F$26="Commission Boost")*(Missions!$A$6:$A$26="Gold")*(Missions!$D$6:$D$26&lt;&gt;"One-time")*J15*Missions!$E$6:$E$26*'VIP Levels'!$E$7*(Inputs!$B$14-1)*(Missions!$H$6:$H$26/30))+SUMPRODUCT((Missions!$F$6:$F$26="Commission Boost")*(Missions!$A$6:$A$26="Platinum")*(Missions!$D$6:$D$26="One-time")*J22*Missions!$E$6:$E$26*'VIP Levels'!$E$8*(Inputs!$B$14-1)*(Missions!$H$6:$H$26/30))+SUMPRODUCT((Missions!$F$6:$F$26="Commission Boost")*(Missions!$A$6:$A$26="Platinum")*(Missions!$D$6:$D$26&lt;&gt;"One-time")*J16*Missions!$E$6:$E$26*'VIP Levels'!$E$8*(Inputs!$B$14-1)*(Missions!$H$6:$H$26/30))+SUMPRODUCT((Missions!$F$6:$F$26="Commission Boost")*(Missions!$A$6:$A$26="Diamond")*(Missions!$D$6:$D$26="One-time")*J23*Missions!$E$6:$E$26*'VIP Levels'!$E$9*(Inputs!$B$14-1)*(Missions!$H$6:$H$26/30))+SUMPRODUCT((Missions!$F$6:$F$26="Commission Boost")*(Missions!$A$6:$A$26="Diamond")*(Missions!$D$6:$D$26&lt;&gt;"One-time")*J17*Missions!$E$6:$E$26*'VIP Levels'!$E$9*(Inputs!$B$14-1)*(Missions!$H$6:$H$26/30))+SUMPRODUCT((Missions!$F$6:$F$26="Discount")*(Missions!$A$6:$A$26="Bronze")*(Missions!$D$6:$D$26="One-time")*J19*Missions!$E$6:$E$26*'VIP Levels'!$E$5*(Inputs!$B$14-1)*(Missions!$H$6:$H$26/30))+SUMPRODUCT((Missions!$F$6:$F$26="Discount")*(Missions!$A$6:$A$26="Bronze")*(Missions!$D$6:$D$26&lt;&gt;"One-time")*J13*Missions!$E$6:$E$26*'VIP Levels'!$E$5*(Inputs!$B$14-1)*(Missions!$H$6:$H$26/30))+SUMPRODUCT((Missions!$F$6:$F$26="Discount")*(Missions!$A$6:$A$26="Silver")*(Missions!$D$6:$D$26="One-time")*J20*Missions!$E$6:$E$26*'VIP Levels'!$E$6*(Inputs!$B$14-1)*(Missions!$H$6:$H$26/30))+SUMPRODUCT((Missions!$F$6:$F$26="Discount")*(Missions!$A$6:$A$26="Silver")*(Missions!$D$6:$D$26&lt;&gt;"One-time")*J14*Missions!$E$6:$E$26*'VIP Levels'!$E$6*(Inputs!$B$14-1)*(Missions!$H$6:$H$26/30))+SUMPRODUCT((Missions!$F$6:$F$26="Discount")*(Missions!$A$6:$A$26="Gold")*(Missions!$D$6:$D$26="One-time")*J21*Missions!$E$6:$E$26*'VIP Levels'!$E$7*(Inputs!$B$14-1)*(Missions!$H$6:$H$26/30))+SUMPRODUCT((Missions!$F$6:$F$26="Discount")*(Missions!$A$6:$A$26="Gold")*(Missions!$D$6:$D$26&lt;&gt;"One-time")*J15*Missions!$E$6:$E$26*'VIP Levels'!$E$7*(Inputs!$B$14-1)*(Missions!$H$6:$H$26/30))+SUMPRODUCT((Missions!$F$6:$F$26="Discount")*(Missions!$A$6:$A$26="Platinum")*(Missions!$D$6:$D$26="One-time")*J22*Missions!$E$6:$E$26*'VIP Levels'!$E$8*(Inputs!$B$14-1)*(Missions!$H$6:$H$26/30))+SUMPRODUCT((Missions!$F$6:$F$26="Discount")*(Missions!$A$6:$A$26="Platinum")*(Missions!$D$6:$D$26&lt;&gt;"One-time")*J16*Missions!$E$6:$E$26*'VIP Levels'!$E$8*(Inputs!$B$14-1)*(Missions!$H$6:$H$26/30))+SUMPRODUCT((Missions!$F$6:$F$26="Discount")*(Missions!$A$6:$A$26="Diamond")*(Missions!$D$6:$D$26="One-time")*J23*Missions!$E$6:$E$26*'VIP Levels'!$E$9*(Inputs!$B$14-1)*(Missions!$H$6:$H$26/30))+SUMPRODUCT((Missions!$F$6:$F$26="Discount")*(Missions!$A$6:$A$26="Diamond")*(Missions!$D$6:$D$26&lt;&gt;"One-time")*J17*Missions!$E$6:$E$26*'VIP Levels'!$E$9*(Inputs!$B$14-1)*(Missions!$H$6:$H$26/30)),0)</f>
        <v>196</v>
      </c>
      <c r="K11" s="8">
        <f>ROUND(K19*'VIP Levels'!$B$15*'VIP Levels'!$E$5*(Inputs!$B$14-1)*('VIP Levels'!$D$15/30)+K20*'VIP Levels'!$B$16*'VIP Levels'!$E$6*(Inputs!$B$14-1)*('VIP Levels'!$D$16/30)+K21*'VIP Levels'!$B$17*'VIP Levels'!$E$7*(Inputs!$B$14-1)*('VIP Levels'!$D$17/30)+K22*'VIP Levels'!$B$18*'VIP Levels'!$E$8*(Inputs!$B$14-1)*('VIP Levels'!$D$18/30)+K23*'VIP Levels'!$B$19*'VIP Levels'!$E$9*(Inputs!$B$14-1)*('VIP Levels'!$D$19/30)+K19*'VIP Levels'!$B$23*'VIP Levels'!$E$5*(Inputs!$B$14-1)*('VIP Levels'!$D$23/30)+K20*'VIP Levels'!$B$24*'VIP Levels'!$E$6*(Inputs!$B$14-1)*('VIP Levels'!$D$24/30)+K21*'VIP Levels'!$B$25*'VIP Levels'!$E$7*(Inputs!$B$14-1)*('VIP Levels'!$D$25/30)+K22*'VIP Levels'!$B$26*'VIP Levels'!$E$8*(Inputs!$B$14-1)*('VIP Levels'!$D$26/30)+K23*'VIP Levels'!$B$27*'VIP Levels'!$E$9*(Inputs!$B$14-1)*('VIP Levels'!$D$27/30)+SUMPRODUCT((Missions!$F$6:$F$26="Commission Boost")*(Missions!$A$6:$A$26="Bronze")*(Missions!$D$6:$D$26="One-time")*K19*Missions!$E$6:$E$26*'VIP Levels'!$E$5*(Inputs!$B$14-1)*(Missions!$H$6:$H$26/30))+SUMPRODUCT((Missions!$F$6:$F$26="Commission Boost")*(Missions!$A$6:$A$26="Bronze")*(Missions!$D$6:$D$26&lt;&gt;"One-time")*K13*Missions!$E$6:$E$26*'VIP Levels'!$E$5*(Inputs!$B$14-1)*(Missions!$H$6:$H$26/30))+SUMPRODUCT((Missions!$F$6:$F$26="Commission Boost")*(Missions!$A$6:$A$26="Silver")*(Missions!$D$6:$D$26="One-time")*K20*Missions!$E$6:$E$26*'VIP Levels'!$E$6*(Inputs!$B$14-1)*(Missions!$H$6:$H$26/30))+SUMPRODUCT((Missions!$F$6:$F$26="Commission Boost")*(Missions!$A$6:$A$26="Silver")*(Missions!$D$6:$D$26&lt;&gt;"One-time")*K14*Missions!$E$6:$E$26*'VIP Levels'!$E$6*(Inputs!$B$14-1)*(Missions!$H$6:$H$26/30))+SUMPRODUCT((Missions!$F$6:$F$26="Commission Boost")*(Missions!$A$6:$A$26="Gold")*(Missions!$D$6:$D$26="One-time")*K21*Missions!$E$6:$E$26*'VIP Levels'!$E$7*(Inputs!$B$14-1)*(Missions!$H$6:$H$26/30))+SUMPRODUCT((Missions!$F$6:$F$26="Commission Boost")*(Missions!$A$6:$A$26="Gold")*(Missions!$D$6:$D$26&lt;&gt;"One-time")*K15*Missions!$E$6:$E$26*'VIP Levels'!$E$7*(Inputs!$B$14-1)*(Missions!$H$6:$H$26/30))+SUMPRODUCT((Missions!$F$6:$F$26="Commission Boost")*(Missions!$A$6:$A$26="Platinum")*(Missions!$D$6:$D$26="One-time")*K22*Missions!$E$6:$E$26*'VIP Levels'!$E$8*(Inputs!$B$14-1)*(Missions!$H$6:$H$26/30))+SUMPRODUCT((Missions!$F$6:$F$26="Commission Boost")*(Missions!$A$6:$A$26="Platinum")*(Missions!$D$6:$D$26&lt;&gt;"One-time")*K16*Missions!$E$6:$E$26*'VIP Levels'!$E$8*(Inputs!$B$14-1)*(Missions!$H$6:$H$26/30))+SUMPRODUCT((Missions!$F$6:$F$26="Commission Boost")*(Missions!$A$6:$A$26="Diamond")*(Missions!$D$6:$D$26="One-time")*K23*Missions!$E$6:$E$26*'VIP Levels'!$E$9*(Inputs!$B$14-1)*(Missions!$H$6:$H$26/30))+SUMPRODUCT((Missions!$F$6:$F$26="Commission Boost")*(Missions!$A$6:$A$26="Diamond")*(Missions!$D$6:$D$26&lt;&gt;"One-time")*K17*Missions!$E$6:$E$26*'VIP Levels'!$E$9*(Inputs!$B$14-1)*(Missions!$H$6:$H$26/30))+SUMPRODUCT((Missions!$F$6:$F$26="Discount")*(Missions!$A$6:$A$26="Bronze")*(Missions!$D$6:$D$26="One-time")*K19*Missions!$E$6:$E$26*'VIP Levels'!$E$5*(Inputs!$B$14-1)*(Missions!$H$6:$H$26/30))+SUMPRODUCT((Missions!$F$6:$F$26="Discount")*(Missions!$A$6:$A$26="Bronze")*(Missions!$D$6:$D$26&lt;&gt;"One-time")*K13*Missions!$E$6:$E$26*'VIP Levels'!$E$5*(Inputs!$B$14-1)*(Missions!$H$6:$H$26/30))+SUMPRODUCT((Missions!$F$6:$F$26="Discount")*(Missions!$A$6:$A$26="Silver")*(Missions!$D$6:$D$26="One-time")*K20*Missions!$E$6:$E$26*'VIP Levels'!$E$6*(Inputs!$B$14-1)*(Missions!$H$6:$H$26/30))+SUMPRODUCT((Missions!$F$6:$F$26="Discount")*(Missions!$A$6:$A$26="Silver")*(Missions!$D$6:$D$26&lt;&gt;"One-time")*K14*Missions!$E$6:$E$26*'VIP Levels'!$E$6*(Inputs!$B$14-1)*(Missions!$H$6:$H$26/30))+SUMPRODUCT((Missions!$F$6:$F$26="Discount")*(Missions!$A$6:$A$26="Gold")*(Missions!$D$6:$D$26="One-time")*K21*Missions!$E$6:$E$26*'VIP Levels'!$E$7*(Inputs!$B$14-1)*(Missions!$H$6:$H$26/30))+SUMPRODUCT((Missions!$F$6:$F$26="Discount")*(Missions!$A$6:$A$26="Gold")*(Missions!$D$6:$D$26&lt;&gt;"One-time")*K15*Missions!$E$6:$E$26*'VIP Levels'!$E$7*(Inputs!$B$14-1)*(Missions!$H$6:$H$26/30))+SUMPRODUCT((Missions!$F$6:$F$26="Discount")*(Missions!$A$6:$A$26="Platinum")*(Missions!$D$6:$D$26="One-time")*K22*Missions!$E$6:$E$26*'VIP Levels'!$E$8*(Inputs!$B$14-1)*(Missions!$H$6:$H$26/30))+SUMPRODUCT((Missions!$F$6:$F$26="Discount")*(Missions!$A$6:$A$26="Platinum")*(Missions!$D$6:$D$26&lt;&gt;"One-time")*K16*Missions!$E$6:$E$26*'VIP Levels'!$E$8*(Inputs!$B$14-1)*(Missions!$H$6:$H$26/30))+SUMPRODUCT((Missions!$F$6:$F$26="Discount")*(Missions!$A$6:$A$26="Diamond")*(Missions!$D$6:$D$26="One-time")*K23*Missions!$E$6:$E$26*'VIP Levels'!$E$9*(Inputs!$B$14-1)*(Missions!$H$6:$H$26/30))+SUMPRODUCT((Missions!$F$6:$F$26="Discount")*(Missions!$A$6:$A$26="Diamond")*(Missions!$D$6:$D$26&lt;&gt;"One-time")*K17*Missions!$E$6:$E$26*'VIP Levels'!$E$9*(Inputs!$B$14-1)*(Missions!$H$6:$H$26/30)),0)</f>
        <v>221</v>
      </c>
      <c r="L11" s="8">
        <f>ROUND(L19*'VIP Levels'!$B$15*'VIP Levels'!$E$5*(Inputs!$B$14-1)*('VIP Levels'!$D$15/30)+L20*'VIP Levels'!$B$16*'VIP Levels'!$E$6*(Inputs!$B$14-1)*('VIP Levels'!$D$16/30)+L21*'VIP Levels'!$B$17*'VIP Levels'!$E$7*(Inputs!$B$14-1)*('VIP Levels'!$D$17/30)+L22*'VIP Levels'!$B$18*'VIP Levels'!$E$8*(Inputs!$B$14-1)*('VIP Levels'!$D$18/30)+L23*'VIP Levels'!$B$19*'VIP Levels'!$E$9*(Inputs!$B$14-1)*('VIP Levels'!$D$19/30)+L19*'VIP Levels'!$B$23*'VIP Levels'!$E$5*(Inputs!$B$14-1)*('VIP Levels'!$D$23/30)+L20*'VIP Levels'!$B$24*'VIP Levels'!$E$6*(Inputs!$B$14-1)*('VIP Levels'!$D$24/30)+L21*'VIP Levels'!$B$25*'VIP Levels'!$E$7*(Inputs!$B$14-1)*('VIP Levels'!$D$25/30)+L22*'VIP Levels'!$B$26*'VIP Levels'!$E$8*(Inputs!$B$14-1)*('VIP Levels'!$D$26/30)+L23*'VIP Levels'!$B$27*'VIP Levels'!$E$9*(Inputs!$B$14-1)*('VIP Levels'!$D$27/30)+SUMPRODUCT((Missions!$F$6:$F$26="Commission Boost")*(Missions!$A$6:$A$26="Bronze")*(Missions!$D$6:$D$26="One-time")*L19*Missions!$E$6:$E$26*'VIP Levels'!$E$5*(Inputs!$B$14-1)*(Missions!$H$6:$H$26/30))+SUMPRODUCT((Missions!$F$6:$F$26="Commission Boost")*(Missions!$A$6:$A$26="Bronze")*(Missions!$D$6:$D$26&lt;&gt;"One-time")*L13*Missions!$E$6:$E$26*'VIP Levels'!$E$5*(Inputs!$B$14-1)*(Missions!$H$6:$H$26/30))+SUMPRODUCT((Missions!$F$6:$F$26="Commission Boost")*(Missions!$A$6:$A$26="Silver")*(Missions!$D$6:$D$26="One-time")*L20*Missions!$E$6:$E$26*'VIP Levels'!$E$6*(Inputs!$B$14-1)*(Missions!$H$6:$H$26/30))+SUMPRODUCT((Missions!$F$6:$F$26="Commission Boost")*(Missions!$A$6:$A$26="Silver")*(Missions!$D$6:$D$26&lt;&gt;"One-time")*L14*Missions!$E$6:$E$26*'VIP Levels'!$E$6*(Inputs!$B$14-1)*(Missions!$H$6:$H$26/30))+SUMPRODUCT((Missions!$F$6:$F$26="Commission Boost")*(Missions!$A$6:$A$26="Gold")*(Missions!$D$6:$D$26="One-time")*L21*Missions!$E$6:$E$26*'VIP Levels'!$E$7*(Inputs!$B$14-1)*(Missions!$H$6:$H$26/30))+SUMPRODUCT((Missions!$F$6:$F$26="Commission Boost")*(Missions!$A$6:$A$26="Gold")*(Missions!$D$6:$D$26&lt;&gt;"One-time")*L15*Missions!$E$6:$E$26*'VIP Levels'!$E$7*(Inputs!$B$14-1)*(Missions!$H$6:$H$26/30))+SUMPRODUCT((Missions!$F$6:$F$26="Commission Boost")*(Missions!$A$6:$A$26="Platinum")*(Missions!$D$6:$D$26="One-time")*L22*Missions!$E$6:$E$26*'VIP Levels'!$E$8*(Inputs!$B$14-1)*(Missions!$H$6:$H$26/30))+SUMPRODUCT((Missions!$F$6:$F$26="Commission Boost")*(Missions!$A$6:$A$26="Platinum")*(Missions!$D$6:$D$26&lt;&gt;"One-time")*L16*Missions!$E$6:$E$26*'VIP Levels'!$E$8*(Inputs!$B$14-1)*(Missions!$H$6:$H$26/30))+SUMPRODUCT((Missions!$F$6:$F$26="Commission Boost")*(Missions!$A$6:$A$26="Diamond")*(Missions!$D$6:$D$26="One-time")*L23*Missions!$E$6:$E$26*'VIP Levels'!$E$9*(Inputs!$B$14-1)*(Missions!$H$6:$H$26/30))+SUMPRODUCT((Missions!$F$6:$F$26="Commission Boost")*(Missions!$A$6:$A$26="Diamond")*(Missions!$D$6:$D$26&lt;&gt;"One-time")*L17*Missions!$E$6:$E$26*'VIP Levels'!$E$9*(Inputs!$B$14-1)*(Missions!$H$6:$H$26/30))+SUMPRODUCT((Missions!$F$6:$F$26="Discount")*(Missions!$A$6:$A$26="Bronze")*(Missions!$D$6:$D$26="One-time")*L19*Missions!$E$6:$E$26*'VIP Levels'!$E$5*(Inputs!$B$14-1)*(Missions!$H$6:$H$26/30))+SUMPRODUCT((Missions!$F$6:$F$26="Discount")*(Missions!$A$6:$A$26="Bronze")*(Missions!$D$6:$D$26&lt;&gt;"One-time")*L13*Missions!$E$6:$E$26*'VIP Levels'!$E$5*(Inputs!$B$14-1)*(Missions!$H$6:$H$26/30))+SUMPRODUCT((Missions!$F$6:$F$26="Discount")*(Missions!$A$6:$A$26="Silver")*(Missions!$D$6:$D$26="One-time")*L20*Missions!$E$6:$E$26*'VIP Levels'!$E$6*(Inputs!$B$14-1)*(Missions!$H$6:$H$26/30))+SUMPRODUCT((Missions!$F$6:$F$26="Discount")*(Missions!$A$6:$A$26="Silver")*(Missions!$D$6:$D$26&lt;&gt;"One-time")*L14*Missions!$E$6:$E$26*'VIP Levels'!$E$6*(Inputs!$B$14-1)*(Missions!$H$6:$H$26/30))+SUMPRODUCT((Missions!$F$6:$F$26="Discount")*(Missions!$A$6:$A$26="Gold")*(Missions!$D$6:$D$26="One-time")*L21*Missions!$E$6:$E$26*'VIP Levels'!$E$7*(Inputs!$B$14-1)*(Missions!$H$6:$H$26/30))+SUMPRODUCT((Missions!$F$6:$F$26="Discount")*(Missions!$A$6:$A$26="Gold")*(Missions!$D$6:$D$26&lt;&gt;"One-time")*L15*Missions!$E$6:$E$26*'VIP Levels'!$E$7*(Inputs!$B$14-1)*(Missions!$H$6:$H$26/30))+SUMPRODUCT((Missions!$F$6:$F$26="Discount")*(Missions!$A$6:$A$26="Platinum")*(Missions!$D$6:$D$26="One-time")*L22*Missions!$E$6:$E$26*'VIP Levels'!$E$8*(Inputs!$B$14-1)*(Missions!$H$6:$H$26/30))+SUMPRODUCT((Missions!$F$6:$F$26="Discount")*(Missions!$A$6:$A$26="Platinum")*(Missions!$D$6:$D$26&lt;&gt;"One-time")*L16*Missions!$E$6:$E$26*'VIP Levels'!$E$8*(Inputs!$B$14-1)*(Missions!$H$6:$H$26/30))+SUMPRODUCT((Missions!$F$6:$F$26="Discount")*(Missions!$A$6:$A$26="Diamond")*(Missions!$D$6:$D$26="One-time")*L23*Missions!$E$6:$E$26*'VIP Levels'!$E$9*(Inputs!$B$14-1)*(Missions!$H$6:$H$26/30))+SUMPRODUCT((Missions!$F$6:$F$26="Discount")*(Missions!$A$6:$A$26="Diamond")*(Missions!$D$6:$D$26&lt;&gt;"One-time")*L17*Missions!$E$6:$E$26*'VIP Levels'!$E$9*(Inputs!$B$14-1)*(Missions!$H$6:$H$26/30)),0)</f>
        <v>223</v>
      </c>
      <c r="M11" s="8">
        <f>ROUND(M19*'VIP Levels'!$B$15*'VIP Levels'!$E$5*(Inputs!$B$14-1)*('VIP Levels'!$D$15/30)+M20*'VIP Levels'!$B$16*'VIP Levels'!$E$6*(Inputs!$B$14-1)*('VIP Levels'!$D$16/30)+M21*'VIP Levels'!$B$17*'VIP Levels'!$E$7*(Inputs!$B$14-1)*('VIP Levels'!$D$17/30)+M22*'VIP Levels'!$B$18*'VIP Levels'!$E$8*(Inputs!$B$14-1)*('VIP Levels'!$D$18/30)+M23*'VIP Levels'!$B$19*'VIP Levels'!$E$9*(Inputs!$B$14-1)*('VIP Levels'!$D$19/30)+M19*'VIP Levels'!$B$23*'VIP Levels'!$E$5*(Inputs!$B$14-1)*('VIP Levels'!$D$23/30)+M20*'VIP Levels'!$B$24*'VIP Levels'!$E$6*(Inputs!$B$14-1)*('VIP Levels'!$D$24/30)+M21*'VIP Levels'!$B$25*'VIP Levels'!$E$7*(Inputs!$B$14-1)*('VIP Levels'!$D$25/30)+M22*'VIP Levels'!$B$26*'VIP Levels'!$E$8*(Inputs!$B$14-1)*('VIP Levels'!$D$26/30)+M23*'VIP Levels'!$B$27*'VIP Levels'!$E$9*(Inputs!$B$14-1)*('VIP Levels'!$D$27/30)+SUMPRODUCT((Missions!$F$6:$F$26="Commission Boost")*(Missions!$A$6:$A$26="Bronze")*(Missions!$D$6:$D$26="One-time")*M19*Missions!$E$6:$E$26*'VIP Levels'!$E$5*(Inputs!$B$14-1)*(Missions!$H$6:$H$26/30))+SUMPRODUCT((Missions!$F$6:$F$26="Commission Boost")*(Missions!$A$6:$A$26="Bronze")*(Missions!$D$6:$D$26&lt;&gt;"One-time")*M13*Missions!$E$6:$E$26*'VIP Levels'!$E$5*(Inputs!$B$14-1)*(Missions!$H$6:$H$26/30))+SUMPRODUCT((Missions!$F$6:$F$26="Commission Boost")*(Missions!$A$6:$A$26="Silver")*(Missions!$D$6:$D$26="One-time")*M20*Missions!$E$6:$E$26*'VIP Levels'!$E$6*(Inputs!$B$14-1)*(Missions!$H$6:$H$26/30))+SUMPRODUCT((Missions!$F$6:$F$26="Commission Boost")*(Missions!$A$6:$A$26="Silver")*(Missions!$D$6:$D$26&lt;&gt;"One-time")*M14*Missions!$E$6:$E$26*'VIP Levels'!$E$6*(Inputs!$B$14-1)*(Missions!$H$6:$H$26/30))+SUMPRODUCT((Missions!$F$6:$F$26="Commission Boost")*(Missions!$A$6:$A$26="Gold")*(Missions!$D$6:$D$26="One-time")*M21*Missions!$E$6:$E$26*'VIP Levels'!$E$7*(Inputs!$B$14-1)*(Missions!$H$6:$H$26/30))+SUMPRODUCT((Missions!$F$6:$F$26="Commission Boost")*(Missions!$A$6:$A$26="Gold")*(Missions!$D$6:$D$26&lt;&gt;"One-time")*M15*Missions!$E$6:$E$26*'VIP Levels'!$E$7*(Inputs!$B$14-1)*(Missions!$H$6:$H$26/30))+SUMPRODUCT((Missions!$F$6:$F$26="Commission Boost")*(Missions!$A$6:$A$26="Platinum")*(Missions!$D$6:$D$26="One-time")*M22*Missions!$E$6:$E$26*'VIP Levels'!$E$8*(Inputs!$B$14-1)*(Missions!$H$6:$H$26/30))+SUMPRODUCT((Missions!$F$6:$F$26="Commission Boost")*(Missions!$A$6:$A$26="Platinum")*(Missions!$D$6:$D$26&lt;&gt;"One-time")*M16*Missions!$E$6:$E$26*'VIP Levels'!$E$8*(Inputs!$B$14-1)*(Missions!$H$6:$H$26/30))+SUMPRODUCT((Missions!$F$6:$F$26="Commission Boost")*(Missions!$A$6:$A$26="Diamond")*(Missions!$D$6:$D$26="One-time")*M23*Missions!$E$6:$E$26*'VIP Levels'!$E$9*(Inputs!$B$14-1)*(Missions!$H$6:$H$26/30))+SUMPRODUCT((Missions!$F$6:$F$26="Commission Boost")*(Missions!$A$6:$A$26="Diamond")*(Missions!$D$6:$D$26&lt;&gt;"One-time")*M17*Missions!$E$6:$E$26*'VIP Levels'!$E$9*(Inputs!$B$14-1)*(Missions!$H$6:$H$26/30))+SUMPRODUCT((Missions!$F$6:$F$26="Discount")*(Missions!$A$6:$A$26="Bronze")*(Missions!$D$6:$D$26="One-time")*M19*Missions!$E$6:$E$26*'VIP Levels'!$E$5*(Inputs!$B$14-1)*(Missions!$H$6:$H$26/30))+SUMPRODUCT((Missions!$F$6:$F$26="Discount")*(Missions!$A$6:$A$26="Bronze")*(Missions!$D$6:$D$26&lt;&gt;"One-time")*M13*Missions!$E$6:$E$26*'VIP Levels'!$E$5*(Inputs!$B$14-1)*(Missions!$H$6:$H$26/30))+SUMPRODUCT((Missions!$F$6:$F$26="Discount")*(Missions!$A$6:$A$26="Silver")*(Missions!$D$6:$D$26="One-time")*M20*Missions!$E$6:$E$26*'VIP Levels'!$E$6*(Inputs!$B$14-1)*(Missions!$H$6:$H$26/30))+SUMPRODUCT((Missions!$F$6:$F$26="Discount")*(Missions!$A$6:$A$26="Silver")*(Missions!$D$6:$D$26&lt;&gt;"One-time")*M14*Missions!$E$6:$E$26*'VIP Levels'!$E$6*(Inputs!$B$14-1)*(Missions!$H$6:$H$26/30))+SUMPRODUCT((Missions!$F$6:$F$26="Discount")*(Missions!$A$6:$A$26="Gold")*(Missions!$D$6:$D$26="One-time")*M21*Missions!$E$6:$E$26*'VIP Levels'!$E$7*(Inputs!$B$14-1)*(Missions!$H$6:$H$26/30))+SUMPRODUCT((Missions!$F$6:$F$26="Discount")*(Missions!$A$6:$A$26="Gold")*(Missions!$D$6:$D$26&lt;&gt;"One-time")*M15*Missions!$E$6:$E$26*'VIP Levels'!$E$7*(Inputs!$B$14-1)*(Missions!$H$6:$H$26/30))+SUMPRODUCT((Missions!$F$6:$F$26="Discount")*(Missions!$A$6:$A$26="Platinum")*(Missions!$D$6:$D$26="One-time")*M22*Missions!$E$6:$E$26*'VIP Levels'!$E$8*(Inputs!$B$14-1)*(Missions!$H$6:$H$26/30))+SUMPRODUCT((Missions!$F$6:$F$26="Discount")*(Missions!$A$6:$A$26="Platinum")*(Missions!$D$6:$D$26&lt;&gt;"One-time")*M16*Missions!$E$6:$E$26*'VIP Levels'!$E$8*(Inputs!$B$14-1)*(Missions!$H$6:$H$26/30))+SUMPRODUCT((Missions!$F$6:$F$26="Discount")*(Missions!$A$6:$A$26="Diamond")*(Missions!$D$6:$D$26="One-time")*M23*Missions!$E$6:$E$26*'VIP Levels'!$E$9*(Inputs!$B$14-1)*(Missions!$H$6:$H$26/30))+SUMPRODUCT((Missions!$F$6:$F$26="Discount")*(Missions!$A$6:$A$26="Diamond")*(Missions!$D$6:$D$26&lt;&gt;"One-time")*M17*Missions!$E$6:$E$26*'VIP Levels'!$E$9*(Inputs!$B$14-1)*(Missions!$H$6:$H$26/30)),0)</f>
        <v>259</v>
      </c>
    </row>
    <row r="12" spans="1:17" ht="18.75" customHeight="1" x14ac:dyDescent="0.3">
      <c r="A12" s="1" t="s">
        <v>108</v>
      </c>
    </row>
    <row r="13" spans="1:17" ht="18.75" customHeight="1" x14ac:dyDescent="0.25">
      <c r="A13" s="9" t="s">
        <v>109</v>
      </c>
      <c r="B13" s="8">
        <f>ROUND(B8*Inputs!G$6,0)</f>
        <v>101</v>
      </c>
      <c r="C13" s="8">
        <f>ROUND(C8*Inputs!H$6,0)</f>
        <v>156</v>
      </c>
      <c r="D13" s="8">
        <f>ROUND(D8*Inputs!I$6,0)</f>
        <v>206</v>
      </c>
      <c r="E13" s="8">
        <f>ROUND(E8*Inputs!J$6,0)</f>
        <v>249</v>
      </c>
      <c r="F13" s="8">
        <f>ROUND(F8*Inputs!K$6,0)</f>
        <v>252</v>
      </c>
      <c r="G13" s="8">
        <f>ROUND(G8*Inputs!L$6,0)</f>
        <v>267</v>
      </c>
      <c r="H13" s="8">
        <f>ROUND(H8*Inputs!M$6,0)</f>
        <v>311</v>
      </c>
      <c r="I13" s="8">
        <f>ROUND(I8*Inputs!N$6,0)</f>
        <v>309</v>
      </c>
      <c r="J13" s="8">
        <f>ROUND(J8*Inputs!O$6,0)</f>
        <v>347</v>
      </c>
      <c r="K13" s="8">
        <f>ROUND(K8*Inputs!P$6,0)</f>
        <v>385</v>
      </c>
      <c r="L13" s="8">
        <f>ROUND(L8*Inputs!Q$6,0)</f>
        <v>423</v>
      </c>
      <c r="M13" s="8">
        <f>ROUND(M8*Inputs!R$6,0)</f>
        <v>461</v>
      </c>
    </row>
    <row r="14" spans="1:17" x14ac:dyDescent="0.25">
      <c r="A14" s="9" t="s">
        <v>110</v>
      </c>
      <c r="B14" s="8">
        <f>ROUND(B8*Inputs!G$7,0)</f>
        <v>3</v>
      </c>
      <c r="C14" s="8">
        <f>ROUND(C8*Inputs!H$7,0)</f>
        <v>18</v>
      </c>
      <c r="D14" s="8">
        <f>ROUND(D8*Inputs!I$7,0)</f>
        <v>40</v>
      </c>
      <c r="E14" s="8">
        <f>ROUND(E8*Inputs!J$7,0)</f>
        <v>72</v>
      </c>
      <c r="F14" s="8">
        <f>ROUND(F8*Inputs!K$7,0)</f>
        <v>144</v>
      </c>
      <c r="G14" s="8">
        <f>ROUND(G8*Inputs!L$7,0)</f>
        <v>206</v>
      </c>
      <c r="H14" s="8">
        <f>ROUND(H8*Inputs!M$7,0)</f>
        <v>239</v>
      </c>
      <c r="I14" s="8">
        <f>ROUND(I8*Inputs!N$7,0)</f>
        <v>302</v>
      </c>
      <c r="J14" s="8">
        <f>ROUND(J8*Inputs!O$7,0)</f>
        <v>321</v>
      </c>
      <c r="K14" s="8">
        <f>ROUND(K8*Inputs!P$7,0)</f>
        <v>335</v>
      </c>
      <c r="L14" s="8">
        <f>ROUND(L8*Inputs!Q$7,0)</f>
        <v>357</v>
      </c>
      <c r="M14" s="8">
        <f>ROUND(M8*Inputs!R$7,0)</f>
        <v>364</v>
      </c>
    </row>
    <row r="15" spans="1:17" x14ac:dyDescent="0.25">
      <c r="A15" s="9" t="s">
        <v>111</v>
      </c>
      <c r="B15" s="8">
        <f>ROUND(B8*Inputs!G$8,0)</f>
        <v>0</v>
      </c>
      <c r="C15" s="8">
        <f>ROUND(C8*Inputs!H$8,0)</f>
        <v>1</v>
      </c>
      <c r="D15" s="8">
        <f>ROUND(D8*Inputs!I$8,0)</f>
        <v>2</v>
      </c>
      <c r="E15" s="8">
        <f>ROUND(E8*Inputs!J$8,0)</f>
        <v>7</v>
      </c>
      <c r="F15" s="8">
        <f>ROUND(F8*Inputs!K$8,0)</f>
        <v>11</v>
      </c>
      <c r="G15" s="8">
        <f>ROUND(G8*Inputs!L$8,0)</f>
        <v>9</v>
      </c>
      <c r="H15" s="8">
        <f>ROUND(H8*Inputs!M$8,0)</f>
        <v>7</v>
      </c>
      <c r="I15" s="8">
        <f>ROUND(I8*Inputs!N$8,0)</f>
        <v>21</v>
      </c>
      <c r="J15" s="8">
        <f>ROUND(J8*Inputs!O$8,0)</f>
        <v>40</v>
      </c>
      <c r="K15" s="8">
        <f>ROUND(K8*Inputs!P$8,0)</f>
        <v>62</v>
      </c>
      <c r="L15" s="8">
        <f>ROUND(L8*Inputs!Q$8,0)</f>
        <v>79</v>
      </c>
      <c r="M15" s="8">
        <f>ROUND(M8*Inputs!R$8,0)</f>
        <v>111</v>
      </c>
    </row>
    <row r="16" spans="1:17" x14ac:dyDescent="0.25">
      <c r="A16" s="9" t="s">
        <v>112</v>
      </c>
      <c r="B16" s="8">
        <f>ROUND(B8*Inputs!G$9,0)</f>
        <v>0</v>
      </c>
      <c r="C16" s="8">
        <f>ROUND(C8*Inputs!H$9,0)</f>
        <v>1</v>
      </c>
      <c r="D16" s="8">
        <f>ROUND(D8*Inputs!I$9,0)</f>
        <v>2</v>
      </c>
      <c r="E16" s="8">
        <f>ROUND(E8*Inputs!J$9,0)</f>
        <v>2</v>
      </c>
      <c r="F16" s="8">
        <f>ROUND(F8*Inputs!K$9,0)</f>
        <v>3</v>
      </c>
      <c r="G16" s="8">
        <f>ROUND(G8*Inputs!L$9,0)</f>
        <v>8</v>
      </c>
      <c r="H16" s="8">
        <f>ROUND(H8*Inputs!M$9,0)</f>
        <v>13</v>
      </c>
      <c r="I16" s="8">
        <f>ROUND(I8*Inputs!N$9,0)</f>
        <v>18</v>
      </c>
      <c r="J16" s="8">
        <f>ROUND(J8*Inputs!O$9,0)</f>
        <v>23</v>
      </c>
      <c r="K16" s="8">
        <f>ROUND(K8*Inputs!P$9,0)</f>
        <v>28</v>
      </c>
      <c r="L16" s="8">
        <f>ROUND(L8*Inputs!Q$9,0)</f>
        <v>31</v>
      </c>
      <c r="M16" s="8">
        <f>ROUND(M8*Inputs!R$9,0)</f>
        <v>34</v>
      </c>
    </row>
    <row r="17" spans="1:13" x14ac:dyDescent="0.25">
      <c r="A17" s="9" t="s">
        <v>113</v>
      </c>
      <c r="B17" s="8">
        <f>ROUND(B8*Inputs!G$10,0)</f>
        <v>0</v>
      </c>
      <c r="C17" s="8">
        <f>ROUND(C8*Inputs!G$10,0)</f>
        <v>0</v>
      </c>
      <c r="D17" s="8">
        <f>ROUND(D8*Inputs!G$10,0)</f>
        <v>0</v>
      </c>
      <c r="E17" s="8">
        <f>ROUND(E8*Inputs!G$10,0)</f>
        <v>0</v>
      </c>
      <c r="F17" s="8">
        <f>ROUND(F8*Inputs!G$10,0)</f>
        <v>0</v>
      </c>
      <c r="G17" s="8">
        <f>ROUND(G8*Inputs!G$10,0)</f>
        <v>0</v>
      </c>
      <c r="H17" s="8">
        <f>ROUND(H8*Inputs!G$10,0)</f>
        <v>0</v>
      </c>
      <c r="I17" s="8">
        <f>ROUND(I8*Inputs!G$10,0)</f>
        <v>0</v>
      </c>
      <c r="J17" s="8">
        <f>ROUND(J8*Inputs!G$10,0)</f>
        <v>0</v>
      </c>
      <c r="K17" s="8">
        <f>ROUND(K8*Inputs!G$10,0)</f>
        <v>0</v>
      </c>
      <c r="L17" s="8">
        <f>ROUND(L8*Inputs!G$10,0)</f>
        <v>0</v>
      </c>
      <c r="M17" s="8">
        <f>ROUND(M8*Inputs!G$10,0)</f>
        <v>0</v>
      </c>
    </row>
    <row r="18" spans="1:13" ht="18.75" customHeight="1" x14ac:dyDescent="0.3">
      <c r="A18" s="1" t="s">
        <v>114</v>
      </c>
    </row>
    <row r="19" spans="1:13" ht="18.75" customHeight="1" x14ac:dyDescent="0.25">
      <c r="A19" s="12" t="s">
        <v>115</v>
      </c>
      <c r="B19" s="8">
        <f t="shared" ref="B19:M19" si="4">B7</f>
        <v>105</v>
      </c>
      <c r="C19" s="8">
        <f t="shared" si="4"/>
        <v>70</v>
      </c>
      <c r="D19" s="8">
        <f t="shared" si="4"/>
        <v>75</v>
      </c>
      <c r="E19" s="8">
        <f t="shared" si="4"/>
        <v>80</v>
      </c>
      <c r="F19" s="8">
        <f t="shared" si="4"/>
        <v>80</v>
      </c>
      <c r="G19" s="8">
        <f t="shared" si="4"/>
        <v>80</v>
      </c>
      <c r="H19" s="8">
        <f t="shared" si="4"/>
        <v>80</v>
      </c>
      <c r="I19" s="8">
        <f t="shared" si="4"/>
        <v>80</v>
      </c>
      <c r="J19" s="8">
        <f t="shared" si="4"/>
        <v>80</v>
      </c>
      <c r="K19" s="8">
        <f t="shared" si="4"/>
        <v>80</v>
      </c>
      <c r="L19" s="8">
        <f t="shared" si="4"/>
        <v>80</v>
      </c>
      <c r="M19" s="8">
        <f t="shared" si="4"/>
        <v>80</v>
      </c>
    </row>
    <row r="20" spans="1:13" x14ac:dyDescent="0.25">
      <c r="A20" s="12" t="s">
        <v>116</v>
      </c>
      <c r="B20" s="8">
        <f>B14</f>
        <v>3</v>
      </c>
      <c r="C20" s="8">
        <f t="shared" ref="C20:M20" si="5">MAX(0,C14-B14)</f>
        <v>15</v>
      </c>
      <c r="D20" s="8">
        <f t="shared" si="5"/>
        <v>22</v>
      </c>
      <c r="E20" s="8">
        <f t="shared" si="5"/>
        <v>32</v>
      </c>
      <c r="F20" s="8">
        <f t="shared" si="5"/>
        <v>72</v>
      </c>
      <c r="G20" s="8">
        <f t="shared" si="5"/>
        <v>62</v>
      </c>
      <c r="H20" s="8">
        <f t="shared" si="5"/>
        <v>33</v>
      </c>
      <c r="I20" s="8">
        <f t="shared" si="5"/>
        <v>63</v>
      </c>
      <c r="J20" s="8">
        <f t="shared" si="5"/>
        <v>19</v>
      </c>
      <c r="K20" s="8">
        <f t="shared" si="5"/>
        <v>14</v>
      </c>
      <c r="L20" s="8">
        <f t="shared" si="5"/>
        <v>22</v>
      </c>
      <c r="M20" s="8">
        <f t="shared" si="5"/>
        <v>7</v>
      </c>
    </row>
    <row r="21" spans="1:13" ht="18.75" customHeight="1" x14ac:dyDescent="0.25">
      <c r="A21" s="12" t="s">
        <v>117</v>
      </c>
      <c r="B21" s="8">
        <f>B15</f>
        <v>0</v>
      </c>
      <c r="C21" s="8">
        <f t="shared" ref="C21:M21" si="6">MAX(0,C15-B15)</f>
        <v>1</v>
      </c>
      <c r="D21" s="8">
        <f t="shared" si="6"/>
        <v>1</v>
      </c>
      <c r="E21" s="8">
        <f t="shared" si="6"/>
        <v>5</v>
      </c>
      <c r="F21" s="8">
        <f t="shared" si="6"/>
        <v>4</v>
      </c>
      <c r="G21" s="8">
        <f t="shared" si="6"/>
        <v>0</v>
      </c>
      <c r="H21" s="8">
        <f t="shared" si="6"/>
        <v>0</v>
      </c>
      <c r="I21" s="8">
        <f t="shared" si="6"/>
        <v>14</v>
      </c>
      <c r="J21" s="8">
        <f t="shared" si="6"/>
        <v>19</v>
      </c>
      <c r="K21" s="8">
        <f t="shared" si="6"/>
        <v>22</v>
      </c>
      <c r="L21" s="8">
        <f t="shared" si="6"/>
        <v>17</v>
      </c>
      <c r="M21" s="8">
        <f t="shared" si="6"/>
        <v>32</v>
      </c>
    </row>
    <row r="22" spans="1:13" x14ac:dyDescent="0.25">
      <c r="A22" s="12" t="s">
        <v>118</v>
      </c>
      <c r="B22" s="8">
        <f>B16</f>
        <v>0</v>
      </c>
      <c r="C22" s="8">
        <f t="shared" ref="C22:M22" si="7">MAX(0,C16-B16)</f>
        <v>1</v>
      </c>
      <c r="D22" s="8">
        <f t="shared" si="7"/>
        <v>1</v>
      </c>
      <c r="E22" s="8">
        <f t="shared" si="7"/>
        <v>0</v>
      </c>
      <c r="F22" s="8">
        <f t="shared" si="7"/>
        <v>1</v>
      </c>
      <c r="G22" s="8">
        <f t="shared" si="7"/>
        <v>5</v>
      </c>
      <c r="H22" s="8">
        <f t="shared" si="7"/>
        <v>5</v>
      </c>
      <c r="I22" s="8">
        <f t="shared" si="7"/>
        <v>5</v>
      </c>
      <c r="J22" s="8">
        <f t="shared" si="7"/>
        <v>5</v>
      </c>
      <c r="K22" s="8">
        <f t="shared" si="7"/>
        <v>5</v>
      </c>
      <c r="L22" s="8">
        <f t="shared" si="7"/>
        <v>3</v>
      </c>
      <c r="M22" s="8">
        <f t="shared" si="7"/>
        <v>3</v>
      </c>
    </row>
    <row r="23" spans="1:13" x14ac:dyDescent="0.25">
      <c r="A23" s="12" t="s">
        <v>119</v>
      </c>
      <c r="B23" s="8">
        <f>B17</f>
        <v>0</v>
      </c>
      <c r="C23" s="8">
        <f t="shared" ref="C23:M23" si="8">MAX(0,C17-B17)</f>
        <v>0</v>
      </c>
      <c r="D23" s="8">
        <f t="shared" si="8"/>
        <v>0</v>
      </c>
      <c r="E23" s="8">
        <f t="shared" si="8"/>
        <v>0</v>
      </c>
      <c r="F23" s="8">
        <f t="shared" si="8"/>
        <v>0</v>
      </c>
      <c r="G23" s="8">
        <f t="shared" si="8"/>
        <v>0</v>
      </c>
      <c r="H23" s="8">
        <f t="shared" si="8"/>
        <v>0</v>
      </c>
      <c r="I23" s="8">
        <f t="shared" si="8"/>
        <v>0</v>
      </c>
      <c r="J23" s="8">
        <f t="shared" si="8"/>
        <v>0</v>
      </c>
      <c r="K23" s="8">
        <f t="shared" si="8"/>
        <v>0</v>
      </c>
      <c r="L23" s="8">
        <f t="shared" si="8"/>
        <v>0</v>
      </c>
      <c r="M23" s="8">
        <f t="shared" si="8"/>
        <v>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8"/>
  <sheetViews>
    <sheetView workbookViewId="0">
      <selection activeCell="D19" sqref="D19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233" t="s">
        <v>120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x14ac:dyDescent="0.25">
      <c r="A4" s="9" t="s">
        <v>121</v>
      </c>
      <c r="B4" s="8">
        <f>'Affiliate Projection'!B9</f>
        <v>69</v>
      </c>
      <c r="C4" s="8">
        <f>'Affiliate Projection'!C9</f>
        <v>203</v>
      </c>
      <c r="D4" s="8">
        <f>'Affiliate Projection'!D9</f>
        <v>351</v>
      </c>
      <c r="E4" s="8">
        <f>'Affiliate Projection'!E9</f>
        <v>530</v>
      </c>
      <c r="F4" s="8">
        <f>'Affiliate Projection'!F9</f>
        <v>872</v>
      </c>
      <c r="G4" s="8">
        <f>'Affiliate Projection'!G9</f>
        <v>1273</v>
      </c>
      <c r="H4" s="8">
        <f>'Affiliate Projection'!H9</f>
        <v>1558</v>
      </c>
      <c r="I4" s="8">
        <f>'Affiliate Projection'!I9</f>
        <v>2100</v>
      </c>
      <c r="J4" s="8">
        <f>'Affiliate Projection'!J9</f>
        <v>2516</v>
      </c>
      <c r="K4" s="8">
        <f>'Affiliate Projection'!K9</f>
        <v>2951</v>
      </c>
      <c r="L4" s="8">
        <f>'Affiliate Projection'!L9</f>
        <v>3283</v>
      </c>
      <c r="M4" s="8">
        <f>'Affiliate Projection'!M9</f>
        <v>3723</v>
      </c>
    </row>
    <row r="5" spans="1:14" x14ac:dyDescent="0.25">
      <c r="A5" s="9" t="s">
        <v>36</v>
      </c>
      <c r="B5" s="7">
        <f>Inputs!$B$12</f>
        <v>40</v>
      </c>
      <c r="C5" s="7">
        <f>Inputs!$B$12</f>
        <v>40</v>
      </c>
      <c r="D5" s="7">
        <f>Inputs!$B$12</f>
        <v>40</v>
      </c>
      <c r="E5" s="7">
        <f>Inputs!$B$12</f>
        <v>40</v>
      </c>
      <c r="F5" s="7">
        <f>Inputs!$B$12</f>
        <v>40</v>
      </c>
      <c r="G5" s="7">
        <f>Inputs!$B$12</f>
        <v>40</v>
      </c>
      <c r="H5" s="7">
        <f>Inputs!$B$12</f>
        <v>40</v>
      </c>
      <c r="I5" s="7">
        <f>Inputs!$B$12</f>
        <v>40</v>
      </c>
      <c r="J5" s="7">
        <f>Inputs!$B$12</f>
        <v>40</v>
      </c>
      <c r="K5" s="7">
        <f>Inputs!$B$12</f>
        <v>40</v>
      </c>
      <c r="L5" s="7">
        <f>Inputs!$B$12</f>
        <v>40</v>
      </c>
      <c r="M5" s="7">
        <f>Inputs!$B$12</f>
        <v>40</v>
      </c>
    </row>
    <row r="6" spans="1:14" x14ac:dyDescent="0.25">
      <c r="A6" s="9" t="s">
        <v>122</v>
      </c>
      <c r="B6" s="10">
        <f t="shared" ref="B6:M6" si="0">B4*B5</f>
        <v>2760</v>
      </c>
      <c r="C6" s="10">
        <f t="shared" si="0"/>
        <v>8120</v>
      </c>
      <c r="D6" s="10">
        <f t="shared" si="0"/>
        <v>14040</v>
      </c>
      <c r="E6" s="10">
        <f t="shared" si="0"/>
        <v>21200</v>
      </c>
      <c r="F6" s="10">
        <f t="shared" si="0"/>
        <v>34880</v>
      </c>
      <c r="G6" s="10">
        <f t="shared" si="0"/>
        <v>50920</v>
      </c>
      <c r="H6" s="10">
        <f t="shared" si="0"/>
        <v>62320</v>
      </c>
      <c r="I6" s="10">
        <f t="shared" si="0"/>
        <v>84000</v>
      </c>
      <c r="J6" s="10">
        <f t="shared" si="0"/>
        <v>100640</v>
      </c>
      <c r="K6" s="10">
        <f t="shared" si="0"/>
        <v>118040</v>
      </c>
      <c r="L6" s="10">
        <f t="shared" si="0"/>
        <v>131320</v>
      </c>
      <c r="M6" s="10">
        <f t="shared" si="0"/>
        <v>148920</v>
      </c>
    </row>
    <row r="7" spans="1:14" x14ac:dyDescent="0.25">
      <c r="A7" s="9" t="s">
        <v>123</v>
      </c>
      <c r="B7" s="7">
        <f t="shared" ref="B7:M7" si="1">B5</f>
        <v>40</v>
      </c>
      <c r="C7" s="7">
        <f t="shared" si="1"/>
        <v>40</v>
      </c>
      <c r="D7" s="7">
        <f t="shared" si="1"/>
        <v>40</v>
      </c>
      <c r="E7" s="7">
        <f t="shared" si="1"/>
        <v>40</v>
      </c>
      <c r="F7" s="7">
        <f t="shared" si="1"/>
        <v>40</v>
      </c>
      <c r="G7" s="7">
        <f t="shared" si="1"/>
        <v>40</v>
      </c>
      <c r="H7" s="7">
        <f t="shared" si="1"/>
        <v>40</v>
      </c>
      <c r="I7" s="7">
        <f t="shared" si="1"/>
        <v>40</v>
      </c>
      <c r="J7" s="7">
        <f t="shared" si="1"/>
        <v>40</v>
      </c>
      <c r="K7" s="7">
        <f t="shared" si="1"/>
        <v>40</v>
      </c>
      <c r="L7" s="7">
        <f t="shared" si="1"/>
        <v>40</v>
      </c>
      <c r="M7" s="7">
        <f t="shared" si="1"/>
        <v>40</v>
      </c>
    </row>
    <row r="8" spans="1:14" x14ac:dyDescent="0.25">
      <c r="A8" s="9" t="s">
        <v>124</v>
      </c>
      <c r="B8" s="10">
        <f t="shared" ref="B8:M8" si="2">B4*B7</f>
        <v>2760</v>
      </c>
      <c r="C8" s="10">
        <f t="shared" si="2"/>
        <v>8120</v>
      </c>
      <c r="D8" s="10">
        <f t="shared" si="2"/>
        <v>14040</v>
      </c>
      <c r="E8" s="10">
        <f t="shared" si="2"/>
        <v>21200</v>
      </c>
      <c r="F8" s="10">
        <f t="shared" si="2"/>
        <v>34880</v>
      </c>
      <c r="G8" s="10">
        <f t="shared" si="2"/>
        <v>50920</v>
      </c>
      <c r="H8" s="10">
        <f t="shared" si="2"/>
        <v>62320</v>
      </c>
      <c r="I8" s="10">
        <f t="shared" si="2"/>
        <v>84000</v>
      </c>
      <c r="J8" s="10">
        <f t="shared" si="2"/>
        <v>100640</v>
      </c>
      <c r="K8" s="10">
        <f t="shared" si="2"/>
        <v>118040</v>
      </c>
      <c r="L8" s="10">
        <f t="shared" si="2"/>
        <v>131320</v>
      </c>
      <c r="M8" s="10">
        <f t="shared" si="2"/>
        <v>148920</v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0"/>
  <sheetViews>
    <sheetView workbookViewId="0">
      <selection activeCell="C20" sqref="C20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233" t="s">
        <v>125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ht="18.75" customHeight="1" x14ac:dyDescent="0.3">
      <c r="A4" s="1" t="s">
        <v>126</v>
      </c>
    </row>
    <row r="5" spans="1:14" x14ac:dyDescent="0.25">
      <c r="A5" s="9" t="s">
        <v>127</v>
      </c>
      <c r="B5" s="10">
        <f>Revenue!B8*SUMPRODUCT('VIP Levels'!$D$5:$D$9,Inputs!G$6:G$10)</f>
        <v>551.99999999999977</v>
      </c>
      <c r="C5" s="10">
        <f>Revenue!C8*SUMPRODUCT('VIP Levels'!$D$5:$D$9,Inputs!H$6:H$10)</f>
        <v>1623.9999999999991</v>
      </c>
      <c r="D5" s="10">
        <f>Revenue!D8*SUMPRODUCT('VIP Levels'!$D$5:$D$9,Inputs!I$6:I$10)</f>
        <v>2807.9999999999991</v>
      </c>
      <c r="E5" s="10">
        <f>Revenue!E8*SUMPRODUCT('VIP Levels'!$D$5:$D$9,Inputs!J$6:J$10)</f>
        <v>4240</v>
      </c>
      <c r="F5" s="10">
        <f>Revenue!F8*SUMPRODUCT('VIP Levels'!$D$5:$D$9,Inputs!K$6:K$10)</f>
        <v>6976</v>
      </c>
      <c r="G5" s="10">
        <f>Revenue!G8*SUMPRODUCT('VIP Levels'!$D$5:$D$9,Inputs!L$6:L$10)</f>
        <v>10184.000000000004</v>
      </c>
      <c r="H5" s="10">
        <f>Revenue!H8*SUMPRODUCT('VIP Levels'!$D$5:$D$9,Inputs!M$6:M$10)</f>
        <v>12464.000000000004</v>
      </c>
      <c r="I5" s="10">
        <f>Revenue!I8*SUMPRODUCT('VIP Levels'!$D$5:$D$9,Inputs!N$6:N$10)</f>
        <v>16800.000000000007</v>
      </c>
      <c r="J5" s="10">
        <f>Revenue!J8*SUMPRODUCT('VIP Levels'!$D$5:$D$9,Inputs!O$6:O$10)</f>
        <v>20128.000000000007</v>
      </c>
      <c r="K5" s="10">
        <f>Revenue!K8*SUMPRODUCT('VIP Levels'!$D$5:$D$9,Inputs!P$6:P$10)</f>
        <v>23608</v>
      </c>
      <c r="L5" s="10">
        <f>Revenue!L8*SUMPRODUCT('VIP Levels'!$D$5:$D$9,Inputs!Q$6:Q$10)</f>
        <v>26264.000000000004</v>
      </c>
      <c r="M5" s="10">
        <f>Revenue!M8*SUMPRODUCT('VIP Levels'!$D$5:$D$9,Inputs!R$6:R$10)</f>
        <v>29784</v>
      </c>
    </row>
    <row r="6" spans="1:14" x14ac:dyDescent="0.25">
      <c r="A6" s="9" t="s">
        <v>128</v>
      </c>
      <c r="B6" s="10">
        <f>'Affiliate Projection'!B19*'VIP Levels'!$B$15*'VIP Levels'!$E$5*Inputs!$B$14*('VIP Levels'!$D$15/30)*'VIP Levels'!$C$15*Revenue!B7+'Affiliate Projection'!B20*'VIP Levels'!$B$16*'VIP Levels'!$E$6*Inputs!$B$14*('VIP Levels'!$D$16/30)*'VIP Levels'!$C$16*Revenue!B7+'Affiliate Projection'!B21*'VIP Levels'!$B$17*'VIP Levels'!$E$7*Inputs!$B$14*('VIP Levels'!$D$17/30)*'VIP Levels'!$C$17*Revenue!B7+'Affiliate Projection'!B22*'VIP Levels'!$B$18*'VIP Levels'!$E$8*Inputs!$B$14*('VIP Levels'!$D$18/30)*'VIP Levels'!$C$18*Revenue!B7+'Affiliate Projection'!B23*'VIP Levels'!$B$19*'VIP Levels'!$E$9*Inputs!$B$14*('VIP Levels'!$D$19/30)*'VIP Levels'!$C$19*Revenue!B7</f>
        <v>10.295999999999999</v>
      </c>
      <c r="C6" s="10">
        <f>'Affiliate Projection'!C19*'VIP Levels'!$B$15*'VIP Levels'!$E$5*Inputs!$B$14*('VIP Levels'!$D$15/30)*'VIP Levels'!$C$15*Revenue!C7+'Affiliate Projection'!C20*'VIP Levels'!$B$16*'VIP Levels'!$E$6*Inputs!$B$14*('VIP Levels'!$D$16/30)*'VIP Levels'!$C$16*Revenue!C7+'Affiliate Projection'!C21*'VIP Levels'!$B$17*'VIP Levels'!$E$7*Inputs!$B$14*('VIP Levels'!$D$17/30)*'VIP Levels'!$C$17*Revenue!C7+'Affiliate Projection'!C22*'VIP Levels'!$B$18*'VIP Levels'!$E$8*Inputs!$B$14*('VIP Levels'!$D$18/30)*'VIP Levels'!$C$18*Revenue!C7+'Affiliate Projection'!C23*'VIP Levels'!$B$19*'VIP Levels'!$E$9*Inputs!$B$14*('VIP Levels'!$D$19/30)*'VIP Levels'!$C$19*Revenue!C7</f>
        <v>271.57866666666666</v>
      </c>
      <c r="D6" s="10">
        <f>'Affiliate Projection'!D19*'VIP Levels'!$B$15*'VIP Levels'!$E$5*Inputs!$B$14*('VIP Levels'!$D$15/30)*'VIP Levels'!$C$15*Revenue!D7+'Affiliate Projection'!D20*'VIP Levels'!$B$16*'VIP Levels'!$E$6*Inputs!$B$14*('VIP Levels'!$D$16/30)*'VIP Levels'!$C$16*Revenue!D7+'Affiliate Projection'!D21*'VIP Levels'!$B$17*'VIP Levels'!$E$7*Inputs!$B$14*('VIP Levels'!$D$17/30)*'VIP Levels'!$C$17*Revenue!D7+'Affiliate Projection'!D22*'VIP Levels'!$B$18*'VIP Levels'!$E$8*Inputs!$B$14*('VIP Levels'!$D$18/30)*'VIP Levels'!$C$18*Revenue!D7+'Affiliate Projection'!D23*'VIP Levels'!$B$19*'VIP Levels'!$E$9*Inputs!$B$14*('VIP Levels'!$D$19/30)*'VIP Levels'!$C$19*Revenue!D7</f>
        <v>295.60266666666666</v>
      </c>
      <c r="E6" s="10">
        <f>'Affiliate Projection'!E19*'VIP Levels'!$B$15*'VIP Levels'!$E$5*Inputs!$B$14*('VIP Levels'!$D$15/30)*'VIP Levels'!$C$15*Revenue!E7+'Affiliate Projection'!E20*'VIP Levels'!$B$16*'VIP Levels'!$E$6*Inputs!$B$14*('VIP Levels'!$D$16/30)*'VIP Levels'!$C$16*Revenue!E7+'Affiliate Projection'!E21*'VIP Levels'!$B$17*'VIP Levels'!$E$7*Inputs!$B$14*('VIP Levels'!$D$17/30)*'VIP Levels'!$C$17*Revenue!E7+'Affiliate Projection'!E22*'VIP Levels'!$B$18*'VIP Levels'!$E$8*Inputs!$B$14*('VIP Levels'!$D$18/30)*'VIP Levels'!$C$18*Revenue!E7+'Affiliate Projection'!E23*'VIP Levels'!$B$19*'VIP Levels'!$E$9*Inputs!$B$14*('VIP Levels'!$D$19/30)*'VIP Levels'!$C$19*Revenue!E7</f>
        <v>209.31733333333335</v>
      </c>
      <c r="F6" s="10">
        <f>'Affiliate Projection'!F19*'VIP Levels'!$B$15*'VIP Levels'!$E$5*Inputs!$B$14*('VIP Levels'!$D$15/30)*'VIP Levels'!$C$15*Revenue!F7+'Affiliate Projection'!F20*'VIP Levels'!$B$16*'VIP Levels'!$E$6*Inputs!$B$14*('VIP Levels'!$D$16/30)*'VIP Levels'!$C$16*Revenue!F7+'Affiliate Projection'!F21*'VIP Levels'!$B$17*'VIP Levels'!$E$7*Inputs!$B$14*('VIP Levels'!$D$17/30)*'VIP Levels'!$C$17*Revenue!F7+'Affiliate Projection'!F22*'VIP Levels'!$B$18*'VIP Levels'!$E$8*Inputs!$B$14*('VIP Levels'!$D$18/30)*'VIP Levels'!$C$18*Revenue!F7+'Affiliate Projection'!F23*'VIP Levels'!$B$19*'VIP Levels'!$E$9*Inputs!$B$14*('VIP Levels'!$D$19/30)*'VIP Levels'!$C$19*Revenue!F7</f>
        <v>526.89866666666671</v>
      </c>
      <c r="G6" s="10">
        <f>'Affiliate Projection'!G19*'VIP Levels'!$B$15*'VIP Levels'!$E$5*Inputs!$B$14*('VIP Levels'!$D$15/30)*'VIP Levels'!$C$15*Revenue!G7+'Affiliate Projection'!G20*'VIP Levels'!$B$16*'VIP Levels'!$E$6*Inputs!$B$14*('VIP Levels'!$D$16/30)*'VIP Levels'!$C$16*Revenue!G7+'Affiliate Projection'!G21*'VIP Levels'!$B$17*'VIP Levels'!$E$7*Inputs!$B$14*('VIP Levels'!$D$17/30)*'VIP Levels'!$C$17*Revenue!G7+'Affiliate Projection'!G22*'VIP Levels'!$B$18*'VIP Levels'!$E$8*Inputs!$B$14*('VIP Levels'!$D$18/30)*'VIP Levels'!$C$18*Revenue!G7+'Affiliate Projection'!G23*'VIP Levels'!$B$19*'VIP Levels'!$E$9*Inputs!$B$14*('VIP Levels'!$D$19/30)*'VIP Levels'!$C$19*Revenue!G7</f>
        <v>1213.7840000000001</v>
      </c>
      <c r="H6" s="10">
        <f>'Affiliate Projection'!H19*'VIP Levels'!$B$15*'VIP Levels'!$E$5*Inputs!$B$14*('VIP Levels'!$D$15/30)*'VIP Levels'!$C$15*Revenue!H7+'Affiliate Projection'!H20*'VIP Levels'!$B$16*'VIP Levels'!$E$6*Inputs!$B$14*('VIP Levels'!$D$16/30)*'VIP Levels'!$C$16*Revenue!H7+'Affiliate Projection'!H21*'VIP Levels'!$B$17*'VIP Levels'!$E$7*Inputs!$B$14*('VIP Levels'!$D$17/30)*'VIP Levels'!$C$17*Revenue!H7+'Affiliate Projection'!H22*'VIP Levels'!$B$18*'VIP Levels'!$E$8*Inputs!$B$14*('VIP Levels'!$D$18/30)*'VIP Levels'!$C$18*Revenue!H7+'Affiliate Projection'!H23*'VIP Levels'!$B$19*'VIP Levels'!$E$9*Inputs!$B$14*('VIP Levels'!$D$19/30)*'VIP Levels'!$C$19*Revenue!H7</f>
        <v>1114.2560000000001</v>
      </c>
      <c r="I6" s="10">
        <f>'Affiliate Projection'!I19*'VIP Levels'!$B$15*'VIP Levels'!$E$5*Inputs!$B$14*('VIP Levels'!$D$15/30)*'VIP Levels'!$C$15*Revenue!I7+'Affiliate Projection'!I20*'VIP Levels'!$B$16*'VIP Levels'!$E$6*Inputs!$B$14*('VIP Levels'!$D$16/30)*'VIP Levels'!$C$16*Revenue!I7+'Affiliate Projection'!I21*'VIP Levels'!$B$17*'VIP Levels'!$E$7*Inputs!$B$14*('VIP Levels'!$D$17/30)*'VIP Levels'!$C$17*Revenue!I7+'Affiliate Projection'!I22*'VIP Levels'!$B$18*'VIP Levels'!$E$8*Inputs!$B$14*('VIP Levels'!$D$18/30)*'VIP Levels'!$C$18*Revenue!I7+'Affiliate Projection'!I23*'VIP Levels'!$B$19*'VIP Levels'!$E$9*Inputs!$B$14*('VIP Levels'!$D$19/30)*'VIP Levels'!$C$19*Revenue!I7</f>
        <v>1495.7973333333334</v>
      </c>
      <c r="J6" s="10">
        <f>'Affiliate Projection'!J19*'VIP Levels'!$B$15*'VIP Levels'!$E$5*Inputs!$B$14*('VIP Levels'!$D$15/30)*'VIP Levels'!$C$15*Revenue!J7+'Affiliate Projection'!J20*'VIP Levels'!$B$16*'VIP Levels'!$E$6*Inputs!$B$14*('VIP Levels'!$D$16/30)*'VIP Levels'!$C$16*Revenue!J7+'Affiliate Projection'!J21*'VIP Levels'!$B$17*'VIP Levels'!$E$7*Inputs!$B$14*('VIP Levels'!$D$17/30)*'VIP Levels'!$C$17*Revenue!J7+'Affiliate Projection'!J22*'VIP Levels'!$B$18*'VIP Levels'!$E$8*Inputs!$B$14*('VIP Levels'!$D$18/30)*'VIP Levels'!$C$18*Revenue!J7+'Affiliate Projection'!J23*'VIP Levels'!$B$19*'VIP Levels'!$E$9*Inputs!$B$14*('VIP Levels'!$D$19/30)*'VIP Levels'!$C$19*Revenue!J7</f>
        <v>1444.2826666666667</v>
      </c>
      <c r="K6" s="10">
        <f>'Affiliate Projection'!K19*'VIP Levels'!$B$15*'VIP Levels'!$E$5*Inputs!$B$14*('VIP Levels'!$D$15/30)*'VIP Levels'!$C$15*Revenue!K7+'Affiliate Projection'!K20*'VIP Levels'!$B$16*'VIP Levels'!$E$6*Inputs!$B$14*('VIP Levels'!$D$16/30)*'VIP Levels'!$C$16*Revenue!K7+'Affiliate Projection'!K21*'VIP Levels'!$B$17*'VIP Levels'!$E$7*Inputs!$B$14*('VIP Levels'!$D$17/30)*'VIP Levels'!$C$17*Revenue!K7+'Affiliate Projection'!K22*'VIP Levels'!$B$18*'VIP Levels'!$E$8*Inputs!$B$14*('VIP Levels'!$D$18/30)*'VIP Levels'!$C$18*Revenue!K7+'Affiliate Projection'!K23*'VIP Levels'!$B$19*'VIP Levels'!$E$9*Inputs!$B$14*('VIP Levels'!$D$19/30)*'VIP Levels'!$C$19*Revenue!K7</f>
        <v>1486.8186666666668</v>
      </c>
      <c r="L6" s="10">
        <f>'Affiliate Projection'!L19*'VIP Levels'!$B$15*'VIP Levels'!$E$5*Inputs!$B$14*('VIP Levels'!$D$15/30)*'VIP Levels'!$C$15*Revenue!L7+'Affiliate Projection'!L20*'VIP Levels'!$B$16*'VIP Levels'!$E$6*Inputs!$B$14*('VIP Levels'!$D$16/30)*'VIP Levels'!$C$16*Revenue!L7+'Affiliate Projection'!L21*'VIP Levels'!$B$17*'VIP Levels'!$E$7*Inputs!$B$14*('VIP Levels'!$D$17/30)*'VIP Levels'!$C$17*Revenue!L7+'Affiliate Projection'!L22*'VIP Levels'!$B$18*'VIP Levels'!$E$8*Inputs!$B$14*('VIP Levels'!$D$18/30)*'VIP Levels'!$C$18*Revenue!L7+'Affiliate Projection'!L23*'VIP Levels'!$B$19*'VIP Levels'!$E$9*Inputs!$B$14*('VIP Levels'!$D$19/30)*'VIP Levels'!$C$19*Revenue!L7</f>
        <v>1014.3813333333334</v>
      </c>
      <c r="M6" s="10">
        <f>'Affiliate Projection'!M19*'VIP Levels'!$B$15*'VIP Levels'!$E$5*Inputs!$B$14*('VIP Levels'!$D$15/30)*'VIP Levels'!$C$15*Revenue!M7+'Affiliate Projection'!M20*'VIP Levels'!$B$16*'VIP Levels'!$E$6*Inputs!$B$14*('VIP Levels'!$D$16/30)*'VIP Levels'!$C$16*Revenue!M7+'Affiliate Projection'!M21*'VIP Levels'!$B$17*'VIP Levels'!$E$7*Inputs!$B$14*('VIP Levels'!$D$17/30)*'VIP Levels'!$C$17*Revenue!M7+'Affiliate Projection'!M22*'VIP Levels'!$B$18*'VIP Levels'!$E$8*Inputs!$B$14*('VIP Levels'!$D$18/30)*'VIP Levels'!$C$18*Revenue!M7+'Affiliate Projection'!M23*'VIP Levels'!$B$19*'VIP Levels'!$E$9*Inputs!$B$14*('VIP Levels'!$D$19/30)*'VIP Levels'!$C$19*Revenue!M7</f>
        <v>1261.3813333333337</v>
      </c>
    </row>
    <row r="7" spans="1:14" x14ac:dyDescent="0.25">
      <c r="A7" s="9" t="s">
        <v>129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28.828799999999994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873.5029333333332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1785.4442666666664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2232.2421333333332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3708.2378666666655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7611.6767999999993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11236.437333333331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15595.216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19670.462933333329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23781.23626666666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26484.251733333331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29460.995199999994</v>
      </c>
    </row>
    <row r="8" spans="1:14" x14ac:dyDescent="0.25">
      <c r="A8" s="22" t="s">
        <v>130</v>
      </c>
      <c r="B8" s="23">
        <f>'Affiliate Projection'!B19*'VIP Levels'!$B$23*'VIP Levels'!$E$5*Inputs!$B$14*('VIP Levels'!$D$23/30)*'VIP Levels'!$C$23*Inputs!$B$12+'Affiliate Projection'!B20*'VIP Levels'!$B$24*'VIP Levels'!$E$6*Inputs!$B$14*('VIP Levels'!$D$24/30)*'VIP Levels'!$C$24*Inputs!$B$12+'Affiliate Projection'!B21*'VIP Levels'!$B$25*'VIP Levels'!$E$7*Inputs!$B$14*('VIP Levels'!$D$25/30)*'VIP Levels'!$C$25*Inputs!$B$12+'Affiliate Projection'!B22*'VIP Levels'!$B$26*'VIP Levels'!$E$8*Inputs!$B$14*('VIP Levels'!$D$26/30)*'VIP Levels'!$C$26*Inputs!$B$12+'Affiliate Projection'!B23*'VIP Levels'!$B$27*'VIP Levels'!$E$9*Inputs!$B$14*('VIP Levels'!$D$27/30)*'VIP Levels'!$C$27*Inputs!$B$12</f>
        <v>113.568</v>
      </c>
      <c r="C8" s="23">
        <f>'Affiliate Projection'!C19*'VIP Levels'!$B$23*'VIP Levels'!$E$5*Inputs!$B$14*('VIP Levels'!$D$23/30)*'VIP Levels'!$C$23*Inputs!$B$12+'Affiliate Projection'!C20*'VIP Levels'!$B$24*'VIP Levels'!$E$6*Inputs!$B$14*('VIP Levels'!$D$24/30)*'VIP Levels'!$C$24*Inputs!$B$12+'Affiliate Projection'!C21*'VIP Levels'!$B$25*'VIP Levels'!$E$7*Inputs!$B$14*('VIP Levels'!$D$25/30)*'VIP Levels'!$C$25*Inputs!$B$12+'Affiliate Projection'!C22*'VIP Levels'!$B$26*'VIP Levels'!$E$8*Inputs!$B$14*('VIP Levels'!$D$26/30)*'VIP Levels'!$C$26*Inputs!$B$12+'Affiliate Projection'!C23*'VIP Levels'!$B$27*'VIP Levels'!$E$9*Inputs!$B$14*('VIP Levels'!$D$27/30)*'VIP Levels'!$C$27*Inputs!$B$12</f>
        <v>253.76866666666669</v>
      </c>
      <c r="D8" s="23">
        <f>'Affiliate Projection'!D19*'VIP Levels'!$B$23*'VIP Levels'!$E$5*Inputs!$B$14*('VIP Levels'!$D$23/30)*'VIP Levels'!$C$23*Inputs!$B$12+'Affiliate Projection'!D20*'VIP Levels'!$B$24*'VIP Levels'!$E$6*Inputs!$B$14*('VIP Levels'!$D$24/30)*'VIP Levels'!$C$24*Inputs!$B$12+'Affiliate Projection'!D21*'VIP Levels'!$B$25*'VIP Levels'!$E$7*Inputs!$B$14*('VIP Levels'!$D$25/30)*'VIP Levels'!$C$25*Inputs!$B$12+'Affiliate Projection'!D22*'VIP Levels'!$B$26*'VIP Levels'!$E$8*Inputs!$B$14*('VIP Levels'!$D$26/30)*'VIP Levels'!$C$26*Inputs!$B$12+'Affiliate Projection'!D23*'VIP Levels'!$B$27*'VIP Levels'!$E$9*Inputs!$B$14*('VIP Levels'!$D$27/30)*'VIP Levels'!$C$27*Inputs!$B$12</f>
        <v>300.3606666666667</v>
      </c>
      <c r="E8" s="23">
        <f>'Affiliate Projection'!E19*'VIP Levels'!$B$23*'VIP Levels'!$E$5*Inputs!$B$14*('VIP Levels'!$D$23/30)*'VIP Levels'!$C$23*Inputs!$B$12+'Affiliate Projection'!E20*'VIP Levels'!$B$24*'VIP Levels'!$E$6*Inputs!$B$14*('VIP Levels'!$D$24/30)*'VIP Levels'!$C$24*Inputs!$B$12+'Affiliate Projection'!E21*'VIP Levels'!$B$25*'VIP Levels'!$E$7*Inputs!$B$14*('VIP Levels'!$D$25/30)*'VIP Levels'!$C$25*Inputs!$B$12+'Affiliate Projection'!E22*'VIP Levels'!$B$26*'VIP Levels'!$E$8*Inputs!$B$14*('VIP Levels'!$D$26/30)*'VIP Levels'!$C$26*Inputs!$B$12+'Affiliate Projection'!E23*'VIP Levels'!$B$27*'VIP Levels'!$E$9*Inputs!$B$14*('VIP Levels'!$D$27/30)*'VIP Levels'!$C$27*Inputs!$B$12</f>
        <v>364.48533333333336</v>
      </c>
      <c r="F8" s="23">
        <f>'Affiliate Projection'!F19*'VIP Levels'!$B$23*'VIP Levels'!$E$5*Inputs!$B$14*('VIP Levels'!$D$23/30)*'VIP Levels'!$C$23*Inputs!$B$12+'Affiliate Projection'!F20*'VIP Levels'!$B$24*'VIP Levels'!$E$6*Inputs!$B$14*('VIP Levels'!$D$24/30)*'VIP Levels'!$C$24*Inputs!$B$12+'Affiliate Projection'!F21*'VIP Levels'!$B$25*'VIP Levels'!$E$7*Inputs!$B$14*('VIP Levels'!$D$25/30)*'VIP Levels'!$C$25*Inputs!$B$12+'Affiliate Projection'!F22*'VIP Levels'!$B$26*'VIP Levels'!$E$8*Inputs!$B$14*('VIP Levels'!$D$26/30)*'VIP Levels'!$C$26*Inputs!$B$12+'Affiliate Projection'!F23*'VIP Levels'!$B$27*'VIP Levels'!$E$9*Inputs!$B$14*('VIP Levels'!$D$27/30)*'VIP Levels'!$C$27*Inputs!$B$12</f>
        <v>664.90666666666675</v>
      </c>
      <c r="G8" s="23">
        <f>'Affiliate Projection'!G19*'VIP Levels'!$B$23*'VIP Levels'!$E$5*Inputs!$B$14*('VIP Levels'!$D$23/30)*'VIP Levels'!$C$23*Inputs!$B$12+'Affiliate Projection'!G20*'VIP Levels'!$B$24*'VIP Levels'!$E$6*Inputs!$B$14*('VIP Levels'!$D$24/30)*'VIP Levels'!$C$24*Inputs!$B$12+'Affiliate Projection'!G21*'VIP Levels'!$B$25*'VIP Levels'!$E$7*Inputs!$B$14*('VIP Levels'!$D$25/30)*'VIP Levels'!$C$25*Inputs!$B$12+'Affiliate Projection'!G22*'VIP Levels'!$B$26*'VIP Levels'!$E$8*Inputs!$B$14*('VIP Levels'!$D$26/30)*'VIP Levels'!$C$26*Inputs!$B$12+'Affiliate Projection'!G23*'VIP Levels'!$B$27*'VIP Levels'!$E$9*Inputs!$B$14*('VIP Levels'!$D$27/30)*'VIP Levels'!$C$27*Inputs!$B$12</f>
        <v>845.57200000000012</v>
      </c>
      <c r="H8" s="23">
        <f>'Affiliate Projection'!H19*'VIP Levels'!$B$23*'VIP Levels'!$E$5*Inputs!$B$14*('VIP Levels'!$D$23/30)*'VIP Levels'!$C$23*Inputs!$B$12+'Affiliate Projection'!H20*'VIP Levels'!$B$24*'VIP Levels'!$E$6*Inputs!$B$14*('VIP Levels'!$D$24/30)*'VIP Levels'!$C$24*Inputs!$B$12+'Affiliate Projection'!H21*'VIP Levels'!$B$25*'VIP Levels'!$E$7*Inputs!$B$14*('VIP Levels'!$D$25/30)*'VIP Levels'!$C$25*Inputs!$B$12+'Affiliate Projection'!H22*'VIP Levels'!$B$26*'VIP Levels'!$E$8*Inputs!$B$14*('VIP Levels'!$D$26/30)*'VIP Levels'!$C$26*Inputs!$B$12+'Affiliate Projection'!H23*'VIP Levels'!$B$27*'VIP Levels'!$E$9*Inputs!$B$14*('VIP Levels'!$D$27/30)*'VIP Levels'!$C$27*Inputs!$B$12</f>
        <v>671.39800000000014</v>
      </c>
      <c r="I8" s="23">
        <f>'Affiliate Projection'!I19*'VIP Levels'!$B$23*'VIP Levels'!$E$5*Inputs!$B$14*('VIP Levels'!$D$23/30)*'VIP Levels'!$C$23*Inputs!$B$12+'Affiliate Projection'!I20*'VIP Levels'!$B$24*'VIP Levels'!$E$6*Inputs!$B$14*('VIP Levels'!$D$24/30)*'VIP Levels'!$C$24*Inputs!$B$12+'Affiliate Projection'!I21*'VIP Levels'!$B$25*'VIP Levels'!$E$7*Inputs!$B$14*('VIP Levels'!$D$25/30)*'VIP Levels'!$C$25*Inputs!$B$12+'Affiliate Projection'!I22*'VIP Levels'!$B$26*'VIP Levels'!$E$8*Inputs!$B$14*('VIP Levels'!$D$26/30)*'VIP Levels'!$C$26*Inputs!$B$12+'Affiliate Projection'!I23*'VIP Levels'!$B$27*'VIP Levels'!$E$9*Inputs!$B$14*('VIP Levels'!$D$27/30)*'VIP Levels'!$C$27*Inputs!$B$12</f>
        <v>1130.1593333333333</v>
      </c>
      <c r="J8" s="23">
        <f>'Affiliate Projection'!J19*'VIP Levels'!$B$23*'VIP Levels'!$E$5*Inputs!$B$14*('VIP Levels'!$D$23/30)*'VIP Levels'!$C$23*Inputs!$B$12+'Affiliate Projection'!J20*'VIP Levels'!$B$24*'VIP Levels'!$E$6*Inputs!$B$14*('VIP Levels'!$D$24/30)*'VIP Levels'!$C$24*Inputs!$B$12+'Affiliate Projection'!J21*'VIP Levels'!$B$25*'VIP Levels'!$E$7*Inputs!$B$14*('VIP Levels'!$D$25/30)*'VIP Levels'!$C$25*Inputs!$B$12+'Affiliate Projection'!J22*'VIP Levels'!$B$26*'VIP Levels'!$E$8*Inputs!$B$14*('VIP Levels'!$D$26/30)*'VIP Levels'!$C$26*Inputs!$B$12+'Affiliate Projection'!J23*'VIP Levels'!$B$27*'VIP Levels'!$E$9*Inputs!$B$14*('VIP Levels'!$D$27/30)*'VIP Levels'!$C$27*Inputs!$B$12</f>
        <v>965.38866666666672</v>
      </c>
      <c r="K8" s="23">
        <f>'Affiliate Projection'!K19*'VIP Levels'!$B$23*'VIP Levels'!$E$5*Inputs!$B$14*('VIP Levels'!$D$23/30)*'VIP Levels'!$C$23*Inputs!$B$12+'Affiliate Projection'!K20*'VIP Levels'!$B$24*'VIP Levels'!$E$6*Inputs!$B$14*('VIP Levels'!$D$24/30)*'VIP Levels'!$C$24*Inputs!$B$12+'Affiliate Projection'!K21*'VIP Levels'!$B$25*'VIP Levels'!$E$7*Inputs!$B$14*('VIP Levels'!$D$25/30)*'VIP Levels'!$C$25*Inputs!$B$12+'Affiliate Projection'!K22*'VIP Levels'!$B$26*'VIP Levels'!$E$8*Inputs!$B$14*('VIP Levels'!$D$26/30)*'VIP Levels'!$C$26*Inputs!$B$12+'Affiliate Projection'!K23*'VIP Levels'!$B$27*'VIP Levels'!$E$9*Inputs!$B$14*('VIP Levels'!$D$27/30)*'VIP Levels'!$C$27*Inputs!$B$12</f>
        <v>995.05466666666666</v>
      </c>
      <c r="L8" s="23">
        <f>'Affiliate Projection'!L19*'VIP Levels'!$B$23*'VIP Levels'!$E$5*Inputs!$B$14*('VIP Levels'!$D$23/30)*'VIP Levels'!$C$23*Inputs!$B$12+'Affiliate Projection'!L20*'VIP Levels'!$B$24*'VIP Levels'!$E$6*Inputs!$B$14*('VIP Levels'!$D$24/30)*'VIP Levels'!$C$24*Inputs!$B$12+'Affiliate Projection'!L21*'VIP Levels'!$B$25*'VIP Levels'!$E$7*Inputs!$B$14*('VIP Levels'!$D$25/30)*'VIP Levels'!$C$25*Inputs!$B$12+'Affiliate Projection'!L22*'VIP Levels'!$B$26*'VIP Levels'!$E$8*Inputs!$B$14*('VIP Levels'!$D$26/30)*'VIP Levels'!$C$26*Inputs!$B$12+'Affiliate Projection'!L23*'VIP Levels'!$B$27*'VIP Levels'!$E$9*Inputs!$B$14*('VIP Levels'!$D$27/30)*'VIP Levels'!$C$27*Inputs!$B$12</f>
        <v>783.44933333333324</v>
      </c>
      <c r="M8" s="23">
        <f>'Affiliate Projection'!M19*'VIP Levels'!$B$23*'VIP Levels'!$E$5*Inputs!$B$14*('VIP Levels'!$D$23/30)*'VIP Levels'!$C$23*Inputs!$B$12+'Affiliate Projection'!M20*'VIP Levels'!$B$24*'VIP Levels'!$E$6*Inputs!$B$14*('VIP Levels'!$D$24/30)*'VIP Levels'!$C$24*Inputs!$B$12+'Affiliate Projection'!M21*'VIP Levels'!$B$25*'VIP Levels'!$E$7*Inputs!$B$14*('VIP Levels'!$D$25/30)*'VIP Levels'!$C$25*Inputs!$B$12+'Affiliate Projection'!M22*'VIP Levels'!$B$26*'VIP Levels'!$E$8*Inputs!$B$14*('VIP Levels'!$D$26/30)*'VIP Levels'!$C$26*Inputs!$B$12+'Affiliate Projection'!M23*'VIP Levels'!$B$27*'VIP Levels'!$E$9*Inputs!$B$14*('VIP Levels'!$D$27/30)*'VIP Levels'!$C$27*Inputs!$B$12</f>
        <v>991.83933333333346</v>
      </c>
    </row>
    <row r="9" spans="1:14" x14ac:dyDescent="0.25">
      <c r="A9" s="12" t="s">
        <v>131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102.4686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325.28946666666661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619.30873333333329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958.31146666666655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1618.3093333333331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2581.4879999999998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3385.4218666666666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4863.4975999999997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6259.1498666666666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7722.8597333333328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8796.749866666667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10265.84</v>
      </c>
    </row>
    <row r="10" spans="1:14" x14ac:dyDescent="0.25">
      <c r="A10" s="9" t="s">
        <v>132</v>
      </c>
      <c r="B10" s="11">
        <f t="shared" ref="B10:M10" si="0">SUM(B5:B9)</f>
        <v>807.16139999999984</v>
      </c>
      <c r="C10" s="11">
        <f t="shared" si="0"/>
        <v>3348.1397333333325</v>
      </c>
      <c r="D10" s="11">
        <f t="shared" si="0"/>
        <v>5808.7163333333319</v>
      </c>
      <c r="E10" s="11">
        <f t="shared" si="0"/>
        <v>8004.3562666666658</v>
      </c>
      <c r="F10" s="11">
        <f t="shared" si="0"/>
        <v>13494.352533333333</v>
      </c>
      <c r="G10" s="11">
        <f t="shared" si="0"/>
        <v>22436.520800000002</v>
      </c>
      <c r="H10" s="11">
        <f t="shared" si="0"/>
        <v>28871.513200000005</v>
      </c>
      <c r="I10" s="11">
        <f t="shared" si="0"/>
        <v>39884.670266666675</v>
      </c>
      <c r="J10" s="11">
        <f t="shared" si="0"/>
        <v>48467.284133333334</v>
      </c>
      <c r="K10" s="11">
        <f t="shared" si="0"/>
        <v>57593.96933333332</v>
      </c>
      <c r="L10" s="11">
        <f t="shared" si="0"/>
        <v>63342.832266666665</v>
      </c>
      <c r="M10" s="11">
        <f t="shared" si="0"/>
        <v>71764.055866666662</v>
      </c>
    </row>
    <row r="11" spans="1:14" ht="18.75" customHeight="1" x14ac:dyDescent="0.25">
      <c r="A11" s="9"/>
    </row>
    <row r="12" spans="1:14" ht="18.75" customHeight="1" x14ac:dyDescent="0.3">
      <c r="A12" s="1" t="s">
        <v>133</v>
      </c>
    </row>
    <row r="13" spans="1:14" x14ac:dyDescent="0.25">
      <c r="A13" s="9" t="s">
        <v>134</v>
      </c>
      <c r="B13" s="10">
        <f>'Affiliate Projection'!B19*'VIP Levels'!$G$15*'VIP Levels'!$H$15+'Affiliate Projection'!B20*'VIP Levels'!$G$16*'VIP Levels'!$H$16+'Affiliate Projection'!B21*'VIP Levels'!$G$17*'VIP Levels'!$H$17+'Affiliate Projection'!B22*'VIP Levels'!$G$18*'VIP Levels'!$H$18+'Affiliate Projection'!B23*'VIP Levels'!$G$19*'VIP Levels'!$H$19</f>
        <v>150</v>
      </c>
      <c r="C13" s="10">
        <f>'Affiliate Projection'!C19*'VIP Levels'!$G$15*'VIP Levels'!$H$15+'Affiliate Projection'!C20*'VIP Levels'!$G$16*'VIP Levels'!$H$16+'Affiliate Projection'!C21*'VIP Levels'!$G$17*'VIP Levels'!$H$17+'Affiliate Projection'!C22*'VIP Levels'!$G$18*'VIP Levels'!$H$18+'Affiliate Projection'!C23*'VIP Levels'!$G$19*'VIP Levels'!$H$19</f>
        <v>1150</v>
      </c>
      <c r="D13" s="10">
        <f>'Affiliate Projection'!D19*'VIP Levels'!$G$15*'VIP Levels'!$H$15+'Affiliate Projection'!D20*'VIP Levels'!$G$16*'VIP Levels'!$H$16+'Affiliate Projection'!D21*'VIP Levels'!$G$17*'VIP Levels'!$H$17+'Affiliate Projection'!D22*'VIP Levels'!$G$18*'VIP Levels'!$H$18+'Affiliate Projection'!D23*'VIP Levels'!$G$19*'VIP Levels'!$H$19</f>
        <v>1500</v>
      </c>
      <c r="E13" s="10">
        <f>'Affiliate Projection'!E19*'VIP Levels'!$G$15*'VIP Levels'!$H$15+'Affiliate Projection'!E20*'VIP Levels'!$G$16*'VIP Levels'!$H$16+'Affiliate Projection'!E21*'VIP Levels'!$G$17*'VIP Levels'!$H$17+'Affiliate Projection'!E22*'VIP Levels'!$G$18*'VIP Levels'!$H$18+'Affiliate Projection'!E23*'VIP Levels'!$G$19*'VIP Levels'!$H$19</f>
        <v>2100</v>
      </c>
      <c r="F13" s="10">
        <f>'Affiliate Projection'!F19*'VIP Levels'!$G$15*'VIP Levels'!$H$15+'Affiliate Projection'!F20*'VIP Levels'!$G$16*'VIP Levels'!$H$16+'Affiliate Projection'!F21*'VIP Levels'!$G$17*'VIP Levels'!$H$17+'Affiliate Projection'!F22*'VIP Levels'!$G$18*'VIP Levels'!$H$18+'Affiliate Projection'!F23*'VIP Levels'!$G$19*'VIP Levels'!$H$19</f>
        <v>4300</v>
      </c>
      <c r="G13" s="10">
        <f>'Affiliate Projection'!G19*'VIP Levels'!$G$15*'VIP Levels'!$H$15+'Affiliate Projection'!G20*'VIP Levels'!$G$16*'VIP Levels'!$H$16+'Affiliate Projection'!G21*'VIP Levels'!$G$17*'VIP Levels'!$H$17+'Affiliate Projection'!G22*'VIP Levels'!$G$18*'VIP Levels'!$H$18+'Affiliate Projection'!G23*'VIP Levels'!$G$19*'VIP Levels'!$H$19</f>
        <v>4600</v>
      </c>
      <c r="H13" s="10">
        <f>'Affiliate Projection'!H19*'VIP Levels'!$G$15*'VIP Levels'!$H$15+'Affiliate Projection'!H20*'VIP Levels'!$G$16*'VIP Levels'!$H$16+'Affiliate Projection'!H21*'VIP Levels'!$G$17*'VIP Levels'!$H$17+'Affiliate Projection'!H22*'VIP Levels'!$G$18*'VIP Levels'!$H$18+'Affiliate Projection'!H23*'VIP Levels'!$G$19*'VIP Levels'!$H$19</f>
        <v>3150</v>
      </c>
      <c r="I13" s="10">
        <f>'Affiliate Projection'!I19*'VIP Levels'!$G$15*'VIP Levels'!$H$15+'Affiliate Projection'!I20*'VIP Levels'!$G$16*'VIP Levels'!$H$16+'Affiliate Projection'!I21*'VIP Levels'!$G$17*'VIP Levels'!$H$17+'Affiliate Projection'!I22*'VIP Levels'!$G$18*'VIP Levels'!$H$18+'Affiliate Projection'!I23*'VIP Levels'!$G$19*'VIP Levels'!$H$19</f>
        <v>6050</v>
      </c>
      <c r="J13" s="10">
        <f>'Affiliate Projection'!J19*'VIP Levels'!$G$15*'VIP Levels'!$H$15+'Affiliate Projection'!J20*'VIP Levels'!$G$16*'VIP Levels'!$H$16+'Affiliate Projection'!J21*'VIP Levels'!$G$17*'VIP Levels'!$H$17+'Affiliate Projection'!J22*'VIP Levels'!$G$18*'VIP Levels'!$H$18+'Affiliate Projection'!J23*'VIP Levels'!$G$19*'VIP Levels'!$H$19</f>
        <v>4350</v>
      </c>
      <c r="K13" s="10">
        <f>'Affiliate Projection'!K19*'VIP Levels'!$G$15*'VIP Levels'!$H$15+'Affiliate Projection'!K20*'VIP Levels'!$G$16*'VIP Levels'!$H$16+'Affiliate Projection'!K21*'VIP Levels'!$G$17*'VIP Levels'!$H$17+'Affiliate Projection'!K22*'VIP Levels'!$G$18*'VIP Levels'!$H$18+'Affiliate Projection'!K23*'VIP Levels'!$G$19*'VIP Levels'!$H$19</f>
        <v>4400</v>
      </c>
      <c r="L13" s="10">
        <f>'Affiliate Projection'!L19*'VIP Levels'!$G$15*'VIP Levels'!$H$15+'Affiliate Projection'!L20*'VIP Levels'!$G$16*'VIP Levels'!$H$16+'Affiliate Projection'!L21*'VIP Levels'!$G$17*'VIP Levels'!$H$17+'Affiliate Projection'!L22*'VIP Levels'!$G$18*'VIP Levels'!$H$18+'Affiliate Projection'!L23*'VIP Levels'!$G$19*'VIP Levels'!$H$19</f>
        <v>3700</v>
      </c>
      <c r="M13" s="10">
        <f>'Affiliate Projection'!M19*'VIP Levels'!$G$15*'VIP Levels'!$H$15+'Affiliate Projection'!M20*'VIP Levels'!$G$16*'VIP Levels'!$H$16+'Affiliate Projection'!M21*'VIP Levels'!$G$17*'VIP Levels'!$H$17+'Affiliate Projection'!M22*'VIP Levels'!$G$18*'VIP Levels'!$H$18+'Affiliate Projection'!M23*'VIP Levels'!$G$19*'VIP Levels'!$H$19</f>
        <v>4450</v>
      </c>
    </row>
    <row r="14" spans="1:14" x14ac:dyDescent="0.25">
      <c r="A14" s="9" t="s">
        <v>135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804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1450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2578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3902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6694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10262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12960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17614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21278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24990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27876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31302</v>
      </c>
    </row>
    <row r="15" spans="1:14" x14ac:dyDescent="0.25">
      <c r="A15" s="9" t="s">
        <v>136</v>
      </c>
      <c r="B15" s="10">
        <f t="shared" ref="B15:M15" si="1">B13+B14</f>
        <v>954</v>
      </c>
      <c r="C15" s="10">
        <f t="shared" si="1"/>
        <v>2600</v>
      </c>
      <c r="D15" s="10">
        <f t="shared" si="1"/>
        <v>4078</v>
      </c>
      <c r="E15" s="10">
        <f t="shared" si="1"/>
        <v>6002</v>
      </c>
      <c r="F15" s="10">
        <f t="shared" si="1"/>
        <v>10994</v>
      </c>
      <c r="G15" s="10">
        <f t="shared" si="1"/>
        <v>14862</v>
      </c>
      <c r="H15" s="10">
        <f t="shared" si="1"/>
        <v>16110</v>
      </c>
      <c r="I15" s="10">
        <f t="shared" si="1"/>
        <v>23664</v>
      </c>
      <c r="J15" s="10">
        <f t="shared" si="1"/>
        <v>25628</v>
      </c>
      <c r="K15" s="10">
        <f t="shared" si="1"/>
        <v>29390</v>
      </c>
      <c r="L15" s="10">
        <f t="shared" si="1"/>
        <v>31576</v>
      </c>
      <c r="M15" s="10">
        <f t="shared" si="1"/>
        <v>35752</v>
      </c>
    </row>
    <row r="16" spans="1:14" x14ac:dyDescent="0.25">
      <c r="A16" s="9" t="s">
        <v>137</v>
      </c>
      <c r="B16" s="11">
        <f t="shared" ref="B16:M16" si="2">B15</f>
        <v>954</v>
      </c>
      <c r="C16" s="11">
        <f t="shared" si="2"/>
        <v>2600</v>
      </c>
      <c r="D16" s="11">
        <f t="shared" si="2"/>
        <v>4078</v>
      </c>
      <c r="E16" s="11">
        <f t="shared" si="2"/>
        <v>6002</v>
      </c>
      <c r="F16" s="11">
        <f t="shared" si="2"/>
        <v>10994</v>
      </c>
      <c r="G16" s="11">
        <f t="shared" si="2"/>
        <v>14862</v>
      </c>
      <c r="H16" s="11">
        <f t="shared" si="2"/>
        <v>16110</v>
      </c>
      <c r="I16" s="11">
        <f t="shared" si="2"/>
        <v>23664</v>
      </c>
      <c r="J16" s="11">
        <f t="shared" si="2"/>
        <v>25628</v>
      </c>
      <c r="K16" s="11">
        <f t="shared" si="2"/>
        <v>29390</v>
      </c>
      <c r="L16" s="11">
        <f t="shared" si="2"/>
        <v>31576</v>
      </c>
      <c r="M16" s="11">
        <f t="shared" si="2"/>
        <v>35752</v>
      </c>
    </row>
    <row r="17" spans="1:13" ht="18.75" customHeight="1" x14ac:dyDescent="0.25">
      <c r="A17" s="9"/>
    </row>
    <row r="18" spans="1:13" ht="16.5" hidden="1" customHeight="1" x14ac:dyDescent="0.25"/>
    <row r="19" spans="1:13" hidden="1" x14ac:dyDescent="0.25"/>
    <row r="20" spans="1:13" ht="18.75" customHeight="1" x14ac:dyDescent="0.3">
      <c r="A20" s="1" t="s">
        <v>138</v>
      </c>
    </row>
    <row r="21" spans="1:13" x14ac:dyDescent="0.25">
      <c r="A21" s="9" t="s">
        <v>139</v>
      </c>
      <c r="B21" s="11">
        <f t="shared" ref="B21:M21" si="3">B10+B16</f>
        <v>1761.1614</v>
      </c>
      <c r="C21" s="11">
        <f t="shared" si="3"/>
        <v>5948.1397333333325</v>
      </c>
      <c r="D21" s="11">
        <f t="shared" si="3"/>
        <v>9886.7163333333319</v>
      </c>
      <c r="E21" s="11">
        <f t="shared" si="3"/>
        <v>14006.356266666666</v>
      </c>
      <c r="F21" s="11">
        <f t="shared" si="3"/>
        <v>24488.352533333331</v>
      </c>
      <c r="G21" s="11">
        <f t="shared" si="3"/>
        <v>37298.520799999998</v>
      </c>
      <c r="H21" s="11">
        <f t="shared" si="3"/>
        <v>44981.513200000001</v>
      </c>
      <c r="I21" s="11">
        <f t="shared" si="3"/>
        <v>63548.670266666675</v>
      </c>
      <c r="J21" s="11">
        <f t="shared" si="3"/>
        <v>74095.284133333334</v>
      </c>
      <c r="K21" s="11">
        <f t="shared" si="3"/>
        <v>86983.969333333313</v>
      </c>
      <c r="L21" s="11">
        <f t="shared" si="3"/>
        <v>94918.832266666665</v>
      </c>
      <c r="M21" s="11">
        <f t="shared" si="3"/>
        <v>107516.05586666666</v>
      </c>
    </row>
    <row r="23" spans="1:13" ht="18.75" customHeight="1" x14ac:dyDescent="0.3">
      <c r="A23" s="71" t="s">
        <v>140</v>
      </c>
    </row>
    <row r="24" spans="1:13" ht="18.75" hidden="1" customHeight="1" x14ac:dyDescent="0.25">
      <c r="A24" s="72" t="s">
        <v>141</v>
      </c>
      <c r="B24" s="10">
        <f>'Affiliate Projection'!B19*'VIP Levels'!$K$15*'VIP Levels'!$L$15+'Affiliate Projection'!B20*'VIP Levels'!$K$16*'VIP Levels'!$L$16+'Affiliate Projection'!B21*'VIP Levels'!$K$17*'VIP Levels'!$L$17+'Affiliate Projection'!B22*'VIP Levels'!$K$18*'VIP Levels'!$L$18+'Affiliate Projection'!B23*'VIP Levels'!$K$19*'VIP Levels'!$L$19</f>
        <v>0</v>
      </c>
      <c r="C24" s="10">
        <f>'Affiliate Projection'!C19*'VIP Levels'!$K$15*'VIP Levels'!$L$15+'Affiliate Projection'!C20*'VIP Levels'!$K$16*'VIP Levels'!$L$16+'Affiliate Projection'!C21*'VIP Levels'!$K$17*'VIP Levels'!$L$17+'Affiliate Projection'!C22*'VIP Levels'!$K$18*'VIP Levels'!$L$18+'Affiliate Projection'!C23*'VIP Levels'!$K$19*'VIP Levels'!$L$19</f>
        <v>0</v>
      </c>
      <c r="D24" s="10">
        <f>'Affiliate Projection'!D19*'VIP Levels'!$K$15*'VIP Levels'!$L$15+'Affiliate Projection'!D20*'VIP Levels'!$K$16*'VIP Levels'!$L$16+'Affiliate Projection'!D21*'VIP Levels'!$K$17*'VIP Levels'!$L$17+'Affiliate Projection'!D22*'VIP Levels'!$K$18*'VIP Levels'!$L$18+'Affiliate Projection'!D23*'VIP Levels'!$K$19*'VIP Levels'!$L$19</f>
        <v>0</v>
      </c>
      <c r="E24" s="10">
        <f>'Affiliate Projection'!E19*'VIP Levels'!$K$15*'VIP Levels'!$L$15+'Affiliate Projection'!E20*'VIP Levels'!$K$16*'VIP Levels'!$L$16+'Affiliate Projection'!E21*'VIP Levels'!$K$17*'VIP Levels'!$L$17+'Affiliate Projection'!E22*'VIP Levels'!$K$18*'VIP Levels'!$L$18+'Affiliate Projection'!E23*'VIP Levels'!$K$19*'VIP Levels'!$L$19</f>
        <v>0</v>
      </c>
      <c r="F24" s="10">
        <f>'Affiliate Projection'!F19*'VIP Levels'!$K$15*'VIP Levels'!$L$15+'Affiliate Projection'!F20*'VIP Levels'!$K$16*'VIP Levels'!$L$16+'Affiliate Projection'!F21*'VIP Levels'!$K$17*'VIP Levels'!$L$17+'Affiliate Projection'!F22*'VIP Levels'!$K$18*'VIP Levels'!$L$18+'Affiliate Projection'!F23*'VIP Levels'!$K$19*'VIP Levels'!$L$19</f>
        <v>0</v>
      </c>
      <c r="G24" s="10">
        <f>'Affiliate Projection'!G19*'VIP Levels'!$K$15*'VIP Levels'!$L$15+'Affiliate Projection'!G20*'VIP Levels'!$K$16*'VIP Levels'!$L$16+'Affiliate Projection'!G21*'VIP Levels'!$K$17*'VIP Levels'!$L$17+'Affiliate Projection'!G22*'VIP Levels'!$K$18*'VIP Levels'!$L$18+'Affiliate Projection'!G23*'VIP Levels'!$K$19*'VIP Levels'!$L$19</f>
        <v>0</v>
      </c>
      <c r="H24" s="10">
        <f>'Affiliate Projection'!H19*'VIP Levels'!$K$15*'VIP Levels'!$L$15+'Affiliate Projection'!H20*'VIP Levels'!$K$16*'VIP Levels'!$L$16+'Affiliate Projection'!H21*'VIP Levels'!$K$17*'VIP Levels'!$L$17+'Affiliate Projection'!H22*'VIP Levels'!$K$18*'VIP Levels'!$L$18+'Affiliate Projection'!H23*'VIP Levels'!$K$19*'VIP Levels'!$L$19</f>
        <v>0</v>
      </c>
      <c r="I24" s="10">
        <f>'Affiliate Projection'!I19*'VIP Levels'!$K$15*'VIP Levels'!$L$15+'Affiliate Projection'!I20*'VIP Levels'!$K$16*'VIP Levels'!$L$16+'Affiliate Projection'!I21*'VIP Levels'!$K$17*'VIP Levels'!$L$17+'Affiliate Projection'!I22*'VIP Levels'!$K$18*'VIP Levels'!$L$18+'Affiliate Projection'!I23*'VIP Levels'!$K$19*'VIP Levels'!$L$19</f>
        <v>0</v>
      </c>
      <c r="J24" s="10">
        <f>'Affiliate Projection'!J19*'VIP Levels'!$K$15*'VIP Levels'!$L$15+'Affiliate Projection'!J20*'VIP Levels'!$K$16*'VIP Levels'!$L$16+'Affiliate Projection'!J21*'VIP Levels'!$K$17*'VIP Levels'!$L$17+'Affiliate Projection'!J22*'VIP Levels'!$K$18*'VIP Levels'!$L$18+'Affiliate Projection'!J23*'VIP Levels'!$K$19*'VIP Levels'!$L$19</f>
        <v>0</v>
      </c>
      <c r="K24" s="10">
        <f>'Affiliate Projection'!K19*'VIP Levels'!$K$15*'VIP Levels'!$L$15+'Affiliate Projection'!K20*'VIP Levels'!$K$16*'VIP Levels'!$L$16+'Affiliate Projection'!K21*'VIP Levels'!$K$17*'VIP Levels'!$L$17+'Affiliate Projection'!K22*'VIP Levels'!$K$18*'VIP Levels'!$L$18+'Affiliate Projection'!K23*'VIP Levels'!$K$19*'VIP Levels'!$L$19</f>
        <v>0</v>
      </c>
      <c r="L24" s="10">
        <f>'Affiliate Projection'!L19*'VIP Levels'!$K$15*'VIP Levels'!$L$15+'Affiliate Projection'!L20*'VIP Levels'!$K$16*'VIP Levels'!$L$16+'Affiliate Projection'!L21*'VIP Levels'!$K$17*'VIP Levels'!$L$17+'Affiliate Projection'!L22*'VIP Levels'!$K$18*'VIP Levels'!$L$18+'Affiliate Projection'!L23*'VIP Levels'!$K$19*'VIP Levels'!$L$19</f>
        <v>0</v>
      </c>
      <c r="M24" s="10">
        <f>'Affiliate Projection'!M19*'VIP Levels'!$K$15*'VIP Levels'!$L$15+'Affiliate Projection'!M20*'VIP Levels'!$K$16*'VIP Levels'!$L$16+'Affiliate Projection'!M21*'VIP Levels'!$K$17*'VIP Levels'!$L$17+'Affiliate Projection'!M22*'VIP Levels'!$K$18*'VIP Levels'!$L$18+'Affiliate Projection'!M23*'VIP Levels'!$K$19*'VIP Levels'!$L$19</f>
        <v>0</v>
      </c>
    </row>
    <row r="25" spans="1:13" ht="18.75" hidden="1" customHeight="1" x14ac:dyDescent="0.25">
      <c r="A25" s="72" t="s">
        <v>142</v>
      </c>
      <c r="B25" s="10">
        <f>SUMPRODUCT((Missions!$F$6:$F$26="Spark Ads")*(Missions!$A$6:$A$26="Bronze")*(Missions!$D$6:$D$26="One-time")*'Affiliate Projection'!B19*Missions!$E$6:$E$26*Missions!$J$6:$J$26)+SUMPRODUCT((Missions!$F$6:$F$26="Spark Ads")*(Missions!$A$6:$A$26="Bronze")*(Missions!$D$6:$D$26&lt;&gt;"One-time")*'Affiliate Projection'!B13*Missions!$E$6:$E$26*Missions!$J$6:$J$26)+SUMPRODUCT((Missions!$F$6:$F$26="Spark Ads")*(Missions!$A$6:$A$26="Silver")*(Missions!$D$6:$D$26="One-time")*'Affiliate Projection'!B20*Missions!$E$6:$E$26*Missions!$J$6:$J$26)+SUMPRODUCT((Missions!$F$6:$F$26="Spark Ads")*(Missions!$A$6:$A$26="Silver")*(Missions!$D$6:$D$26&lt;&gt;"One-time")*'Affiliate Projection'!B14*Missions!$E$6:$E$26*Missions!$J$6:$J$26)+SUMPRODUCT((Missions!$F$6:$F$26="Spark Ads")*(Missions!$A$6:$A$26="Gold")*(Missions!$D$6:$D$26="One-time")*'Affiliate Projection'!B21*Missions!$E$6:$E$26*Missions!$J$6:$J$26)+SUMPRODUCT((Missions!$F$6:$F$26="Spark Ads")*(Missions!$A$6:$A$26="Gold")*(Missions!$D$6:$D$26&lt;&gt;"One-time")*'Affiliate Projection'!B15*Missions!$E$6:$E$26*Missions!$J$6:$J$26)+SUMPRODUCT((Missions!$F$6:$F$26="Spark Ads")*(Missions!$A$6:$A$26="Platinum")*(Missions!$D$6:$D$26="One-time")*'Affiliate Projection'!B22*Missions!$E$6:$E$26*Missions!$J$6:$J$26)+SUMPRODUCT((Missions!$F$6:$F$26="Spark Ads")*(Missions!$A$6:$A$26="Platinum")*(Missions!$D$6:$D$26&lt;&gt;"One-time")*'Affiliate Projection'!B16*Missions!$E$6:$E$26*Missions!$J$6:$J$26)+SUMPRODUCT((Missions!$F$6:$F$26="Spark Ads")*(Missions!$A$6:$A$26="Diamond")*(Missions!$D$6:$D$26="One-time")*'Affiliate Projection'!B23*Missions!$E$6:$E$26*Missions!$J$6:$J$26)+SUMPRODUCT((Missions!$F$6:$F$26="Spark Ads")*(Missions!$A$6:$A$26="Diamond")*(Missions!$D$6:$D$26&lt;&gt;"One-time")*'Affiliate Projection'!B17*Missions!$E$6:$E$26*Missions!$J$6:$J$26)</f>
        <v>0</v>
      </c>
      <c r="C25" s="10">
        <f>SUMPRODUCT((Missions!$F$6:$F$26="Spark Ads")*(Missions!$A$6:$A$26="Bronze")*(Missions!$D$6:$D$26="One-time")*'Affiliate Projection'!C19*Missions!$E$6:$E$26*Missions!$J$6:$J$26)+SUMPRODUCT((Missions!$F$6:$F$26="Spark Ads")*(Missions!$A$6:$A$26="Bronze")*(Missions!$D$6:$D$26&lt;&gt;"One-time")*'Affiliate Projection'!C13*Missions!$E$6:$E$26*Missions!$J$6:$J$26)+SUMPRODUCT((Missions!$F$6:$F$26="Spark Ads")*(Missions!$A$6:$A$26="Silver")*(Missions!$D$6:$D$26="One-time")*'Affiliate Projection'!C20*Missions!$E$6:$E$26*Missions!$J$6:$J$26)+SUMPRODUCT((Missions!$F$6:$F$26="Spark Ads")*(Missions!$A$6:$A$26="Silver")*(Missions!$D$6:$D$26&lt;&gt;"One-time")*'Affiliate Projection'!C14*Missions!$E$6:$E$26*Missions!$J$6:$J$26)+SUMPRODUCT((Missions!$F$6:$F$26="Spark Ads")*(Missions!$A$6:$A$26="Gold")*(Missions!$D$6:$D$26="One-time")*'Affiliate Projection'!C21*Missions!$E$6:$E$26*Missions!$J$6:$J$26)+SUMPRODUCT((Missions!$F$6:$F$26="Spark Ads")*(Missions!$A$6:$A$26="Gold")*(Missions!$D$6:$D$26&lt;&gt;"One-time")*'Affiliate Projection'!C15*Missions!$E$6:$E$26*Missions!$J$6:$J$26)+SUMPRODUCT((Missions!$F$6:$F$26="Spark Ads")*(Missions!$A$6:$A$26="Platinum")*(Missions!$D$6:$D$26="One-time")*'Affiliate Projection'!C22*Missions!$E$6:$E$26*Missions!$J$6:$J$26)+SUMPRODUCT((Missions!$F$6:$F$26="Spark Ads")*(Missions!$A$6:$A$26="Platinum")*(Missions!$D$6:$D$26&lt;&gt;"One-time")*'Affiliate Projection'!C16*Missions!$E$6:$E$26*Missions!$J$6:$J$26)+SUMPRODUCT((Missions!$F$6:$F$26="Spark Ads")*(Missions!$A$6:$A$26="Diamond")*(Missions!$D$6:$D$26="One-time")*'Affiliate Projection'!C23*Missions!$E$6:$E$26*Missions!$J$6:$J$26)+SUMPRODUCT((Missions!$F$6:$F$26="Spark Ads")*(Missions!$A$6:$A$26="Diamond")*(Missions!$D$6:$D$26&lt;&gt;"One-time")*'Affiliate Projection'!C17*Missions!$E$6:$E$26*Missions!$J$6:$J$26)</f>
        <v>0</v>
      </c>
      <c r="D25" s="10">
        <f>SUMPRODUCT((Missions!$F$6:$F$26="Spark Ads")*(Missions!$A$6:$A$26="Bronze")*(Missions!$D$6:$D$26="One-time")*'Affiliate Projection'!D19*Missions!$E$6:$E$26*Missions!$J$6:$J$26)+SUMPRODUCT((Missions!$F$6:$F$26="Spark Ads")*(Missions!$A$6:$A$26="Bronze")*(Missions!$D$6:$D$26&lt;&gt;"One-time")*'Affiliate Projection'!D13*Missions!$E$6:$E$26*Missions!$J$6:$J$26)+SUMPRODUCT((Missions!$F$6:$F$26="Spark Ads")*(Missions!$A$6:$A$26="Silver")*(Missions!$D$6:$D$26="One-time")*'Affiliate Projection'!D20*Missions!$E$6:$E$26*Missions!$J$6:$J$26)+SUMPRODUCT((Missions!$F$6:$F$26="Spark Ads")*(Missions!$A$6:$A$26="Silver")*(Missions!$D$6:$D$26&lt;&gt;"One-time")*'Affiliate Projection'!D14*Missions!$E$6:$E$26*Missions!$J$6:$J$26)+SUMPRODUCT((Missions!$F$6:$F$26="Spark Ads")*(Missions!$A$6:$A$26="Gold")*(Missions!$D$6:$D$26="One-time")*'Affiliate Projection'!D21*Missions!$E$6:$E$26*Missions!$J$6:$J$26)+SUMPRODUCT((Missions!$F$6:$F$26="Spark Ads")*(Missions!$A$6:$A$26="Gold")*(Missions!$D$6:$D$26&lt;&gt;"One-time")*'Affiliate Projection'!D15*Missions!$E$6:$E$26*Missions!$J$6:$J$26)+SUMPRODUCT((Missions!$F$6:$F$26="Spark Ads")*(Missions!$A$6:$A$26="Platinum")*(Missions!$D$6:$D$26="One-time")*'Affiliate Projection'!D22*Missions!$E$6:$E$26*Missions!$J$6:$J$26)+SUMPRODUCT((Missions!$F$6:$F$26="Spark Ads")*(Missions!$A$6:$A$26="Platinum")*(Missions!$D$6:$D$26&lt;&gt;"One-time")*'Affiliate Projection'!D16*Missions!$E$6:$E$26*Missions!$J$6:$J$26)+SUMPRODUCT((Missions!$F$6:$F$26="Spark Ads")*(Missions!$A$6:$A$26="Diamond")*(Missions!$D$6:$D$26="One-time")*'Affiliate Projection'!D23*Missions!$E$6:$E$26*Missions!$J$6:$J$26)+SUMPRODUCT((Missions!$F$6:$F$26="Spark Ads")*(Missions!$A$6:$A$26="Diamond")*(Missions!$D$6:$D$26&lt;&gt;"One-time")*'Affiliate Projection'!D17*Missions!$E$6:$E$26*Missions!$J$6:$J$26)</f>
        <v>0</v>
      </c>
      <c r="E25" s="10">
        <f>SUMPRODUCT((Missions!$F$6:$F$26="Spark Ads")*(Missions!$A$6:$A$26="Bronze")*(Missions!$D$6:$D$26="One-time")*'Affiliate Projection'!E19*Missions!$E$6:$E$26*Missions!$J$6:$J$26)+SUMPRODUCT((Missions!$F$6:$F$26="Spark Ads")*(Missions!$A$6:$A$26="Bronze")*(Missions!$D$6:$D$26&lt;&gt;"One-time")*'Affiliate Projection'!E13*Missions!$E$6:$E$26*Missions!$J$6:$J$26)+SUMPRODUCT((Missions!$F$6:$F$26="Spark Ads")*(Missions!$A$6:$A$26="Silver")*(Missions!$D$6:$D$26="One-time")*'Affiliate Projection'!E20*Missions!$E$6:$E$26*Missions!$J$6:$J$26)+SUMPRODUCT((Missions!$F$6:$F$26="Spark Ads")*(Missions!$A$6:$A$26="Silver")*(Missions!$D$6:$D$26&lt;&gt;"One-time")*'Affiliate Projection'!E14*Missions!$E$6:$E$26*Missions!$J$6:$J$26)+SUMPRODUCT((Missions!$F$6:$F$26="Spark Ads")*(Missions!$A$6:$A$26="Gold")*(Missions!$D$6:$D$26="One-time")*'Affiliate Projection'!E21*Missions!$E$6:$E$26*Missions!$J$6:$J$26)+SUMPRODUCT((Missions!$F$6:$F$26="Spark Ads")*(Missions!$A$6:$A$26="Gold")*(Missions!$D$6:$D$26&lt;&gt;"One-time")*'Affiliate Projection'!E15*Missions!$E$6:$E$26*Missions!$J$6:$J$26)+SUMPRODUCT((Missions!$F$6:$F$26="Spark Ads")*(Missions!$A$6:$A$26="Platinum")*(Missions!$D$6:$D$26="One-time")*'Affiliate Projection'!E22*Missions!$E$6:$E$26*Missions!$J$6:$J$26)+SUMPRODUCT((Missions!$F$6:$F$26="Spark Ads")*(Missions!$A$6:$A$26="Platinum")*(Missions!$D$6:$D$26&lt;&gt;"One-time")*'Affiliate Projection'!E16*Missions!$E$6:$E$26*Missions!$J$6:$J$26)+SUMPRODUCT((Missions!$F$6:$F$26="Spark Ads")*(Missions!$A$6:$A$26="Diamond")*(Missions!$D$6:$D$26="One-time")*'Affiliate Projection'!E23*Missions!$E$6:$E$26*Missions!$J$6:$J$26)+SUMPRODUCT((Missions!$F$6:$F$26="Spark Ads")*(Missions!$A$6:$A$26="Diamond")*(Missions!$D$6:$D$26&lt;&gt;"One-time")*'Affiliate Projection'!E17*Missions!$E$6:$E$26*Missions!$J$6:$J$26)</f>
        <v>0</v>
      </c>
      <c r="F25" s="10">
        <f>SUMPRODUCT((Missions!$F$6:$F$26="Spark Ads")*(Missions!$A$6:$A$26="Bronze")*(Missions!$D$6:$D$26="One-time")*'Affiliate Projection'!F19*Missions!$E$6:$E$26*Missions!$J$6:$J$26)+SUMPRODUCT((Missions!$F$6:$F$26="Spark Ads")*(Missions!$A$6:$A$26="Bronze")*(Missions!$D$6:$D$26&lt;&gt;"One-time")*'Affiliate Projection'!F13*Missions!$E$6:$E$26*Missions!$J$6:$J$26)+SUMPRODUCT((Missions!$F$6:$F$26="Spark Ads")*(Missions!$A$6:$A$26="Silver")*(Missions!$D$6:$D$26="One-time")*'Affiliate Projection'!F20*Missions!$E$6:$E$26*Missions!$J$6:$J$26)+SUMPRODUCT((Missions!$F$6:$F$26="Spark Ads")*(Missions!$A$6:$A$26="Silver")*(Missions!$D$6:$D$26&lt;&gt;"One-time")*'Affiliate Projection'!F14*Missions!$E$6:$E$26*Missions!$J$6:$J$26)+SUMPRODUCT((Missions!$F$6:$F$26="Spark Ads")*(Missions!$A$6:$A$26="Gold")*(Missions!$D$6:$D$26="One-time")*'Affiliate Projection'!F21*Missions!$E$6:$E$26*Missions!$J$6:$J$26)+SUMPRODUCT((Missions!$F$6:$F$26="Spark Ads")*(Missions!$A$6:$A$26="Gold")*(Missions!$D$6:$D$26&lt;&gt;"One-time")*'Affiliate Projection'!F15*Missions!$E$6:$E$26*Missions!$J$6:$J$26)+SUMPRODUCT((Missions!$F$6:$F$26="Spark Ads")*(Missions!$A$6:$A$26="Platinum")*(Missions!$D$6:$D$26="One-time")*'Affiliate Projection'!F22*Missions!$E$6:$E$26*Missions!$J$6:$J$26)+SUMPRODUCT((Missions!$F$6:$F$26="Spark Ads")*(Missions!$A$6:$A$26="Platinum")*(Missions!$D$6:$D$26&lt;&gt;"One-time")*'Affiliate Projection'!F16*Missions!$E$6:$E$26*Missions!$J$6:$J$26)+SUMPRODUCT((Missions!$F$6:$F$26="Spark Ads")*(Missions!$A$6:$A$26="Diamond")*(Missions!$D$6:$D$26="One-time")*'Affiliate Projection'!F23*Missions!$E$6:$E$26*Missions!$J$6:$J$26)+SUMPRODUCT((Missions!$F$6:$F$26="Spark Ads")*(Missions!$A$6:$A$26="Diamond")*(Missions!$D$6:$D$26&lt;&gt;"One-time")*'Affiliate Projection'!F17*Missions!$E$6:$E$26*Missions!$J$6:$J$26)</f>
        <v>0</v>
      </c>
      <c r="G25" s="10">
        <f>SUMPRODUCT((Missions!$F$6:$F$26="Spark Ads")*(Missions!$A$6:$A$26="Bronze")*(Missions!$D$6:$D$26="One-time")*'Affiliate Projection'!G19*Missions!$E$6:$E$26*Missions!$J$6:$J$26)+SUMPRODUCT((Missions!$F$6:$F$26="Spark Ads")*(Missions!$A$6:$A$26="Bronze")*(Missions!$D$6:$D$26&lt;&gt;"One-time")*'Affiliate Projection'!G13*Missions!$E$6:$E$26*Missions!$J$6:$J$26)+SUMPRODUCT((Missions!$F$6:$F$26="Spark Ads")*(Missions!$A$6:$A$26="Silver")*(Missions!$D$6:$D$26="One-time")*'Affiliate Projection'!G20*Missions!$E$6:$E$26*Missions!$J$6:$J$26)+SUMPRODUCT((Missions!$F$6:$F$26="Spark Ads")*(Missions!$A$6:$A$26="Silver")*(Missions!$D$6:$D$26&lt;&gt;"One-time")*'Affiliate Projection'!G14*Missions!$E$6:$E$26*Missions!$J$6:$J$26)+SUMPRODUCT((Missions!$F$6:$F$26="Spark Ads")*(Missions!$A$6:$A$26="Gold")*(Missions!$D$6:$D$26="One-time")*'Affiliate Projection'!G21*Missions!$E$6:$E$26*Missions!$J$6:$J$26)+SUMPRODUCT((Missions!$F$6:$F$26="Spark Ads")*(Missions!$A$6:$A$26="Gold")*(Missions!$D$6:$D$26&lt;&gt;"One-time")*'Affiliate Projection'!G15*Missions!$E$6:$E$26*Missions!$J$6:$J$26)+SUMPRODUCT((Missions!$F$6:$F$26="Spark Ads")*(Missions!$A$6:$A$26="Platinum")*(Missions!$D$6:$D$26="One-time")*'Affiliate Projection'!G22*Missions!$E$6:$E$26*Missions!$J$6:$J$26)+SUMPRODUCT((Missions!$F$6:$F$26="Spark Ads")*(Missions!$A$6:$A$26="Platinum")*(Missions!$D$6:$D$26&lt;&gt;"One-time")*'Affiliate Projection'!G16*Missions!$E$6:$E$26*Missions!$J$6:$J$26)+SUMPRODUCT((Missions!$F$6:$F$26="Spark Ads")*(Missions!$A$6:$A$26="Diamond")*(Missions!$D$6:$D$26="One-time")*'Affiliate Projection'!G23*Missions!$E$6:$E$26*Missions!$J$6:$J$26)+SUMPRODUCT((Missions!$F$6:$F$26="Spark Ads")*(Missions!$A$6:$A$26="Diamond")*(Missions!$D$6:$D$26&lt;&gt;"One-time")*'Affiliate Projection'!G17*Missions!$E$6:$E$26*Missions!$J$6:$J$26)</f>
        <v>0</v>
      </c>
      <c r="H25" s="10">
        <f>SUMPRODUCT((Missions!$F$6:$F$26="Spark Ads")*(Missions!$A$6:$A$26="Bronze")*(Missions!$D$6:$D$26="One-time")*'Affiliate Projection'!H19*Missions!$E$6:$E$26*Missions!$J$6:$J$26)+SUMPRODUCT((Missions!$F$6:$F$26="Spark Ads")*(Missions!$A$6:$A$26="Bronze")*(Missions!$D$6:$D$26&lt;&gt;"One-time")*'Affiliate Projection'!H13*Missions!$E$6:$E$26*Missions!$J$6:$J$26)+SUMPRODUCT((Missions!$F$6:$F$26="Spark Ads")*(Missions!$A$6:$A$26="Silver")*(Missions!$D$6:$D$26="One-time")*'Affiliate Projection'!H20*Missions!$E$6:$E$26*Missions!$J$6:$J$26)+SUMPRODUCT((Missions!$F$6:$F$26="Spark Ads")*(Missions!$A$6:$A$26="Silver")*(Missions!$D$6:$D$26&lt;&gt;"One-time")*'Affiliate Projection'!H14*Missions!$E$6:$E$26*Missions!$J$6:$J$26)+SUMPRODUCT((Missions!$F$6:$F$26="Spark Ads")*(Missions!$A$6:$A$26="Gold")*(Missions!$D$6:$D$26="One-time")*'Affiliate Projection'!H21*Missions!$E$6:$E$26*Missions!$J$6:$J$26)+SUMPRODUCT((Missions!$F$6:$F$26="Spark Ads")*(Missions!$A$6:$A$26="Gold")*(Missions!$D$6:$D$26&lt;&gt;"One-time")*'Affiliate Projection'!H15*Missions!$E$6:$E$26*Missions!$J$6:$J$26)+SUMPRODUCT((Missions!$F$6:$F$26="Spark Ads")*(Missions!$A$6:$A$26="Platinum")*(Missions!$D$6:$D$26="One-time")*'Affiliate Projection'!H22*Missions!$E$6:$E$26*Missions!$J$6:$J$26)+SUMPRODUCT((Missions!$F$6:$F$26="Spark Ads")*(Missions!$A$6:$A$26="Platinum")*(Missions!$D$6:$D$26&lt;&gt;"One-time")*'Affiliate Projection'!H16*Missions!$E$6:$E$26*Missions!$J$6:$J$26)+SUMPRODUCT((Missions!$F$6:$F$26="Spark Ads")*(Missions!$A$6:$A$26="Diamond")*(Missions!$D$6:$D$26="One-time")*'Affiliate Projection'!H23*Missions!$E$6:$E$26*Missions!$J$6:$J$26)+SUMPRODUCT((Missions!$F$6:$F$26="Spark Ads")*(Missions!$A$6:$A$26="Diamond")*(Missions!$D$6:$D$26&lt;&gt;"One-time")*'Affiliate Projection'!H17*Missions!$E$6:$E$26*Missions!$J$6:$J$26)</f>
        <v>0</v>
      </c>
      <c r="I25" s="10">
        <f>SUMPRODUCT((Missions!$F$6:$F$26="Spark Ads")*(Missions!$A$6:$A$26="Bronze")*(Missions!$D$6:$D$26="One-time")*'Affiliate Projection'!I19*Missions!$E$6:$E$26*Missions!$J$6:$J$26)+SUMPRODUCT((Missions!$F$6:$F$26="Spark Ads")*(Missions!$A$6:$A$26="Bronze")*(Missions!$D$6:$D$26&lt;&gt;"One-time")*'Affiliate Projection'!I13*Missions!$E$6:$E$26*Missions!$J$6:$J$26)+SUMPRODUCT((Missions!$F$6:$F$26="Spark Ads")*(Missions!$A$6:$A$26="Silver")*(Missions!$D$6:$D$26="One-time")*'Affiliate Projection'!I20*Missions!$E$6:$E$26*Missions!$J$6:$J$26)+SUMPRODUCT((Missions!$F$6:$F$26="Spark Ads")*(Missions!$A$6:$A$26="Silver")*(Missions!$D$6:$D$26&lt;&gt;"One-time")*'Affiliate Projection'!I14*Missions!$E$6:$E$26*Missions!$J$6:$J$26)+SUMPRODUCT((Missions!$F$6:$F$26="Spark Ads")*(Missions!$A$6:$A$26="Gold")*(Missions!$D$6:$D$26="One-time")*'Affiliate Projection'!I21*Missions!$E$6:$E$26*Missions!$J$6:$J$26)+SUMPRODUCT((Missions!$F$6:$F$26="Spark Ads")*(Missions!$A$6:$A$26="Gold")*(Missions!$D$6:$D$26&lt;&gt;"One-time")*'Affiliate Projection'!I15*Missions!$E$6:$E$26*Missions!$J$6:$J$26)+SUMPRODUCT((Missions!$F$6:$F$26="Spark Ads")*(Missions!$A$6:$A$26="Platinum")*(Missions!$D$6:$D$26="One-time")*'Affiliate Projection'!I22*Missions!$E$6:$E$26*Missions!$J$6:$J$26)+SUMPRODUCT((Missions!$F$6:$F$26="Spark Ads")*(Missions!$A$6:$A$26="Platinum")*(Missions!$D$6:$D$26&lt;&gt;"One-time")*'Affiliate Projection'!I16*Missions!$E$6:$E$26*Missions!$J$6:$J$26)+SUMPRODUCT((Missions!$F$6:$F$26="Spark Ads")*(Missions!$A$6:$A$26="Diamond")*(Missions!$D$6:$D$26="One-time")*'Affiliate Projection'!I23*Missions!$E$6:$E$26*Missions!$J$6:$J$26)+SUMPRODUCT((Missions!$F$6:$F$26="Spark Ads")*(Missions!$A$6:$A$26="Diamond")*(Missions!$D$6:$D$26&lt;&gt;"One-time")*'Affiliate Projection'!I17*Missions!$E$6:$E$26*Missions!$J$6:$J$26)</f>
        <v>0</v>
      </c>
      <c r="J25" s="10">
        <f>SUMPRODUCT((Missions!$F$6:$F$26="Spark Ads")*(Missions!$A$6:$A$26="Bronze")*(Missions!$D$6:$D$26="One-time")*'Affiliate Projection'!J19*Missions!$E$6:$E$26*Missions!$J$6:$J$26)+SUMPRODUCT((Missions!$F$6:$F$26="Spark Ads")*(Missions!$A$6:$A$26="Bronze")*(Missions!$D$6:$D$26&lt;&gt;"One-time")*'Affiliate Projection'!J13*Missions!$E$6:$E$26*Missions!$J$6:$J$26)+SUMPRODUCT((Missions!$F$6:$F$26="Spark Ads")*(Missions!$A$6:$A$26="Silver")*(Missions!$D$6:$D$26="One-time")*'Affiliate Projection'!J20*Missions!$E$6:$E$26*Missions!$J$6:$J$26)+SUMPRODUCT((Missions!$F$6:$F$26="Spark Ads")*(Missions!$A$6:$A$26="Silver")*(Missions!$D$6:$D$26&lt;&gt;"One-time")*'Affiliate Projection'!J14*Missions!$E$6:$E$26*Missions!$J$6:$J$26)+SUMPRODUCT((Missions!$F$6:$F$26="Spark Ads")*(Missions!$A$6:$A$26="Gold")*(Missions!$D$6:$D$26="One-time")*'Affiliate Projection'!J21*Missions!$E$6:$E$26*Missions!$J$6:$J$26)+SUMPRODUCT((Missions!$F$6:$F$26="Spark Ads")*(Missions!$A$6:$A$26="Gold")*(Missions!$D$6:$D$26&lt;&gt;"One-time")*'Affiliate Projection'!J15*Missions!$E$6:$E$26*Missions!$J$6:$J$26)+SUMPRODUCT((Missions!$F$6:$F$26="Spark Ads")*(Missions!$A$6:$A$26="Platinum")*(Missions!$D$6:$D$26="One-time")*'Affiliate Projection'!J22*Missions!$E$6:$E$26*Missions!$J$6:$J$26)+SUMPRODUCT((Missions!$F$6:$F$26="Spark Ads")*(Missions!$A$6:$A$26="Platinum")*(Missions!$D$6:$D$26&lt;&gt;"One-time")*'Affiliate Projection'!J16*Missions!$E$6:$E$26*Missions!$J$6:$J$26)+SUMPRODUCT((Missions!$F$6:$F$26="Spark Ads")*(Missions!$A$6:$A$26="Diamond")*(Missions!$D$6:$D$26="One-time")*'Affiliate Projection'!J23*Missions!$E$6:$E$26*Missions!$J$6:$J$26)+SUMPRODUCT((Missions!$F$6:$F$26="Spark Ads")*(Missions!$A$6:$A$26="Diamond")*(Missions!$D$6:$D$26&lt;&gt;"One-time")*'Affiliate Projection'!J17*Missions!$E$6:$E$26*Missions!$J$6:$J$26)</f>
        <v>0</v>
      </c>
      <c r="K25" s="10">
        <f>SUMPRODUCT((Missions!$F$6:$F$26="Spark Ads")*(Missions!$A$6:$A$26="Bronze")*(Missions!$D$6:$D$26="One-time")*'Affiliate Projection'!K19*Missions!$E$6:$E$26*Missions!$J$6:$J$26)+SUMPRODUCT((Missions!$F$6:$F$26="Spark Ads")*(Missions!$A$6:$A$26="Bronze")*(Missions!$D$6:$D$26&lt;&gt;"One-time")*'Affiliate Projection'!K13*Missions!$E$6:$E$26*Missions!$J$6:$J$26)+SUMPRODUCT((Missions!$F$6:$F$26="Spark Ads")*(Missions!$A$6:$A$26="Silver")*(Missions!$D$6:$D$26="One-time")*'Affiliate Projection'!K20*Missions!$E$6:$E$26*Missions!$J$6:$J$26)+SUMPRODUCT((Missions!$F$6:$F$26="Spark Ads")*(Missions!$A$6:$A$26="Silver")*(Missions!$D$6:$D$26&lt;&gt;"One-time")*'Affiliate Projection'!K14*Missions!$E$6:$E$26*Missions!$J$6:$J$26)+SUMPRODUCT((Missions!$F$6:$F$26="Spark Ads")*(Missions!$A$6:$A$26="Gold")*(Missions!$D$6:$D$26="One-time")*'Affiliate Projection'!K21*Missions!$E$6:$E$26*Missions!$J$6:$J$26)+SUMPRODUCT((Missions!$F$6:$F$26="Spark Ads")*(Missions!$A$6:$A$26="Gold")*(Missions!$D$6:$D$26&lt;&gt;"One-time")*'Affiliate Projection'!K15*Missions!$E$6:$E$26*Missions!$J$6:$J$26)+SUMPRODUCT((Missions!$F$6:$F$26="Spark Ads")*(Missions!$A$6:$A$26="Platinum")*(Missions!$D$6:$D$26="One-time")*'Affiliate Projection'!K22*Missions!$E$6:$E$26*Missions!$J$6:$J$26)+SUMPRODUCT((Missions!$F$6:$F$26="Spark Ads")*(Missions!$A$6:$A$26="Platinum")*(Missions!$D$6:$D$26&lt;&gt;"One-time")*'Affiliate Projection'!K16*Missions!$E$6:$E$26*Missions!$J$6:$J$26)+SUMPRODUCT((Missions!$F$6:$F$26="Spark Ads")*(Missions!$A$6:$A$26="Diamond")*(Missions!$D$6:$D$26="One-time")*'Affiliate Projection'!K23*Missions!$E$6:$E$26*Missions!$J$6:$J$26)+SUMPRODUCT((Missions!$F$6:$F$26="Spark Ads")*(Missions!$A$6:$A$26="Diamond")*(Missions!$D$6:$D$26&lt;&gt;"One-time")*'Affiliate Projection'!K17*Missions!$E$6:$E$26*Missions!$J$6:$J$26)</f>
        <v>0</v>
      </c>
      <c r="L25" s="10">
        <f>SUMPRODUCT((Missions!$F$6:$F$26="Spark Ads")*(Missions!$A$6:$A$26="Bronze")*(Missions!$D$6:$D$26="One-time")*'Affiliate Projection'!L19*Missions!$E$6:$E$26*Missions!$J$6:$J$26)+SUMPRODUCT((Missions!$F$6:$F$26="Spark Ads")*(Missions!$A$6:$A$26="Bronze")*(Missions!$D$6:$D$26&lt;&gt;"One-time")*'Affiliate Projection'!L13*Missions!$E$6:$E$26*Missions!$J$6:$J$26)+SUMPRODUCT((Missions!$F$6:$F$26="Spark Ads")*(Missions!$A$6:$A$26="Silver")*(Missions!$D$6:$D$26="One-time")*'Affiliate Projection'!L20*Missions!$E$6:$E$26*Missions!$J$6:$J$26)+SUMPRODUCT((Missions!$F$6:$F$26="Spark Ads")*(Missions!$A$6:$A$26="Silver")*(Missions!$D$6:$D$26&lt;&gt;"One-time")*'Affiliate Projection'!L14*Missions!$E$6:$E$26*Missions!$J$6:$J$26)+SUMPRODUCT((Missions!$F$6:$F$26="Spark Ads")*(Missions!$A$6:$A$26="Gold")*(Missions!$D$6:$D$26="One-time")*'Affiliate Projection'!L21*Missions!$E$6:$E$26*Missions!$J$6:$J$26)+SUMPRODUCT((Missions!$F$6:$F$26="Spark Ads")*(Missions!$A$6:$A$26="Gold")*(Missions!$D$6:$D$26&lt;&gt;"One-time")*'Affiliate Projection'!L15*Missions!$E$6:$E$26*Missions!$J$6:$J$26)+SUMPRODUCT((Missions!$F$6:$F$26="Spark Ads")*(Missions!$A$6:$A$26="Platinum")*(Missions!$D$6:$D$26="One-time")*'Affiliate Projection'!L22*Missions!$E$6:$E$26*Missions!$J$6:$J$26)+SUMPRODUCT((Missions!$F$6:$F$26="Spark Ads")*(Missions!$A$6:$A$26="Platinum")*(Missions!$D$6:$D$26&lt;&gt;"One-time")*'Affiliate Projection'!L16*Missions!$E$6:$E$26*Missions!$J$6:$J$26)+SUMPRODUCT((Missions!$F$6:$F$26="Spark Ads")*(Missions!$A$6:$A$26="Diamond")*(Missions!$D$6:$D$26="One-time")*'Affiliate Projection'!L23*Missions!$E$6:$E$26*Missions!$J$6:$J$26)+SUMPRODUCT((Missions!$F$6:$F$26="Spark Ads")*(Missions!$A$6:$A$26="Diamond")*(Missions!$D$6:$D$26&lt;&gt;"One-time")*'Affiliate Projection'!L17*Missions!$E$6:$E$26*Missions!$J$6:$J$26)</f>
        <v>0</v>
      </c>
      <c r="M25" s="10">
        <f>SUMPRODUCT((Missions!$F$6:$F$26="Spark Ads")*(Missions!$A$6:$A$26="Bronze")*(Missions!$D$6:$D$26="One-time")*'Affiliate Projection'!M19*Missions!$E$6:$E$26*Missions!$J$6:$J$26)+SUMPRODUCT((Missions!$F$6:$F$26="Spark Ads")*(Missions!$A$6:$A$26="Bronze")*(Missions!$D$6:$D$26&lt;&gt;"One-time")*'Affiliate Projection'!M13*Missions!$E$6:$E$26*Missions!$J$6:$J$26)+SUMPRODUCT((Missions!$F$6:$F$26="Spark Ads")*(Missions!$A$6:$A$26="Silver")*(Missions!$D$6:$D$26="One-time")*'Affiliate Projection'!M20*Missions!$E$6:$E$26*Missions!$J$6:$J$26)+SUMPRODUCT((Missions!$F$6:$F$26="Spark Ads")*(Missions!$A$6:$A$26="Silver")*(Missions!$D$6:$D$26&lt;&gt;"One-time")*'Affiliate Projection'!M14*Missions!$E$6:$E$26*Missions!$J$6:$J$26)+SUMPRODUCT((Missions!$F$6:$F$26="Spark Ads")*(Missions!$A$6:$A$26="Gold")*(Missions!$D$6:$D$26="One-time")*'Affiliate Projection'!M21*Missions!$E$6:$E$26*Missions!$J$6:$J$26)+SUMPRODUCT((Missions!$F$6:$F$26="Spark Ads")*(Missions!$A$6:$A$26="Gold")*(Missions!$D$6:$D$26&lt;&gt;"One-time")*'Affiliate Projection'!M15*Missions!$E$6:$E$26*Missions!$J$6:$J$26)+SUMPRODUCT((Missions!$F$6:$F$26="Spark Ads")*(Missions!$A$6:$A$26="Platinum")*(Missions!$D$6:$D$26="One-time")*'Affiliate Projection'!M22*Missions!$E$6:$E$26*Missions!$J$6:$J$26)+SUMPRODUCT((Missions!$F$6:$F$26="Spark Ads")*(Missions!$A$6:$A$26="Platinum")*(Missions!$D$6:$D$26&lt;&gt;"One-time")*'Affiliate Projection'!M16*Missions!$E$6:$E$26*Missions!$J$6:$J$26)+SUMPRODUCT((Missions!$F$6:$F$26="Spark Ads")*(Missions!$A$6:$A$26="Diamond")*(Missions!$D$6:$D$26="One-time")*'Affiliate Projection'!M23*Missions!$E$6:$E$26*Missions!$J$6:$J$26)+SUMPRODUCT((Missions!$F$6:$F$26="Spark Ads")*(Missions!$A$6:$A$26="Diamond")*(Missions!$D$6:$D$26&lt;&gt;"One-time")*'Affiliate Projection'!M17*Missions!$E$6:$E$26*Missions!$J$6:$J$26)</f>
        <v>0</v>
      </c>
    </row>
    <row r="26" spans="1:13" hidden="1" x14ac:dyDescent="0.25">
      <c r="A26" s="72" t="s">
        <v>143</v>
      </c>
      <c r="B26" s="10">
        <f>'Affiliate Projection'!B19*'VIP Levels'!$G$23*'VIP Levels'!$H$23+'Affiliate Projection'!B20*'VIP Levels'!$G$24*'VIP Levels'!$H$24+'Affiliate Projection'!B21*'VIP Levels'!$G$25*'VIP Levels'!$H$25+'Affiliate Projection'!B22*'VIP Levels'!$G$26*'VIP Levels'!$H$26+'Affiliate Projection'!B23*'VIP Levels'!$G$27*'VIP Levels'!$H$27</f>
        <v>0</v>
      </c>
      <c r="C26" s="10">
        <f>'Affiliate Projection'!C19*'VIP Levels'!$G$23*'VIP Levels'!$H$23+'Affiliate Projection'!C20*'VIP Levels'!$G$24*'VIP Levels'!$H$24+'Affiliate Projection'!C21*'VIP Levels'!$G$25*'VIP Levels'!$H$25+'Affiliate Projection'!C22*'VIP Levels'!$G$26*'VIP Levels'!$H$26+'Affiliate Projection'!C23*'VIP Levels'!$G$27*'VIP Levels'!$H$27</f>
        <v>0</v>
      </c>
      <c r="D26" s="10">
        <f>'Affiliate Projection'!D19*'VIP Levels'!$G$23*'VIP Levels'!$H$23+'Affiliate Projection'!D20*'VIP Levels'!$G$24*'VIP Levels'!$H$24+'Affiliate Projection'!D21*'VIP Levels'!$G$25*'VIP Levels'!$H$25+'Affiliate Projection'!D22*'VIP Levels'!$G$26*'VIP Levels'!$H$26+'Affiliate Projection'!D23*'VIP Levels'!$G$27*'VIP Levels'!$H$27</f>
        <v>0</v>
      </c>
      <c r="E26" s="10">
        <f>'Affiliate Projection'!E19*'VIP Levels'!$G$23*'VIP Levels'!$H$23+'Affiliate Projection'!E20*'VIP Levels'!$G$24*'VIP Levels'!$H$24+'Affiliate Projection'!E21*'VIP Levels'!$G$25*'VIP Levels'!$H$25+'Affiliate Projection'!E22*'VIP Levels'!$G$26*'VIP Levels'!$H$26+'Affiliate Projection'!E23*'VIP Levels'!$G$27*'VIP Levels'!$H$27</f>
        <v>0</v>
      </c>
      <c r="F26" s="10">
        <f>'Affiliate Projection'!F19*'VIP Levels'!$G$23*'VIP Levels'!$H$23+'Affiliate Projection'!F20*'VIP Levels'!$G$24*'VIP Levels'!$H$24+'Affiliate Projection'!F21*'VIP Levels'!$G$25*'VIP Levels'!$H$25+'Affiliate Projection'!F22*'VIP Levels'!$G$26*'VIP Levels'!$H$26+'Affiliate Projection'!F23*'VIP Levels'!$G$27*'VIP Levels'!$H$27</f>
        <v>0</v>
      </c>
      <c r="G26" s="10">
        <f>'Affiliate Projection'!G19*'VIP Levels'!$G$23*'VIP Levels'!$H$23+'Affiliate Projection'!G20*'VIP Levels'!$G$24*'VIP Levels'!$H$24+'Affiliate Projection'!G21*'VIP Levels'!$G$25*'VIP Levels'!$H$25+'Affiliate Projection'!G22*'VIP Levels'!$G$26*'VIP Levels'!$H$26+'Affiliate Projection'!G23*'VIP Levels'!$G$27*'VIP Levels'!$H$27</f>
        <v>0</v>
      </c>
      <c r="H26" s="10">
        <f>'Affiliate Projection'!H19*'VIP Levels'!$G$23*'VIP Levels'!$H$23+'Affiliate Projection'!H20*'VIP Levels'!$G$24*'VIP Levels'!$H$24+'Affiliate Projection'!H21*'VIP Levels'!$G$25*'VIP Levels'!$H$25+'Affiliate Projection'!H22*'VIP Levels'!$G$26*'VIP Levels'!$H$26+'Affiliate Projection'!H23*'VIP Levels'!$G$27*'VIP Levels'!$H$27</f>
        <v>0</v>
      </c>
      <c r="I26" s="10">
        <f>'Affiliate Projection'!I19*'VIP Levels'!$G$23*'VIP Levels'!$H$23+'Affiliate Projection'!I20*'VIP Levels'!$G$24*'VIP Levels'!$H$24+'Affiliate Projection'!I21*'VIP Levels'!$G$25*'VIP Levels'!$H$25+'Affiliate Projection'!I22*'VIP Levels'!$G$26*'VIP Levels'!$H$26+'Affiliate Projection'!I23*'VIP Levels'!$G$27*'VIP Levels'!$H$27</f>
        <v>0</v>
      </c>
      <c r="J26" s="10">
        <f>'Affiliate Projection'!J19*'VIP Levels'!$G$23*'VIP Levels'!$H$23+'Affiliate Projection'!J20*'VIP Levels'!$G$24*'VIP Levels'!$H$24+'Affiliate Projection'!J21*'VIP Levels'!$G$25*'VIP Levels'!$H$25+'Affiliate Projection'!J22*'VIP Levels'!$G$26*'VIP Levels'!$H$26+'Affiliate Projection'!J23*'VIP Levels'!$G$27*'VIP Levels'!$H$27</f>
        <v>0</v>
      </c>
      <c r="K26" s="10">
        <f>'Affiliate Projection'!K19*'VIP Levels'!$G$23*'VIP Levels'!$H$23+'Affiliate Projection'!K20*'VIP Levels'!$G$24*'VIP Levels'!$H$24+'Affiliate Projection'!K21*'VIP Levels'!$G$25*'VIP Levels'!$H$25+'Affiliate Projection'!K22*'VIP Levels'!$G$26*'VIP Levels'!$H$26+'Affiliate Projection'!K23*'VIP Levels'!$G$27*'VIP Levels'!$H$27</f>
        <v>0</v>
      </c>
      <c r="L26" s="10">
        <f>'Affiliate Projection'!L19*'VIP Levels'!$G$23*'VIP Levels'!$H$23+'Affiliate Projection'!L20*'VIP Levels'!$G$24*'VIP Levels'!$H$24+'Affiliate Projection'!L21*'VIP Levels'!$G$25*'VIP Levels'!$H$25+'Affiliate Projection'!L22*'VIP Levels'!$G$26*'VIP Levels'!$H$26+'Affiliate Projection'!L23*'VIP Levels'!$G$27*'VIP Levels'!$H$27</f>
        <v>0</v>
      </c>
      <c r="M26" s="10">
        <f>'Affiliate Projection'!M19*'VIP Levels'!$G$23*'VIP Levels'!$H$23+'Affiliate Projection'!M20*'VIP Levels'!$G$24*'VIP Levels'!$H$24+'Affiliate Projection'!M21*'VIP Levels'!$G$25*'VIP Levels'!$H$25+'Affiliate Projection'!M22*'VIP Levels'!$G$26*'VIP Levels'!$H$26+'Affiliate Projection'!M23*'VIP Levels'!$G$27*'VIP Levels'!$H$27</f>
        <v>0</v>
      </c>
    </row>
    <row r="27" spans="1:13" hidden="1" x14ac:dyDescent="0.25">
      <c r="A27" s="72" t="s">
        <v>144</v>
      </c>
      <c r="B27" s="10">
        <f>'Affiliate Projection'!B19*'VIP Levels'!$B$31*'VIP Levels'!$C$31+'Affiliate Projection'!B20*'VIP Levels'!$B$32*'VIP Levels'!$C$32+'Affiliate Projection'!B21*'VIP Levels'!$B$33*'VIP Levels'!$C$33+'Affiliate Projection'!B22*'VIP Levels'!$B$34*'VIP Levels'!$C$34+'Affiliate Projection'!B23*'VIP Levels'!$B$35*'VIP Levels'!$C$35</f>
        <v>0</v>
      </c>
      <c r="C27" s="10">
        <f>'Affiliate Projection'!C19*'VIP Levels'!$B$31*'VIP Levels'!$C$31+'Affiliate Projection'!C20*'VIP Levels'!$B$32*'VIP Levels'!$C$32+'Affiliate Projection'!C21*'VIP Levels'!$B$33*'VIP Levels'!$C$33+'Affiliate Projection'!C22*'VIP Levels'!$B$34*'VIP Levels'!$C$34+'Affiliate Projection'!C23*'VIP Levels'!$B$35*'VIP Levels'!$C$35</f>
        <v>0</v>
      </c>
      <c r="D27" s="10">
        <f>'Affiliate Projection'!D19*'VIP Levels'!$B$31*'VIP Levels'!$C$31+'Affiliate Projection'!D20*'VIP Levels'!$B$32*'VIP Levels'!$C$32+'Affiliate Projection'!D21*'VIP Levels'!$B$33*'VIP Levels'!$C$33+'Affiliate Projection'!D22*'VIP Levels'!$B$34*'VIP Levels'!$C$34+'Affiliate Projection'!D23*'VIP Levels'!$B$35*'VIP Levels'!$C$35</f>
        <v>0</v>
      </c>
      <c r="E27" s="10">
        <f>'Affiliate Projection'!E19*'VIP Levels'!$B$31*'VIP Levels'!$C$31+'Affiliate Projection'!E20*'VIP Levels'!$B$32*'VIP Levels'!$C$32+'Affiliate Projection'!E21*'VIP Levels'!$B$33*'VIP Levels'!$C$33+'Affiliate Projection'!E22*'VIP Levels'!$B$34*'VIP Levels'!$C$34+'Affiliate Projection'!E23*'VIP Levels'!$B$35*'VIP Levels'!$C$35</f>
        <v>0</v>
      </c>
      <c r="F27" s="10">
        <f>'Affiliate Projection'!F19*'VIP Levels'!$B$31*'VIP Levels'!$C$31+'Affiliate Projection'!F20*'VIP Levels'!$B$32*'VIP Levels'!$C$32+'Affiliate Projection'!F21*'VIP Levels'!$B$33*'VIP Levels'!$C$33+'Affiliate Projection'!F22*'VIP Levels'!$B$34*'VIP Levels'!$C$34+'Affiliate Projection'!F23*'VIP Levels'!$B$35*'VIP Levels'!$C$35</f>
        <v>0</v>
      </c>
      <c r="G27" s="10">
        <f>'Affiliate Projection'!G19*'VIP Levels'!$B$31*'VIP Levels'!$C$31+'Affiliate Projection'!G20*'VIP Levels'!$B$32*'VIP Levels'!$C$32+'Affiliate Projection'!G21*'VIP Levels'!$B$33*'VIP Levels'!$C$33+'Affiliate Projection'!G22*'VIP Levels'!$B$34*'VIP Levels'!$C$34+'Affiliate Projection'!G23*'VIP Levels'!$B$35*'VIP Levels'!$C$35</f>
        <v>0</v>
      </c>
      <c r="H27" s="10">
        <f>'Affiliate Projection'!H19*'VIP Levels'!$B$31*'VIP Levels'!$C$31+'Affiliate Projection'!H20*'VIP Levels'!$B$32*'VIP Levels'!$C$32+'Affiliate Projection'!H21*'VIP Levels'!$B$33*'VIP Levels'!$C$33+'Affiliate Projection'!H22*'VIP Levels'!$B$34*'VIP Levels'!$C$34+'Affiliate Projection'!H23*'VIP Levels'!$B$35*'VIP Levels'!$C$35</f>
        <v>0</v>
      </c>
      <c r="I27" s="10">
        <f>'Affiliate Projection'!I19*'VIP Levels'!$B$31*'VIP Levels'!$C$31+'Affiliate Projection'!I20*'VIP Levels'!$B$32*'VIP Levels'!$C$32+'Affiliate Projection'!I21*'VIP Levels'!$B$33*'VIP Levels'!$C$33+'Affiliate Projection'!I22*'VIP Levels'!$B$34*'VIP Levels'!$C$34+'Affiliate Projection'!I23*'VIP Levels'!$B$35*'VIP Levels'!$C$35</f>
        <v>0</v>
      </c>
      <c r="J27" s="10">
        <f>'Affiliate Projection'!J19*'VIP Levels'!$B$31*'VIP Levels'!$C$31+'Affiliate Projection'!J20*'VIP Levels'!$B$32*'VIP Levels'!$C$32+'Affiliate Projection'!J21*'VIP Levels'!$B$33*'VIP Levels'!$C$33+'Affiliate Projection'!J22*'VIP Levels'!$B$34*'VIP Levels'!$C$34+'Affiliate Projection'!J23*'VIP Levels'!$B$35*'VIP Levels'!$C$35</f>
        <v>0</v>
      </c>
      <c r="K27" s="10">
        <f>'Affiliate Projection'!K19*'VIP Levels'!$B$31*'VIP Levels'!$C$31+'Affiliate Projection'!K20*'VIP Levels'!$B$32*'VIP Levels'!$C$32+'Affiliate Projection'!K21*'VIP Levels'!$B$33*'VIP Levels'!$C$33+'Affiliate Projection'!K22*'VIP Levels'!$B$34*'VIP Levels'!$C$34+'Affiliate Projection'!K23*'VIP Levels'!$B$35*'VIP Levels'!$C$35</f>
        <v>0</v>
      </c>
      <c r="L27" s="10">
        <f>'Affiliate Projection'!L19*'VIP Levels'!$B$31*'VIP Levels'!$C$31+'Affiliate Projection'!L20*'VIP Levels'!$B$32*'VIP Levels'!$C$32+'Affiliate Projection'!L21*'VIP Levels'!$B$33*'VIP Levels'!$C$33+'Affiliate Projection'!L22*'VIP Levels'!$B$34*'VIP Levels'!$C$34+'Affiliate Projection'!L23*'VIP Levels'!$B$35*'VIP Levels'!$C$35</f>
        <v>0</v>
      </c>
      <c r="M27" s="10">
        <f>'Affiliate Projection'!M19*'VIP Levels'!$B$31*'VIP Levels'!$C$31+'Affiliate Projection'!M20*'VIP Levels'!$B$32*'VIP Levels'!$C$32+'Affiliate Projection'!M21*'VIP Levels'!$B$33*'VIP Levels'!$C$33+'Affiliate Projection'!M22*'VIP Levels'!$B$34*'VIP Levels'!$C$34+'Affiliate Projection'!M23*'VIP Levels'!$B$35*'VIP Levels'!$C$35</f>
        <v>0</v>
      </c>
    </row>
    <row r="28" spans="1:13" hidden="1" x14ac:dyDescent="0.25">
      <c r="A28" s="72" t="s">
        <v>145</v>
      </c>
      <c r="B28" s="10">
        <f>'Affiliate Projection'!B4*Inputs!$B$30</f>
        <v>2250</v>
      </c>
      <c r="C28" s="10">
        <f>'Affiliate Projection'!C4*Inputs!$B$30</f>
        <v>1500</v>
      </c>
      <c r="D28" s="10">
        <f>'Affiliate Projection'!D4*Inputs!$B$30</f>
        <v>1500</v>
      </c>
      <c r="E28" s="10">
        <f>'Affiliate Projection'!E4*Inputs!$B$30</f>
        <v>1500</v>
      </c>
      <c r="F28" s="10">
        <f>'Affiliate Projection'!F4*Inputs!$B$30</f>
        <v>1500</v>
      </c>
      <c r="G28" s="10">
        <f>'Affiliate Projection'!G4*Inputs!$B$30</f>
        <v>1500</v>
      </c>
      <c r="H28" s="10">
        <f>'Affiliate Projection'!H4*Inputs!$B$30</f>
        <v>1500</v>
      </c>
      <c r="I28" s="10">
        <f>'Affiliate Projection'!I4*Inputs!$B$30</f>
        <v>1500</v>
      </c>
      <c r="J28" s="10">
        <f>'Affiliate Projection'!J4*Inputs!$B$30</f>
        <v>1500</v>
      </c>
      <c r="K28" s="10">
        <f>'Affiliate Projection'!K4*Inputs!$B$30</f>
        <v>1500</v>
      </c>
      <c r="L28" s="10">
        <f>'Affiliate Projection'!L4*Inputs!$B$30</f>
        <v>1500</v>
      </c>
      <c r="M28" s="10">
        <f>'Affiliate Projection'!M4*Inputs!$B$30</f>
        <v>1500</v>
      </c>
    </row>
    <row r="29" spans="1:13" hidden="1" x14ac:dyDescent="0.25">
      <c r="A29" s="72" t="s">
        <v>146</v>
      </c>
      <c r="B29" s="11">
        <f t="shared" ref="B29:M29" si="4">SUM(B24:B28)</f>
        <v>2250</v>
      </c>
      <c r="C29" s="11">
        <f t="shared" si="4"/>
        <v>1500</v>
      </c>
      <c r="D29" s="11">
        <f t="shared" si="4"/>
        <v>1500</v>
      </c>
      <c r="E29" s="11">
        <f t="shared" si="4"/>
        <v>1500</v>
      </c>
      <c r="F29" s="11">
        <f t="shared" si="4"/>
        <v>1500</v>
      </c>
      <c r="G29" s="11">
        <f t="shared" si="4"/>
        <v>1500</v>
      </c>
      <c r="H29" s="11">
        <f t="shared" si="4"/>
        <v>1500</v>
      </c>
      <c r="I29" s="11">
        <f t="shared" si="4"/>
        <v>1500</v>
      </c>
      <c r="J29" s="11">
        <f t="shared" si="4"/>
        <v>1500</v>
      </c>
      <c r="K29" s="11">
        <f t="shared" si="4"/>
        <v>1500</v>
      </c>
      <c r="L29" s="11">
        <f t="shared" si="4"/>
        <v>1500</v>
      </c>
      <c r="M29" s="11">
        <f t="shared" si="4"/>
        <v>1500</v>
      </c>
    </row>
    <row r="30" spans="1:13" ht="0.75" customHeight="1" x14ac:dyDescent="0.25">
      <c r="A30" s="72"/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2"/>
  <sheetViews>
    <sheetView workbookViewId="0">
      <selection activeCell="A35" sqref="A35"/>
    </sheetView>
  </sheetViews>
  <sheetFormatPr defaultRowHeight="15" x14ac:dyDescent="0.25"/>
  <cols>
    <col min="1" max="1" width="32" customWidth="1"/>
    <col min="2" max="2" width="15" customWidth="1"/>
    <col min="3" max="13" width="10" customWidth="1"/>
  </cols>
  <sheetData>
    <row r="1" spans="1:13" ht="21.75" customHeight="1" x14ac:dyDescent="0.35">
      <c r="A1" s="235" t="s">
        <v>147</v>
      </c>
      <c r="B1" s="234"/>
      <c r="C1" s="234"/>
      <c r="D1" s="234"/>
      <c r="E1" s="234"/>
    </row>
    <row r="2" spans="1:13" ht="18.75" customHeight="1" x14ac:dyDescent="0.3">
      <c r="A2" s="74" t="s">
        <v>148</v>
      </c>
    </row>
    <row r="3" spans="1:13" ht="15.75" customHeight="1" x14ac:dyDescent="0.25">
      <c r="A3" s="65" t="s">
        <v>98</v>
      </c>
      <c r="B3" s="65" t="s">
        <v>149</v>
      </c>
      <c r="C3" s="65" t="s">
        <v>150</v>
      </c>
      <c r="D3" s="65" t="s">
        <v>151</v>
      </c>
      <c r="E3" s="65" t="s">
        <v>152</v>
      </c>
      <c r="F3" s="65" t="s">
        <v>153</v>
      </c>
      <c r="G3" s="65" t="s">
        <v>154</v>
      </c>
      <c r="H3" s="65" t="s">
        <v>155</v>
      </c>
      <c r="I3" s="65" t="s">
        <v>156</v>
      </c>
      <c r="J3" s="65" t="s">
        <v>157</v>
      </c>
      <c r="K3" s="65" t="s">
        <v>158</v>
      </c>
      <c r="L3" s="65" t="s">
        <v>159</v>
      </c>
      <c r="M3" s="65" t="s">
        <v>160</v>
      </c>
    </row>
    <row r="4" spans="1:13" x14ac:dyDescent="0.25">
      <c r="A4" s="64" t="s">
        <v>161</v>
      </c>
      <c r="B4" s="66">
        <f>'Affiliate Projection'!B8</f>
        <v>105</v>
      </c>
      <c r="C4" s="66">
        <f>'Affiliate Projection'!C8</f>
        <v>175</v>
      </c>
      <c r="D4" s="66">
        <f>'Affiliate Projection'!D8</f>
        <v>250</v>
      </c>
      <c r="E4" s="66">
        <f>'Affiliate Projection'!E8</f>
        <v>330</v>
      </c>
      <c r="F4" s="66">
        <f>'Affiliate Projection'!F8</f>
        <v>410</v>
      </c>
      <c r="G4" s="66">
        <f>'Affiliate Projection'!G8</f>
        <v>490</v>
      </c>
      <c r="H4" s="66">
        <f>'Affiliate Projection'!H8</f>
        <v>570</v>
      </c>
      <c r="I4" s="66">
        <f>'Affiliate Projection'!I8</f>
        <v>650</v>
      </c>
      <c r="J4" s="66">
        <f>'Affiliate Projection'!J8</f>
        <v>730</v>
      </c>
      <c r="K4" s="66">
        <f>'Affiliate Projection'!K8</f>
        <v>810</v>
      </c>
      <c r="L4" s="66">
        <f>'Affiliate Projection'!L8</f>
        <v>890</v>
      </c>
      <c r="M4" s="66">
        <f>'Affiliate Projection'!M8</f>
        <v>970</v>
      </c>
    </row>
    <row r="5" spans="1:13" ht="15.75" customHeight="1" x14ac:dyDescent="0.25">
      <c r="A5" s="64" t="s">
        <v>105</v>
      </c>
      <c r="B5" s="66">
        <f>'Affiliate Projection'!B9</f>
        <v>69</v>
      </c>
      <c r="C5" s="66">
        <f>'Affiliate Projection'!C9</f>
        <v>203</v>
      </c>
      <c r="D5" s="66">
        <f>'Affiliate Projection'!D9</f>
        <v>351</v>
      </c>
      <c r="E5" s="66">
        <f>'Affiliate Projection'!E9</f>
        <v>530</v>
      </c>
      <c r="F5" s="66">
        <f>'Affiliate Projection'!F9</f>
        <v>872</v>
      </c>
      <c r="G5" s="66">
        <f>'Affiliate Projection'!G9</f>
        <v>1273</v>
      </c>
      <c r="H5" s="66">
        <f>'Affiliate Projection'!H9</f>
        <v>1558</v>
      </c>
      <c r="I5" s="66">
        <f>'Affiliate Projection'!I9</f>
        <v>2100</v>
      </c>
      <c r="J5" s="66">
        <f>'Affiliate Projection'!J9</f>
        <v>2516</v>
      </c>
      <c r="K5" s="66">
        <f>'Affiliate Projection'!K9</f>
        <v>2951</v>
      </c>
      <c r="L5" s="66">
        <f>'Affiliate Projection'!L9</f>
        <v>3283</v>
      </c>
      <c r="M5" s="66">
        <f>'Affiliate Projection'!M9</f>
        <v>3723</v>
      </c>
    </row>
    <row r="6" spans="1:13" x14ac:dyDescent="0.25">
      <c r="A6" s="64" t="s">
        <v>124</v>
      </c>
      <c r="B6" s="23">
        <f>Revenue!B8</f>
        <v>2760</v>
      </c>
      <c r="C6" s="23">
        <f>Revenue!C8</f>
        <v>8120</v>
      </c>
      <c r="D6" s="23">
        <f>Revenue!D8</f>
        <v>14040</v>
      </c>
      <c r="E6" s="23">
        <f>Revenue!E8</f>
        <v>21200</v>
      </c>
      <c r="F6" s="23">
        <f>Revenue!F8</f>
        <v>34880</v>
      </c>
      <c r="G6" s="23">
        <f>Revenue!G8</f>
        <v>50920</v>
      </c>
      <c r="H6" s="23">
        <f>Revenue!H8</f>
        <v>62320</v>
      </c>
      <c r="I6" s="23">
        <f>Revenue!I8</f>
        <v>84000</v>
      </c>
      <c r="J6" s="23">
        <f>Revenue!J8</f>
        <v>100640</v>
      </c>
      <c r="K6" s="23">
        <f>Revenue!K8</f>
        <v>118040</v>
      </c>
      <c r="L6" s="23">
        <f>Revenue!L8</f>
        <v>131320</v>
      </c>
      <c r="M6" s="23">
        <f>Revenue!M8</f>
        <v>148920</v>
      </c>
    </row>
    <row r="7" spans="1:13" ht="21" customHeight="1" x14ac:dyDescent="0.35">
      <c r="A7" s="233"/>
      <c r="B7" s="234"/>
      <c r="C7" s="234"/>
      <c r="D7" s="234"/>
      <c r="E7" s="234"/>
    </row>
    <row r="8" spans="1:13" ht="20.25" customHeight="1" x14ac:dyDescent="0.3">
      <c r="A8" s="74" t="s">
        <v>162</v>
      </c>
    </row>
    <row r="9" spans="1:13" ht="15" customHeight="1" x14ac:dyDescent="0.25">
      <c r="A9" s="9" t="s">
        <v>127</v>
      </c>
      <c r="B9" s="73">
        <f>Costs!B5</f>
        <v>551.99999999999977</v>
      </c>
      <c r="C9" s="73">
        <f>Costs!C5</f>
        <v>1623.9999999999991</v>
      </c>
      <c r="D9" s="73">
        <f>Costs!D5</f>
        <v>2807.9999999999991</v>
      </c>
      <c r="E9" s="73">
        <f>Costs!E5</f>
        <v>4240</v>
      </c>
      <c r="F9" s="73">
        <f>Costs!F5</f>
        <v>6976</v>
      </c>
      <c r="G9" s="73">
        <f>Costs!G5</f>
        <v>10184.000000000004</v>
      </c>
      <c r="H9" s="73">
        <f>Costs!H5</f>
        <v>12464.000000000004</v>
      </c>
      <c r="I9" s="73">
        <f>Costs!I5</f>
        <v>16800.000000000007</v>
      </c>
      <c r="J9" s="73">
        <f>Costs!J5</f>
        <v>20128.000000000007</v>
      </c>
      <c r="K9" s="73">
        <f>Costs!K5</f>
        <v>23608</v>
      </c>
      <c r="L9" s="73">
        <f>Costs!L5</f>
        <v>26264.000000000004</v>
      </c>
      <c r="M9" s="73">
        <f>Costs!M5</f>
        <v>29784</v>
      </c>
    </row>
    <row r="10" spans="1:13" x14ac:dyDescent="0.25">
      <c r="A10" s="9" t="s">
        <v>128</v>
      </c>
      <c r="B10" s="73">
        <f>Costs!B6</f>
        <v>10.295999999999999</v>
      </c>
      <c r="C10" s="73">
        <f>Costs!C6</f>
        <v>271.57866666666666</v>
      </c>
      <c r="D10" s="73">
        <f>Costs!D6</f>
        <v>295.60266666666666</v>
      </c>
      <c r="E10" s="73">
        <f>Costs!E6</f>
        <v>209.31733333333335</v>
      </c>
      <c r="F10" s="73">
        <f>Costs!F6</f>
        <v>526.89866666666671</v>
      </c>
      <c r="G10" s="73">
        <f>Costs!G6</f>
        <v>1213.7840000000001</v>
      </c>
      <c r="H10" s="73">
        <f>Costs!H6</f>
        <v>1114.2560000000001</v>
      </c>
      <c r="I10" s="73">
        <f>Costs!I6</f>
        <v>1495.7973333333334</v>
      </c>
      <c r="J10" s="73">
        <f>Costs!J6</f>
        <v>1444.2826666666667</v>
      </c>
      <c r="K10" s="73">
        <f>Costs!K6</f>
        <v>1486.8186666666668</v>
      </c>
      <c r="L10" s="73">
        <f>Costs!L6</f>
        <v>1014.3813333333334</v>
      </c>
      <c r="M10" s="73">
        <f>Costs!M6</f>
        <v>1261.3813333333337</v>
      </c>
    </row>
    <row r="11" spans="1:13" x14ac:dyDescent="0.25">
      <c r="A11" s="9" t="s">
        <v>129</v>
      </c>
      <c r="B11" s="73">
        <f>Costs!B7</f>
        <v>28.828799999999994</v>
      </c>
      <c r="C11" s="73">
        <f>Costs!C7</f>
        <v>873.5029333333332</v>
      </c>
      <c r="D11" s="73">
        <f>Costs!D7</f>
        <v>1785.4442666666664</v>
      </c>
      <c r="E11" s="73">
        <f>Costs!E7</f>
        <v>2232.2421333333332</v>
      </c>
      <c r="F11" s="73">
        <f>Costs!F7</f>
        <v>3708.2378666666655</v>
      </c>
      <c r="G11" s="73">
        <f>Costs!G7</f>
        <v>7611.6767999999993</v>
      </c>
      <c r="H11" s="73">
        <f>Costs!H7</f>
        <v>11236.437333333331</v>
      </c>
      <c r="I11" s="73">
        <f>Costs!I7</f>
        <v>15595.216</v>
      </c>
      <c r="J11" s="73">
        <f>Costs!J7</f>
        <v>19670.462933333329</v>
      </c>
      <c r="K11" s="73">
        <f>Costs!K7</f>
        <v>23781.23626666666</v>
      </c>
      <c r="L11" s="73">
        <f>Costs!L7</f>
        <v>26484.251733333331</v>
      </c>
      <c r="M11" s="73">
        <f>Costs!M7</f>
        <v>29460.995199999994</v>
      </c>
    </row>
    <row r="12" spans="1:13" x14ac:dyDescent="0.25">
      <c r="A12" s="9" t="s">
        <v>134</v>
      </c>
      <c r="B12" s="73">
        <f>Costs!B13</f>
        <v>150</v>
      </c>
      <c r="C12" s="73">
        <f>Costs!C13</f>
        <v>1150</v>
      </c>
      <c r="D12" s="73">
        <f>Costs!D13</f>
        <v>1500</v>
      </c>
      <c r="E12" s="73">
        <f>Costs!E13</f>
        <v>2100</v>
      </c>
      <c r="F12" s="73">
        <f>Costs!F13</f>
        <v>4300</v>
      </c>
      <c r="G12" s="73">
        <f>Costs!G13</f>
        <v>4600</v>
      </c>
      <c r="H12" s="73">
        <f>Costs!H13</f>
        <v>3150</v>
      </c>
      <c r="I12" s="73">
        <f>Costs!I13</f>
        <v>6050</v>
      </c>
      <c r="J12" s="73">
        <f>Costs!J13</f>
        <v>4350</v>
      </c>
      <c r="K12" s="73">
        <f>Costs!K13</f>
        <v>4400</v>
      </c>
      <c r="L12" s="73">
        <f>Costs!L13</f>
        <v>3700</v>
      </c>
      <c r="M12" s="73">
        <f>Costs!M13</f>
        <v>4450</v>
      </c>
    </row>
    <row r="13" spans="1:13" x14ac:dyDescent="0.25">
      <c r="A13" s="9" t="s">
        <v>135</v>
      </c>
      <c r="B13" s="73">
        <f>Costs!B14</f>
        <v>804</v>
      </c>
      <c r="C13" s="73">
        <f>Costs!C14</f>
        <v>1450</v>
      </c>
      <c r="D13" s="73">
        <f>Costs!D14</f>
        <v>2578</v>
      </c>
      <c r="E13" s="73">
        <f>Costs!E14</f>
        <v>3902</v>
      </c>
      <c r="F13" s="73">
        <f>Costs!F14</f>
        <v>6694</v>
      </c>
      <c r="G13" s="73">
        <f>Costs!G14</f>
        <v>10262</v>
      </c>
      <c r="H13" s="73">
        <f>Costs!H14</f>
        <v>12960</v>
      </c>
      <c r="I13" s="73">
        <f>Costs!I14</f>
        <v>17614</v>
      </c>
      <c r="J13" s="73">
        <f>Costs!J14</f>
        <v>21278</v>
      </c>
      <c r="K13" s="73">
        <f>Costs!K14</f>
        <v>24990</v>
      </c>
      <c r="L13" s="73">
        <f>Costs!L14</f>
        <v>27876</v>
      </c>
      <c r="M13" s="73">
        <f>Costs!M14</f>
        <v>31302</v>
      </c>
    </row>
    <row r="14" spans="1:13" x14ac:dyDescent="0.25">
      <c r="A14" s="75" t="s">
        <v>163</v>
      </c>
      <c r="B14" s="76">
        <f t="shared" ref="B14:M14" si="0">IF(B5&gt;0,SUM(B9:B13)/B5,0)</f>
        <v>22.393113043478259</v>
      </c>
      <c r="C14" s="76">
        <f t="shared" si="0"/>
        <v>26.448677832512313</v>
      </c>
      <c r="D14" s="76">
        <f t="shared" si="0"/>
        <v>25.547142260208922</v>
      </c>
      <c r="E14" s="76">
        <f t="shared" si="0"/>
        <v>23.931244276729558</v>
      </c>
      <c r="F14" s="76">
        <f t="shared" si="0"/>
        <v>25.464606116207946</v>
      </c>
      <c r="G14" s="76">
        <f t="shared" si="0"/>
        <v>26.60758900235664</v>
      </c>
      <c r="H14" s="76">
        <f t="shared" si="0"/>
        <v>26.2674540008558</v>
      </c>
      <c r="I14" s="76">
        <f t="shared" si="0"/>
        <v>27.407149206349207</v>
      </c>
      <c r="J14" s="76">
        <f t="shared" si="0"/>
        <v>26.578197774244831</v>
      </c>
      <c r="K14" s="76">
        <f t="shared" si="0"/>
        <v>26.521875612786626</v>
      </c>
      <c r="L14" s="76">
        <f t="shared" si="0"/>
        <v>25.99410084272515</v>
      </c>
      <c r="M14" s="76">
        <f t="shared" si="0"/>
        <v>25.855056817978333</v>
      </c>
    </row>
    <row r="15" spans="1:13" x14ac:dyDescent="0.25">
      <c r="A15" s="78" t="s">
        <v>164</v>
      </c>
      <c r="B15" s="77">
        <f>B14/Inputs!$B$12</f>
        <v>0.55982782608695647</v>
      </c>
      <c r="C15" s="77">
        <f>C14/Inputs!$B$12</f>
        <v>0.66121694581280788</v>
      </c>
      <c r="D15" s="77">
        <f>D14/Inputs!$B$12</f>
        <v>0.63867855650522309</v>
      </c>
      <c r="E15" s="77">
        <f>E14/Inputs!$B$12</f>
        <v>0.59828110691823899</v>
      </c>
      <c r="F15" s="77">
        <f>F14/Inputs!$B$12</f>
        <v>0.63661515290519866</v>
      </c>
      <c r="G15" s="77">
        <f>G14/Inputs!$B$12</f>
        <v>0.66518972505891605</v>
      </c>
      <c r="H15" s="77">
        <f>H14/Inputs!$B$12</f>
        <v>0.65668635002139497</v>
      </c>
      <c r="I15" s="77">
        <f>I14/Inputs!$B$12</f>
        <v>0.68517873015873021</v>
      </c>
      <c r="J15" s="77">
        <f>J14/Inputs!$B$12</f>
        <v>0.66445494435612074</v>
      </c>
      <c r="K15" s="77">
        <f>K14/Inputs!$B$12</f>
        <v>0.66304689031966568</v>
      </c>
      <c r="L15" s="77">
        <f>L14/Inputs!$B$12</f>
        <v>0.64985252106812874</v>
      </c>
      <c r="M15" s="77">
        <f>M14/Inputs!$B$12</f>
        <v>0.64637642044945831</v>
      </c>
    </row>
    <row r="16" spans="1:13" ht="21" customHeight="1" x14ac:dyDescent="0.35">
      <c r="A16" s="233"/>
      <c r="B16" s="234"/>
      <c r="C16" s="234"/>
      <c r="D16" s="234"/>
      <c r="E16" s="234"/>
    </row>
    <row r="17" spans="1:13" ht="18.75" customHeight="1" x14ac:dyDescent="0.3">
      <c r="A17" s="74" t="s">
        <v>165</v>
      </c>
    </row>
    <row r="18" spans="1:13" x14ac:dyDescent="0.25">
      <c r="A18" s="22" t="s">
        <v>130</v>
      </c>
      <c r="B18" s="73">
        <f>Costs!B8</f>
        <v>113.568</v>
      </c>
      <c r="C18" s="73">
        <f>Costs!C8</f>
        <v>253.76866666666669</v>
      </c>
      <c r="D18" s="73">
        <f>Costs!D8</f>
        <v>300.3606666666667</v>
      </c>
      <c r="E18" s="73">
        <f>Costs!E8</f>
        <v>364.48533333333336</v>
      </c>
      <c r="F18" s="73">
        <f>Costs!F8</f>
        <v>664.90666666666675</v>
      </c>
      <c r="G18" s="73">
        <f>Costs!G8</f>
        <v>845.57200000000012</v>
      </c>
      <c r="H18" s="73">
        <f>Costs!H8</f>
        <v>671.39800000000014</v>
      </c>
      <c r="I18" s="73">
        <f>Costs!I8</f>
        <v>1130.1593333333333</v>
      </c>
      <c r="J18" s="73">
        <f>Costs!J8</f>
        <v>965.38866666666672</v>
      </c>
      <c r="K18" s="73">
        <f>Costs!K8</f>
        <v>995.05466666666666</v>
      </c>
      <c r="L18" s="73">
        <f>Costs!L8</f>
        <v>783.44933333333324</v>
      </c>
      <c r="M18" s="73">
        <f>Costs!M8</f>
        <v>991.83933333333346</v>
      </c>
    </row>
    <row r="19" spans="1:13" x14ac:dyDescent="0.25">
      <c r="A19" s="12" t="s">
        <v>131</v>
      </c>
      <c r="B19" s="73">
        <f>Costs!B9</f>
        <v>102.4686</v>
      </c>
      <c r="C19" s="73">
        <f>Costs!C9</f>
        <v>325.28946666666661</v>
      </c>
      <c r="D19" s="73">
        <f>Costs!D9</f>
        <v>619.30873333333329</v>
      </c>
      <c r="E19" s="73">
        <f>Costs!E9</f>
        <v>958.31146666666655</v>
      </c>
      <c r="F19" s="73">
        <f>Costs!F9</f>
        <v>1618.3093333333331</v>
      </c>
      <c r="G19" s="73">
        <f>Costs!G9</f>
        <v>2581.4879999999998</v>
      </c>
      <c r="H19" s="73">
        <f>Costs!H9</f>
        <v>3385.4218666666666</v>
      </c>
      <c r="I19" s="73">
        <f>Costs!I9</f>
        <v>4863.4975999999997</v>
      </c>
      <c r="J19" s="73">
        <f>Costs!J9</f>
        <v>6259.1498666666666</v>
      </c>
      <c r="K19" s="73">
        <f>Costs!K9</f>
        <v>7722.8597333333328</v>
      </c>
      <c r="L19" s="73">
        <f>Costs!L9</f>
        <v>8796.749866666667</v>
      </c>
      <c r="M19" s="73">
        <f>Costs!M9</f>
        <v>10265.84</v>
      </c>
    </row>
    <row r="20" spans="1:13" x14ac:dyDescent="0.25">
      <c r="A20" s="75" t="s">
        <v>163</v>
      </c>
      <c r="B20" s="76">
        <f t="shared" ref="B20:M20" si="1">IF(B5&gt;0,SUM(B18:B19)/B5,0)</f>
        <v>3.1309652173913043</v>
      </c>
      <c r="C20" s="76">
        <f t="shared" si="1"/>
        <v>2.8525031198686372</v>
      </c>
      <c r="D20" s="76">
        <f t="shared" si="1"/>
        <v>2.6201407407407409</v>
      </c>
      <c r="E20" s="76">
        <f t="shared" si="1"/>
        <v>2.4958430188679244</v>
      </c>
      <c r="F20" s="76">
        <f t="shared" si="1"/>
        <v>2.6183669724770642</v>
      </c>
      <c r="G20" s="76">
        <f t="shared" si="1"/>
        <v>2.692113118617439</v>
      </c>
      <c r="H20" s="76">
        <f t="shared" si="1"/>
        <v>2.6038638425331624</v>
      </c>
      <c r="I20" s="76">
        <f t="shared" si="1"/>
        <v>2.854122349206349</v>
      </c>
      <c r="J20" s="76">
        <f t="shared" si="1"/>
        <v>2.8714382087970325</v>
      </c>
      <c r="K20" s="76">
        <f t="shared" si="1"/>
        <v>2.9542237885462552</v>
      </c>
      <c r="L20" s="76">
        <f t="shared" si="1"/>
        <v>2.9181234236978377</v>
      </c>
      <c r="M20" s="76">
        <f t="shared" si="1"/>
        <v>3.0238193213358402</v>
      </c>
    </row>
    <row r="21" spans="1:13" x14ac:dyDescent="0.25">
      <c r="A21" s="75" t="s">
        <v>164</v>
      </c>
      <c r="B21" s="77">
        <f>B20/Inputs!$B$12</f>
        <v>7.827413043478261E-2</v>
      </c>
      <c r="C21" s="77">
        <f>C20/Inputs!$B$12</f>
        <v>7.1312577996715934E-2</v>
      </c>
      <c r="D21" s="77">
        <f>D20/Inputs!$B$12</f>
        <v>6.5503518518518516E-2</v>
      </c>
      <c r="E21" s="77">
        <f>E20/Inputs!$B$12</f>
        <v>6.2396075471698106E-2</v>
      </c>
      <c r="F21" s="77">
        <f>F20/Inputs!$B$12</f>
        <v>6.5459174311926605E-2</v>
      </c>
      <c r="G21" s="77">
        <f>G20/Inputs!$B$12</f>
        <v>6.7302827965435977E-2</v>
      </c>
      <c r="H21" s="77">
        <f>H20/Inputs!$B$12</f>
        <v>6.5096596063329057E-2</v>
      </c>
      <c r="I21" s="77">
        <f>I20/Inputs!$B$12</f>
        <v>7.1353058730158722E-2</v>
      </c>
      <c r="J21" s="77">
        <f>J20/Inputs!$B$12</f>
        <v>7.1785955219925812E-2</v>
      </c>
      <c r="K21" s="77">
        <f>K20/Inputs!$B$12</f>
        <v>7.3855594713656381E-2</v>
      </c>
      <c r="L21" s="77">
        <f>L20/Inputs!$B$12</f>
        <v>7.295308559244594E-2</v>
      </c>
      <c r="M21" s="77">
        <f>M20/Inputs!$B$12</f>
        <v>7.5595483033395999E-2</v>
      </c>
    </row>
    <row r="30" spans="1:13" x14ac:dyDescent="0.25">
      <c r="B30" s="67"/>
    </row>
    <row r="32" spans="1:13" x14ac:dyDescent="0.25">
      <c r="B32" s="67"/>
    </row>
  </sheetData>
  <mergeCells count="3">
    <mergeCell ref="A16:E16"/>
    <mergeCell ref="A1:E1"/>
    <mergeCell ref="A7: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80"/>
  <sheetViews>
    <sheetView workbookViewId="0">
      <selection activeCell="J36" sqref="J36"/>
    </sheetView>
  </sheetViews>
  <sheetFormatPr defaultRowHeight="15" x14ac:dyDescent="0.25"/>
  <cols>
    <col min="1" max="1" width="25" customWidth="1"/>
    <col min="2" max="2" width="16" customWidth="1"/>
    <col min="3" max="3" width="23" customWidth="1"/>
    <col min="4" max="5" width="12.28515625" customWidth="1"/>
    <col min="6" max="13" width="8" customWidth="1"/>
  </cols>
  <sheetData>
    <row r="1" spans="1:20" ht="21" customHeight="1" x14ac:dyDescent="0.35">
      <c r="A1" s="236" t="s">
        <v>166</v>
      </c>
      <c r="B1" s="234"/>
      <c r="C1" s="234"/>
      <c r="D1" s="234"/>
      <c r="E1" s="234"/>
      <c r="Q1" s="63"/>
      <c r="T1" s="63"/>
    </row>
    <row r="3" spans="1:20" ht="18.75" customHeight="1" x14ac:dyDescent="0.3">
      <c r="A3" s="68" t="s">
        <v>167</v>
      </c>
    </row>
    <row r="4" spans="1:20" x14ac:dyDescent="0.25">
      <c r="A4" s="69" t="s">
        <v>168</v>
      </c>
      <c r="B4" s="69" t="s">
        <v>169</v>
      </c>
      <c r="C4" s="69" t="s">
        <v>170</v>
      </c>
      <c r="D4" s="69" t="s">
        <v>171</v>
      </c>
      <c r="I4" s="63"/>
    </row>
    <row r="5" spans="1:20" x14ac:dyDescent="0.25">
      <c r="A5" s="70" t="s">
        <v>172</v>
      </c>
      <c r="B5" s="223" t="s">
        <v>169</v>
      </c>
      <c r="C5" s="224" t="s">
        <v>173</v>
      </c>
      <c r="D5" s="225" t="s">
        <v>171</v>
      </c>
    </row>
    <row r="6" spans="1:20" x14ac:dyDescent="0.25">
      <c r="A6" s="70" t="s">
        <v>174</v>
      </c>
      <c r="B6" s="223" t="s">
        <v>175</v>
      </c>
      <c r="C6" s="224" t="s">
        <v>176</v>
      </c>
      <c r="D6" s="225" t="s">
        <v>177</v>
      </c>
      <c r="I6" s="63"/>
    </row>
    <row r="7" spans="1:20" x14ac:dyDescent="0.25">
      <c r="A7" s="70" t="s">
        <v>178</v>
      </c>
      <c r="B7" s="223" t="s">
        <v>179</v>
      </c>
      <c r="C7" s="224" t="s">
        <v>180</v>
      </c>
      <c r="D7" s="225" t="s">
        <v>181</v>
      </c>
    </row>
    <row r="8" spans="1:20" s="214" customFormat="1" x14ac:dyDescent="0.25">
      <c r="B8" s="215"/>
      <c r="C8" s="215"/>
      <c r="D8" s="215"/>
    </row>
    <row r="9" spans="1:20" x14ac:dyDescent="0.25">
      <c r="A9" s="226" t="s">
        <v>182</v>
      </c>
      <c r="B9" s="216"/>
      <c r="C9" s="216"/>
      <c r="D9" s="216"/>
      <c r="E9" s="216"/>
      <c r="F9" s="216"/>
      <c r="G9" s="216"/>
      <c r="H9" s="216"/>
      <c r="I9" s="216"/>
      <c r="J9" s="216"/>
      <c r="K9" s="216"/>
      <c r="L9" s="216"/>
      <c r="M9" s="216"/>
      <c r="N9" s="216"/>
      <c r="O9" s="216"/>
      <c r="P9" s="216"/>
      <c r="Q9" s="216"/>
      <c r="R9" s="216"/>
      <c r="S9" s="216"/>
    </row>
    <row r="10" spans="1:20" s="220" customFormat="1" x14ac:dyDescent="0.25">
      <c r="A10" s="218" t="s">
        <v>98</v>
      </c>
      <c r="B10" s="218" t="s">
        <v>149</v>
      </c>
      <c r="C10" s="218" t="s">
        <v>150</v>
      </c>
      <c r="D10" s="218" t="s">
        <v>151</v>
      </c>
      <c r="E10" s="218" t="s">
        <v>152</v>
      </c>
      <c r="F10" s="218" t="s">
        <v>153</v>
      </c>
      <c r="G10" s="218" t="s">
        <v>154</v>
      </c>
      <c r="H10" s="218" t="s">
        <v>155</v>
      </c>
      <c r="I10" s="218" t="s">
        <v>156</v>
      </c>
      <c r="J10" s="218" t="s">
        <v>157</v>
      </c>
      <c r="K10" s="218" t="s">
        <v>158</v>
      </c>
      <c r="L10" s="218" t="s">
        <v>159</v>
      </c>
      <c r="M10" s="218" t="s">
        <v>160</v>
      </c>
      <c r="O10" s="216"/>
      <c r="P10" s="216"/>
      <c r="Q10" s="216"/>
      <c r="R10" s="216"/>
      <c r="S10" s="216"/>
    </row>
    <row r="11" spans="1:20" s="220" customFormat="1" x14ac:dyDescent="0.25">
      <c r="A11" s="219" t="s">
        <v>183</v>
      </c>
      <c r="B11" s="219" t="s">
        <v>184</v>
      </c>
      <c r="C11" s="219" t="s">
        <v>184</v>
      </c>
      <c r="D11" s="219" t="s">
        <v>184</v>
      </c>
      <c r="E11" s="219" t="s">
        <v>184</v>
      </c>
      <c r="F11" s="219" t="s">
        <v>184</v>
      </c>
      <c r="G11" s="219" t="s">
        <v>184</v>
      </c>
      <c r="H11" s="219" t="s">
        <v>184</v>
      </c>
      <c r="I11" s="219" t="s">
        <v>184</v>
      </c>
      <c r="J11" s="219" t="s">
        <v>184</v>
      </c>
      <c r="K11" s="219" t="s">
        <v>184</v>
      </c>
      <c r="L11" s="219" t="s">
        <v>184</v>
      </c>
      <c r="M11" s="219" t="s">
        <v>184</v>
      </c>
      <c r="N11" s="214"/>
      <c r="O11" s="216"/>
      <c r="P11" s="216"/>
      <c r="Q11" s="216"/>
      <c r="R11" s="216"/>
      <c r="S11" s="216"/>
    </row>
    <row r="12" spans="1:20" s="220" customFormat="1" x14ac:dyDescent="0.25">
      <c r="A12" s="219" t="s">
        <v>185</v>
      </c>
      <c r="B12" s="219" t="s">
        <v>184</v>
      </c>
      <c r="C12" s="219" t="s">
        <v>184</v>
      </c>
      <c r="D12" s="219" t="s">
        <v>184</v>
      </c>
      <c r="E12" s="219" t="s">
        <v>184</v>
      </c>
      <c r="F12" s="219" t="s">
        <v>184</v>
      </c>
      <c r="G12" s="219" t="s">
        <v>184</v>
      </c>
      <c r="H12" s="219" t="s">
        <v>184</v>
      </c>
      <c r="I12" s="219" t="s">
        <v>184</v>
      </c>
      <c r="J12" s="219" t="s">
        <v>184</v>
      </c>
      <c r="K12" s="219" t="s">
        <v>184</v>
      </c>
      <c r="L12" s="219" t="s">
        <v>184</v>
      </c>
      <c r="M12" s="219" t="s">
        <v>184</v>
      </c>
      <c r="N12" s="216"/>
      <c r="O12" s="216"/>
      <c r="P12" s="216"/>
      <c r="Q12" s="216"/>
      <c r="R12" s="216"/>
      <c r="S12" s="216"/>
    </row>
    <row r="13" spans="1:20" s="220" customFormat="1" x14ac:dyDescent="0.25">
      <c r="A13" s="219" t="s">
        <v>186</v>
      </c>
      <c r="B13" s="219" t="s">
        <v>184</v>
      </c>
      <c r="C13" s="219" t="s">
        <v>184</v>
      </c>
      <c r="D13" s="219" t="s">
        <v>184</v>
      </c>
      <c r="E13" s="219" t="s">
        <v>184</v>
      </c>
      <c r="F13" s="219" t="s">
        <v>184</v>
      </c>
      <c r="G13" s="219" t="s">
        <v>184</v>
      </c>
      <c r="H13" s="219" t="s">
        <v>184</v>
      </c>
      <c r="I13" s="219" t="s">
        <v>184</v>
      </c>
      <c r="J13" s="219" t="s">
        <v>184</v>
      </c>
      <c r="K13" s="219" t="s">
        <v>184</v>
      </c>
      <c r="L13" s="219" t="s">
        <v>184</v>
      </c>
      <c r="M13" s="219" t="s">
        <v>184</v>
      </c>
      <c r="N13" s="216"/>
      <c r="O13" s="216"/>
      <c r="P13" s="216"/>
      <c r="Q13" s="216"/>
      <c r="R13" s="216"/>
      <c r="S13" s="216"/>
    </row>
    <row r="14" spans="1:20" s="220" customFormat="1" x14ac:dyDescent="0.25">
      <c r="A14" s="219" t="s">
        <v>187</v>
      </c>
      <c r="B14" s="219" t="s">
        <v>184</v>
      </c>
      <c r="C14" s="219" t="s">
        <v>184</v>
      </c>
      <c r="D14" s="219" t="s">
        <v>184</v>
      </c>
      <c r="E14" s="219" t="s">
        <v>184</v>
      </c>
      <c r="F14" s="219" t="s">
        <v>184</v>
      </c>
      <c r="G14" s="219" t="s">
        <v>184</v>
      </c>
      <c r="H14" s="219" t="s">
        <v>184</v>
      </c>
      <c r="I14" s="219" t="s">
        <v>184</v>
      </c>
      <c r="J14" s="219" t="s">
        <v>184</v>
      </c>
      <c r="K14" s="219" t="s">
        <v>184</v>
      </c>
      <c r="L14" s="219" t="s">
        <v>184</v>
      </c>
      <c r="M14" s="219" t="s">
        <v>184</v>
      </c>
      <c r="N14" s="216"/>
      <c r="O14" s="216"/>
      <c r="P14" s="216"/>
      <c r="Q14" s="216"/>
      <c r="R14" s="216"/>
      <c r="S14" s="216"/>
    </row>
    <row r="15" spans="1:20" s="220" customFormat="1" x14ac:dyDescent="0.25">
      <c r="A15" s="226"/>
      <c r="B15" s="216"/>
      <c r="C15" s="216"/>
      <c r="D15" s="216"/>
      <c r="E15" s="216"/>
      <c r="F15" s="216"/>
      <c r="G15" s="216"/>
      <c r="H15" s="216"/>
      <c r="I15" s="216"/>
      <c r="J15" s="216"/>
      <c r="K15" s="216"/>
      <c r="L15" s="216"/>
      <c r="M15" s="216"/>
      <c r="N15" s="216"/>
      <c r="O15" s="216"/>
      <c r="P15" s="216"/>
      <c r="Q15" s="216"/>
      <c r="R15" s="216"/>
      <c r="S15" s="216"/>
    </row>
    <row r="16" spans="1:20" s="220" customFormat="1" ht="17.25" customHeight="1" x14ac:dyDescent="0.25">
      <c r="A16" s="229" t="s">
        <v>188</v>
      </c>
      <c r="B16" s="230"/>
      <c r="C16" s="216"/>
      <c r="D16" s="216"/>
      <c r="E16" s="216"/>
      <c r="F16" s="216"/>
      <c r="G16" s="216"/>
      <c r="H16" s="216"/>
      <c r="I16" s="216"/>
      <c r="J16" s="216"/>
      <c r="K16" s="216"/>
      <c r="L16" s="216"/>
      <c r="M16" s="216"/>
      <c r="N16" s="216"/>
      <c r="O16" s="216"/>
      <c r="P16" s="216"/>
      <c r="Q16" s="216"/>
      <c r="R16" s="216"/>
      <c r="S16" s="216"/>
    </row>
    <row r="17" spans="1:19" s="220" customFormat="1" x14ac:dyDescent="0.25">
      <c r="A17" s="229" t="s">
        <v>189</v>
      </c>
      <c r="B17" s="230"/>
      <c r="C17" s="216"/>
      <c r="D17" s="216"/>
      <c r="E17" s="216"/>
      <c r="F17" s="216"/>
      <c r="G17" s="216"/>
      <c r="H17" s="216"/>
      <c r="I17" s="216"/>
      <c r="J17" s="216"/>
      <c r="K17" s="216"/>
      <c r="L17" s="216"/>
      <c r="M17" s="216"/>
      <c r="N17" s="216"/>
      <c r="O17" s="216"/>
      <c r="P17" s="216"/>
      <c r="Q17" s="216"/>
      <c r="R17" s="216"/>
      <c r="S17" s="216"/>
    </row>
    <row r="18" spans="1:19" s="220" customFormat="1" x14ac:dyDescent="0.25">
      <c r="A18" s="229" t="s">
        <v>190</v>
      </c>
      <c r="B18" s="230"/>
      <c r="C18" s="216"/>
      <c r="D18" s="216"/>
      <c r="E18" s="216"/>
      <c r="F18" s="216"/>
      <c r="G18" s="216"/>
      <c r="H18" s="216"/>
      <c r="I18" s="216"/>
      <c r="J18" s="216"/>
      <c r="K18" s="216"/>
      <c r="L18" s="216"/>
      <c r="M18" s="216"/>
      <c r="N18" s="216"/>
      <c r="O18" s="216"/>
      <c r="P18" s="216"/>
      <c r="Q18" s="216"/>
      <c r="R18" s="216"/>
      <c r="S18" s="216"/>
    </row>
    <row r="19" spans="1:19" s="220" customFormat="1" x14ac:dyDescent="0.25">
      <c r="A19" s="229" t="s">
        <v>189</v>
      </c>
      <c r="B19" s="230"/>
      <c r="C19" s="216"/>
      <c r="D19" s="216"/>
      <c r="E19" s="216"/>
      <c r="F19" s="216"/>
      <c r="G19" s="216"/>
      <c r="H19" s="216"/>
      <c r="I19" s="216"/>
      <c r="J19" s="216"/>
      <c r="K19" s="216"/>
      <c r="L19" s="216"/>
      <c r="M19" s="216"/>
      <c r="N19" s="216"/>
      <c r="O19" s="216"/>
      <c r="P19" s="216"/>
      <c r="Q19" s="216"/>
      <c r="R19" s="216"/>
      <c r="S19" s="216"/>
    </row>
    <row r="20" spans="1:19" s="220" customFormat="1" x14ac:dyDescent="0.25">
      <c r="A20" s="226"/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  <c r="M20" s="216"/>
      <c r="N20" s="216"/>
      <c r="O20" s="216"/>
      <c r="P20" s="216"/>
      <c r="Q20" s="216"/>
      <c r="R20" s="216"/>
      <c r="S20" s="216"/>
    </row>
    <row r="21" spans="1:19" s="220" customFormat="1" x14ac:dyDescent="0.25">
      <c r="A21" s="216"/>
      <c r="B21" s="216"/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</row>
    <row r="22" spans="1:19" ht="18.75" customHeight="1" x14ac:dyDescent="0.25">
      <c r="A22" s="217" t="s">
        <v>191</v>
      </c>
      <c r="B22" s="216"/>
      <c r="C22" s="216"/>
      <c r="D22" s="216"/>
      <c r="E22" s="216"/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6"/>
    </row>
    <row r="23" spans="1:19" x14ac:dyDescent="0.25">
      <c r="A23" s="218" t="s">
        <v>98</v>
      </c>
      <c r="B23" s="218" t="s">
        <v>149</v>
      </c>
      <c r="C23" s="218" t="s">
        <v>150</v>
      </c>
      <c r="D23" s="218" t="s">
        <v>151</v>
      </c>
      <c r="E23" s="218" t="s">
        <v>152</v>
      </c>
      <c r="F23" s="218" t="s">
        <v>153</v>
      </c>
      <c r="G23" s="218" t="s">
        <v>154</v>
      </c>
      <c r="H23" s="218" t="s">
        <v>155</v>
      </c>
      <c r="I23" s="218" t="s">
        <v>156</v>
      </c>
      <c r="J23" s="218" t="s">
        <v>157</v>
      </c>
      <c r="K23" s="218" t="s">
        <v>158</v>
      </c>
      <c r="L23" s="218" t="s">
        <v>159</v>
      </c>
      <c r="M23" s="218" t="s">
        <v>160</v>
      </c>
      <c r="N23" s="227" t="s">
        <v>192</v>
      </c>
      <c r="O23" s="216"/>
      <c r="P23" s="216"/>
      <c r="Q23" s="216"/>
      <c r="R23" s="216"/>
      <c r="S23" s="216"/>
    </row>
    <row r="24" spans="1:19" x14ac:dyDescent="0.25">
      <c r="A24" s="219" t="s">
        <v>183</v>
      </c>
      <c r="B24" s="231">
        <v>41.188452173913028</v>
      </c>
      <c r="C24" s="231">
        <v>24.174652216748761</v>
      </c>
      <c r="D24" s="231">
        <v>20.133799810066471</v>
      </c>
      <c r="E24" s="231">
        <v>18.012977106918239</v>
      </c>
      <c r="F24" s="231">
        <v>18.196626299694191</v>
      </c>
      <c r="G24" s="231">
        <v>17.22718240377062</v>
      </c>
      <c r="H24" s="231">
        <v>15.559284552845529</v>
      </c>
      <c r="I24" s="231">
        <v>16.24385777777778</v>
      </c>
      <c r="J24" s="231">
        <v>14.9536559618442</v>
      </c>
      <c r="K24" s="231">
        <v>14.622713566022821</v>
      </c>
      <c r="L24" s="231">
        <v>14.021457285003549</v>
      </c>
      <c r="M24" s="231">
        <v>14.00755577043603</v>
      </c>
      <c r="N24" s="228"/>
      <c r="O24" s="216"/>
      <c r="P24" s="216"/>
      <c r="Q24" s="216"/>
      <c r="R24" s="216"/>
      <c r="S24" s="216"/>
    </row>
    <row r="25" spans="1:19" s="214" customFormat="1" x14ac:dyDescent="0.25">
      <c r="A25" s="219" t="s">
        <v>185</v>
      </c>
      <c r="B25" s="232">
        <v>1.0297113043478261</v>
      </c>
      <c r="C25" s="232">
        <v>0.60436630541871905</v>
      </c>
      <c r="D25" s="232">
        <v>0.50334499525166188</v>
      </c>
      <c r="E25" s="232">
        <v>0.450324427672956</v>
      </c>
      <c r="F25" s="232">
        <v>0.4549156574923548</v>
      </c>
      <c r="G25" s="232">
        <v>0.43067956009426561</v>
      </c>
      <c r="H25" s="232">
        <v>0.38898211382113818</v>
      </c>
      <c r="I25" s="232">
        <v>0.40609644444444448</v>
      </c>
      <c r="J25" s="232">
        <v>0.37384139904610503</v>
      </c>
      <c r="K25" s="232">
        <v>0.3655678391505704</v>
      </c>
      <c r="L25" s="232">
        <v>0.35053643212508889</v>
      </c>
      <c r="M25" s="232">
        <v>0.35018889426090072</v>
      </c>
      <c r="N25" s="228"/>
      <c r="O25" s="216"/>
      <c r="P25" s="216"/>
      <c r="Q25" s="216"/>
      <c r="R25" s="216"/>
      <c r="S25" s="216"/>
    </row>
    <row r="26" spans="1:19" x14ac:dyDescent="0.25">
      <c r="A26" s="219" t="s">
        <v>186</v>
      </c>
      <c r="B26" s="231">
        <v>2.9519043478260869</v>
      </c>
      <c r="C26" s="231">
        <v>1.8625050903119871</v>
      </c>
      <c r="D26" s="231">
        <v>1.428081481481482</v>
      </c>
      <c r="E26" s="231">
        <v>1.2324588679245281</v>
      </c>
      <c r="F26" s="231">
        <v>1.282825688073395</v>
      </c>
      <c r="G26" s="231">
        <v>1.2098067556952079</v>
      </c>
      <c r="H26" s="231">
        <v>1.005708258451006</v>
      </c>
      <c r="I26" s="231">
        <v>1.14055892063492</v>
      </c>
      <c r="J26" s="231">
        <v>1.0251653948065711</v>
      </c>
      <c r="K26" s="231">
        <v>1.0081022026431721</v>
      </c>
      <c r="L26" s="231">
        <v>0.92347755102040807</v>
      </c>
      <c r="M26" s="231">
        <v>0.96896033664607395</v>
      </c>
      <c r="N26" s="228"/>
      <c r="O26" s="216"/>
      <c r="P26" s="216"/>
      <c r="Q26" s="216"/>
      <c r="R26" s="216"/>
      <c r="S26" s="216"/>
    </row>
    <row r="27" spans="1:19" x14ac:dyDescent="0.25">
      <c r="A27" s="219" t="s">
        <v>187</v>
      </c>
      <c r="B27" s="232">
        <v>7.3797608695652175E-2</v>
      </c>
      <c r="C27" s="232">
        <v>4.6562627257799673E-2</v>
      </c>
      <c r="D27" s="232">
        <v>3.5702037037037053E-2</v>
      </c>
      <c r="E27" s="232">
        <v>3.0811471698113199E-2</v>
      </c>
      <c r="F27" s="232">
        <v>3.2070642201834858E-2</v>
      </c>
      <c r="G27" s="232">
        <v>3.02451688923802E-2</v>
      </c>
      <c r="H27" s="232">
        <v>2.514270646127514E-2</v>
      </c>
      <c r="I27" s="232">
        <v>2.8513973015873009E-2</v>
      </c>
      <c r="J27" s="232">
        <v>2.5629134870164279E-2</v>
      </c>
      <c r="K27" s="232">
        <v>2.52025550660793E-2</v>
      </c>
      <c r="L27" s="232">
        <v>2.3086938775510199E-2</v>
      </c>
      <c r="M27" s="232">
        <v>2.4224008416151851E-2</v>
      </c>
      <c r="N27" s="228"/>
      <c r="O27" s="216"/>
      <c r="P27" s="216"/>
      <c r="Q27" s="216"/>
      <c r="R27" s="216"/>
      <c r="S27" s="216"/>
    </row>
    <row r="28" spans="1:19" x14ac:dyDescent="0.25">
      <c r="A28" s="226"/>
      <c r="B28" s="216"/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/>
      <c r="O28" s="216"/>
      <c r="P28" s="216"/>
      <c r="Q28" s="216"/>
      <c r="R28" s="216"/>
      <c r="S28" s="216"/>
    </row>
    <row r="29" spans="1:19" x14ac:dyDescent="0.25">
      <c r="A29" s="216"/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</row>
    <row r="30" spans="1:19" ht="15.75" customHeight="1" x14ac:dyDescent="0.25">
      <c r="A30" s="217" t="s">
        <v>193</v>
      </c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16"/>
      <c r="O30" s="216"/>
      <c r="P30" s="216"/>
      <c r="Q30" s="216"/>
      <c r="R30" s="216"/>
      <c r="S30" s="216"/>
    </row>
    <row r="31" spans="1:19" x14ac:dyDescent="0.25">
      <c r="A31" s="218" t="s">
        <v>98</v>
      </c>
      <c r="B31" s="218" t="s">
        <v>149</v>
      </c>
      <c r="C31" s="218" t="s">
        <v>150</v>
      </c>
      <c r="D31" s="218" t="s">
        <v>151</v>
      </c>
      <c r="E31" s="218" t="s">
        <v>152</v>
      </c>
      <c r="F31" s="218" t="s">
        <v>153</v>
      </c>
      <c r="G31" s="218" t="s">
        <v>154</v>
      </c>
      <c r="H31" s="218" t="s">
        <v>155</v>
      </c>
      <c r="I31" s="218" t="s">
        <v>156</v>
      </c>
      <c r="J31" s="218" t="s">
        <v>157</v>
      </c>
      <c r="K31" s="218" t="s">
        <v>158</v>
      </c>
      <c r="L31" s="218" t="s">
        <v>159</v>
      </c>
      <c r="M31" s="218" t="s">
        <v>160</v>
      </c>
      <c r="N31" s="227" t="s">
        <v>192</v>
      </c>
      <c r="O31" s="216"/>
      <c r="P31" s="216"/>
      <c r="Q31" s="216"/>
      <c r="R31" s="216"/>
      <c r="S31" s="216"/>
    </row>
    <row r="32" spans="1:19" x14ac:dyDescent="0.25">
      <c r="A32" s="219" t="s">
        <v>183</v>
      </c>
      <c r="B32" s="219" t="s">
        <v>184</v>
      </c>
      <c r="C32" s="219" t="s">
        <v>184</v>
      </c>
      <c r="D32" s="219" t="s">
        <v>184</v>
      </c>
      <c r="E32" s="219" t="s">
        <v>184</v>
      </c>
      <c r="F32" s="219" t="s">
        <v>184</v>
      </c>
      <c r="G32" s="219" t="s">
        <v>184</v>
      </c>
      <c r="H32" s="219" t="s">
        <v>184</v>
      </c>
      <c r="I32" s="219" t="s">
        <v>184</v>
      </c>
      <c r="J32" s="219" t="s">
        <v>184</v>
      </c>
      <c r="K32" s="219" t="s">
        <v>184</v>
      </c>
      <c r="L32" s="219" t="s">
        <v>184</v>
      </c>
      <c r="M32" s="219" t="s">
        <v>184</v>
      </c>
      <c r="N32" s="228"/>
      <c r="O32" s="216"/>
      <c r="P32" s="216"/>
      <c r="Q32" s="216"/>
      <c r="R32" s="216"/>
      <c r="S32" s="216"/>
    </row>
    <row r="33" spans="1:19" x14ac:dyDescent="0.25">
      <c r="A33" s="219" t="s">
        <v>185</v>
      </c>
      <c r="B33" s="219" t="s">
        <v>184</v>
      </c>
      <c r="C33" s="219" t="s">
        <v>184</v>
      </c>
      <c r="D33" s="219" t="s">
        <v>184</v>
      </c>
      <c r="E33" s="219" t="s">
        <v>184</v>
      </c>
      <c r="F33" s="219" t="s">
        <v>184</v>
      </c>
      <c r="G33" s="219" t="s">
        <v>184</v>
      </c>
      <c r="H33" s="219" t="s">
        <v>184</v>
      </c>
      <c r="I33" s="219" t="s">
        <v>184</v>
      </c>
      <c r="J33" s="219" t="s">
        <v>184</v>
      </c>
      <c r="K33" s="219" t="s">
        <v>184</v>
      </c>
      <c r="L33" s="219" t="s">
        <v>184</v>
      </c>
      <c r="M33" s="219" t="s">
        <v>184</v>
      </c>
      <c r="N33" s="228"/>
      <c r="O33" s="216"/>
      <c r="P33" s="216"/>
      <c r="Q33" s="216"/>
      <c r="R33" s="216"/>
      <c r="S33" s="216"/>
    </row>
    <row r="34" spans="1:19" x14ac:dyDescent="0.25">
      <c r="A34" s="219" t="s">
        <v>186</v>
      </c>
      <c r="B34" s="219" t="s">
        <v>184</v>
      </c>
      <c r="C34" s="219" t="s">
        <v>184</v>
      </c>
      <c r="D34" s="219" t="s">
        <v>184</v>
      </c>
      <c r="E34" s="219" t="s">
        <v>184</v>
      </c>
      <c r="F34" s="219" t="s">
        <v>184</v>
      </c>
      <c r="G34" s="219" t="s">
        <v>184</v>
      </c>
      <c r="H34" s="219" t="s">
        <v>184</v>
      </c>
      <c r="I34" s="219" t="s">
        <v>184</v>
      </c>
      <c r="J34" s="219" t="s">
        <v>184</v>
      </c>
      <c r="K34" s="219" t="s">
        <v>184</v>
      </c>
      <c r="L34" s="219" t="s">
        <v>184</v>
      </c>
      <c r="M34" s="219" t="s">
        <v>184</v>
      </c>
      <c r="N34" s="228"/>
      <c r="O34" s="216"/>
      <c r="P34" s="216"/>
      <c r="Q34" s="216"/>
      <c r="R34" s="216"/>
      <c r="S34" s="216"/>
    </row>
    <row r="35" spans="1:19" x14ac:dyDescent="0.25">
      <c r="A35" s="219" t="s">
        <v>187</v>
      </c>
      <c r="B35" s="219" t="s">
        <v>184</v>
      </c>
      <c r="C35" s="219" t="s">
        <v>184</v>
      </c>
      <c r="D35" s="219" t="s">
        <v>184</v>
      </c>
      <c r="E35" s="219" t="s">
        <v>184</v>
      </c>
      <c r="F35" s="219" t="s">
        <v>184</v>
      </c>
      <c r="G35" s="219" t="s">
        <v>184</v>
      </c>
      <c r="H35" s="219" t="s">
        <v>184</v>
      </c>
      <c r="I35" s="219" t="s">
        <v>184</v>
      </c>
      <c r="J35" s="219" t="s">
        <v>184</v>
      </c>
      <c r="K35" s="219" t="s">
        <v>184</v>
      </c>
      <c r="L35" s="219" t="s">
        <v>184</v>
      </c>
      <c r="M35" s="219" t="s">
        <v>184</v>
      </c>
      <c r="N35" s="228"/>
      <c r="O35" s="216"/>
      <c r="P35" s="216"/>
      <c r="Q35" s="216"/>
      <c r="R35" s="216"/>
      <c r="S35" s="216"/>
    </row>
    <row r="36" spans="1:19" x14ac:dyDescent="0.25">
      <c r="A36" s="216"/>
      <c r="B36" s="216"/>
      <c r="C36" s="216"/>
      <c r="D36" s="216"/>
      <c r="E36" s="216"/>
      <c r="F36" s="216"/>
      <c r="G36" s="216"/>
      <c r="H36" s="216"/>
      <c r="I36" s="216"/>
      <c r="J36" s="216"/>
      <c r="K36" s="216"/>
      <c r="L36" s="216"/>
      <c r="M36" s="216"/>
      <c r="N36" s="216"/>
      <c r="O36" s="216"/>
      <c r="P36" s="216"/>
      <c r="Q36" s="216"/>
      <c r="R36" s="216"/>
      <c r="S36" s="216"/>
    </row>
    <row r="37" spans="1:19" x14ac:dyDescent="0.25">
      <c r="A37" s="216"/>
      <c r="B37" s="216"/>
      <c r="C37" s="216"/>
      <c r="D37" s="216"/>
      <c r="E37" s="216"/>
      <c r="F37" s="216"/>
      <c r="G37" s="216"/>
      <c r="H37" s="216"/>
      <c r="I37" s="216"/>
      <c r="J37" s="216"/>
      <c r="K37" s="216"/>
      <c r="L37" s="216"/>
      <c r="M37" s="216"/>
      <c r="N37" s="216"/>
      <c r="O37" s="216"/>
      <c r="P37" s="216"/>
      <c r="Q37" s="216"/>
      <c r="R37" s="216"/>
      <c r="S37" s="216"/>
    </row>
    <row r="38" spans="1:19" x14ac:dyDescent="0.25">
      <c r="A38" s="217" t="s">
        <v>194</v>
      </c>
      <c r="B38" s="216"/>
      <c r="C38" s="216"/>
      <c r="D38" s="216"/>
      <c r="E38" s="216"/>
      <c r="F38" s="216"/>
      <c r="G38" s="216"/>
      <c r="H38" s="216"/>
      <c r="I38" s="216"/>
      <c r="J38" s="216"/>
      <c r="K38" s="216"/>
      <c r="L38" s="216"/>
      <c r="M38" s="216"/>
      <c r="N38" s="216"/>
      <c r="O38" s="216"/>
      <c r="P38" s="216"/>
      <c r="Q38" s="216"/>
      <c r="R38" s="216"/>
      <c r="S38" s="216"/>
    </row>
    <row r="39" spans="1:19" x14ac:dyDescent="0.25">
      <c r="A39" s="218" t="s">
        <v>98</v>
      </c>
      <c r="B39" s="218" t="s">
        <v>149</v>
      </c>
      <c r="C39" s="218" t="s">
        <v>150</v>
      </c>
      <c r="D39" s="218" t="s">
        <v>151</v>
      </c>
      <c r="E39" s="218" t="s">
        <v>152</v>
      </c>
      <c r="F39" s="218" t="s">
        <v>153</v>
      </c>
      <c r="G39" s="218" t="s">
        <v>154</v>
      </c>
      <c r="H39" s="218" t="s">
        <v>155</v>
      </c>
      <c r="I39" s="218" t="s">
        <v>156</v>
      </c>
      <c r="J39" s="218" t="s">
        <v>157</v>
      </c>
      <c r="K39" s="218" t="s">
        <v>158</v>
      </c>
      <c r="L39" s="218" t="s">
        <v>159</v>
      </c>
      <c r="M39" s="218" t="s">
        <v>160</v>
      </c>
      <c r="N39" s="227" t="s">
        <v>192</v>
      </c>
      <c r="O39" s="216"/>
      <c r="P39" s="216"/>
      <c r="Q39" s="216"/>
      <c r="R39" s="216"/>
      <c r="S39" s="216"/>
    </row>
    <row r="40" spans="1:19" x14ac:dyDescent="0.25">
      <c r="A40" s="219" t="s">
        <v>183</v>
      </c>
      <c r="B40" s="219" t="s">
        <v>184</v>
      </c>
      <c r="C40" s="219" t="s">
        <v>184</v>
      </c>
      <c r="D40" s="219" t="s">
        <v>184</v>
      </c>
      <c r="E40" s="219" t="s">
        <v>184</v>
      </c>
      <c r="F40" s="219" t="s">
        <v>184</v>
      </c>
      <c r="G40" s="219" t="s">
        <v>184</v>
      </c>
      <c r="H40" s="219" t="s">
        <v>184</v>
      </c>
      <c r="I40" s="219" t="s">
        <v>184</v>
      </c>
      <c r="J40" s="219" t="s">
        <v>184</v>
      </c>
      <c r="K40" s="219" t="s">
        <v>184</v>
      </c>
      <c r="L40" s="219" t="s">
        <v>184</v>
      </c>
      <c r="M40" s="219" t="s">
        <v>184</v>
      </c>
      <c r="N40" s="228"/>
      <c r="O40" s="216"/>
      <c r="P40" s="216"/>
      <c r="Q40" s="216"/>
      <c r="R40" s="216"/>
      <c r="S40" s="216"/>
    </row>
    <row r="41" spans="1:19" x14ac:dyDescent="0.25">
      <c r="A41" s="219" t="s">
        <v>185</v>
      </c>
      <c r="B41" s="219" t="s">
        <v>184</v>
      </c>
      <c r="C41" s="219" t="s">
        <v>184</v>
      </c>
      <c r="D41" s="219" t="s">
        <v>184</v>
      </c>
      <c r="E41" s="219" t="s">
        <v>184</v>
      </c>
      <c r="F41" s="219" t="s">
        <v>184</v>
      </c>
      <c r="G41" s="219" t="s">
        <v>184</v>
      </c>
      <c r="H41" s="219" t="s">
        <v>184</v>
      </c>
      <c r="I41" s="219" t="s">
        <v>184</v>
      </c>
      <c r="J41" s="219" t="s">
        <v>184</v>
      </c>
      <c r="K41" s="219" t="s">
        <v>184</v>
      </c>
      <c r="L41" s="219" t="s">
        <v>184</v>
      </c>
      <c r="M41" s="219" t="s">
        <v>184</v>
      </c>
      <c r="N41" s="228"/>
      <c r="O41" s="216"/>
      <c r="P41" s="216"/>
      <c r="Q41" s="216"/>
      <c r="R41" s="216"/>
      <c r="S41" s="216"/>
    </row>
    <row r="42" spans="1:19" x14ac:dyDescent="0.25">
      <c r="A42" s="219" t="s">
        <v>186</v>
      </c>
      <c r="B42" s="219" t="s">
        <v>184</v>
      </c>
      <c r="C42" s="219" t="s">
        <v>184</v>
      </c>
      <c r="D42" s="219" t="s">
        <v>184</v>
      </c>
      <c r="E42" s="219" t="s">
        <v>184</v>
      </c>
      <c r="F42" s="219" t="s">
        <v>184</v>
      </c>
      <c r="G42" s="219" t="s">
        <v>184</v>
      </c>
      <c r="H42" s="219" t="s">
        <v>184</v>
      </c>
      <c r="I42" s="219" t="s">
        <v>184</v>
      </c>
      <c r="J42" s="219" t="s">
        <v>184</v>
      </c>
      <c r="K42" s="219" t="s">
        <v>184</v>
      </c>
      <c r="L42" s="219" t="s">
        <v>184</v>
      </c>
      <c r="M42" s="219" t="s">
        <v>184</v>
      </c>
      <c r="N42" s="228"/>
      <c r="O42" s="216"/>
      <c r="P42" s="216"/>
      <c r="Q42" s="216"/>
      <c r="R42" s="216"/>
      <c r="S42" s="216"/>
    </row>
    <row r="43" spans="1:19" x14ac:dyDescent="0.25">
      <c r="A43" s="219" t="s">
        <v>187</v>
      </c>
      <c r="B43" s="219" t="s">
        <v>184</v>
      </c>
      <c r="C43" s="219" t="s">
        <v>184</v>
      </c>
      <c r="D43" s="219" t="s">
        <v>184</v>
      </c>
      <c r="E43" s="219" t="s">
        <v>184</v>
      </c>
      <c r="F43" s="219" t="s">
        <v>184</v>
      </c>
      <c r="G43" s="219" t="s">
        <v>184</v>
      </c>
      <c r="H43" s="219" t="s">
        <v>184</v>
      </c>
      <c r="I43" s="219" t="s">
        <v>184</v>
      </c>
      <c r="J43" s="219" t="s">
        <v>184</v>
      </c>
      <c r="K43" s="219" t="s">
        <v>184</v>
      </c>
      <c r="L43" s="219" t="s">
        <v>184</v>
      </c>
      <c r="M43" s="219" t="s">
        <v>184</v>
      </c>
      <c r="N43" s="228"/>
      <c r="O43" s="216"/>
      <c r="P43" s="216"/>
      <c r="Q43" s="216"/>
      <c r="R43" s="216"/>
      <c r="S43" s="216"/>
    </row>
    <row r="44" spans="1:19" x14ac:dyDescent="0.25">
      <c r="A44" s="216"/>
      <c r="B44" s="216"/>
      <c r="C44" s="216"/>
      <c r="D44" s="216"/>
      <c r="E44" s="216"/>
      <c r="F44" s="216"/>
      <c r="G44" s="216"/>
      <c r="H44" s="216"/>
      <c r="I44" s="216"/>
      <c r="J44" s="216"/>
      <c r="K44" s="216"/>
      <c r="L44" s="216"/>
      <c r="M44" s="216"/>
      <c r="N44" s="216"/>
      <c r="O44" s="216"/>
      <c r="P44" s="216"/>
      <c r="Q44" s="216"/>
      <c r="R44" s="216"/>
      <c r="S44" s="216"/>
    </row>
    <row r="45" spans="1:19" x14ac:dyDescent="0.25">
      <c r="A45" s="216"/>
      <c r="B45" s="216"/>
      <c r="C45" s="216"/>
      <c r="D45" s="216"/>
      <c r="E45" s="216"/>
      <c r="F45" s="216"/>
      <c r="G45" s="216"/>
      <c r="H45" s="216"/>
      <c r="I45" s="216"/>
      <c r="J45" s="216"/>
      <c r="K45" s="216"/>
      <c r="L45" s="216"/>
      <c r="M45" s="216"/>
      <c r="N45" s="216"/>
      <c r="O45" s="216"/>
      <c r="P45" s="216"/>
      <c r="Q45" s="216"/>
      <c r="R45" s="216"/>
      <c r="S45" s="216"/>
    </row>
    <row r="46" spans="1:19" x14ac:dyDescent="0.25">
      <c r="A46" s="216"/>
      <c r="B46" s="216"/>
      <c r="C46" s="216"/>
      <c r="D46" s="216"/>
      <c r="E46" s="216"/>
      <c r="F46" s="216"/>
      <c r="G46" s="216"/>
      <c r="H46" s="216"/>
      <c r="I46" s="216"/>
      <c r="J46" s="216"/>
      <c r="K46" s="216"/>
      <c r="L46" s="216"/>
      <c r="M46" s="216"/>
      <c r="N46" s="216"/>
      <c r="O46" s="216"/>
      <c r="P46" s="216"/>
      <c r="Q46" s="216"/>
      <c r="R46" s="216"/>
      <c r="S46" s="216"/>
    </row>
    <row r="47" spans="1:19" x14ac:dyDescent="0.25">
      <c r="A47" s="216"/>
      <c r="B47" s="216"/>
      <c r="C47" s="216"/>
      <c r="D47" s="216"/>
      <c r="E47" s="216"/>
      <c r="F47" s="216"/>
      <c r="G47" s="216"/>
      <c r="H47" s="216"/>
      <c r="I47" s="216"/>
      <c r="J47" s="216"/>
      <c r="K47" s="216"/>
      <c r="L47" s="216"/>
      <c r="M47" s="216"/>
      <c r="N47" s="216"/>
      <c r="O47" s="216"/>
      <c r="P47" s="216"/>
      <c r="Q47" s="216"/>
      <c r="R47" s="216"/>
      <c r="S47" s="216"/>
    </row>
    <row r="48" spans="1:19" x14ac:dyDescent="0.25">
      <c r="A48" s="216"/>
      <c r="B48" s="216"/>
      <c r="C48" s="216"/>
      <c r="D48" s="216"/>
      <c r="E48" s="216"/>
      <c r="F48" s="216"/>
      <c r="G48" s="216"/>
      <c r="H48" s="216"/>
      <c r="I48" s="216"/>
      <c r="J48" s="216"/>
      <c r="K48" s="216"/>
      <c r="L48" s="216"/>
      <c r="M48" s="216"/>
      <c r="N48" s="216"/>
      <c r="O48" s="216"/>
      <c r="P48" s="216"/>
      <c r="Q48" s="216"/>
      <c r="R48" s="216"/>
      <c r="S48" s="216"/>
    </row>
    <row r="49" spans="1:19" x14ac:dyDescent="0.25">
      <c r="A49" s="216"/>
      <c r="B49" s="216"/>
      <c r="C49" s="216"/>
      <c r="D49" s="216"/>
      <c r="E49" s="216"/>
      <c r="F49" s="216"/>
      <c r="G49" s="216"/>
      <c r="H49" s="216"/>
      <c r="I49" s="216"/>
      <c r="J49" s="216"/>
      <c r="K49" s="216"/>
      <c r="L49" s="216"/>
      <c r="M49" s="216"/>
      <c r="N49" s="216"/>
      <c r="O49" s="216"/>
      <c r="P49" s="216"/>
      <c r="Q49" s="216"/>
      <c r="R49" s="216"/>
      <c r="S49" s="216"/>
    </row>
    <row r="50" spans="1:19" x14ac:dyDescent="0.25">
      <c r="A50" s="216"/>
      <c r="B50" s="216"/>
      <c r="C50" s="216"/>
      <c r="D50" s="216"/>
      <c r="E50" s="216"/>
      <c r="F50" s="216"/>
      <c r="G50" s="216"/>
      <c r="H50" s="216"/>
      <c r="I50" s="216"/>
      <c r="J50" s="216"/>
      <c r="K50" s="216"/>
      <c r="L50" s="216"/>
      <c r="M50" s="216"/>
      <c r="N50" s="216"/>
      <c r="O50" s="216"/>
      <c r="P50" s="216"/>
      <c r="Q50" s="216"/>
      <c r="R50" s="216"/>
      <c r="S50" s="216"/>
    </row>
    <row r="51" spans="1:19" x14ac:dyDescent="0.25">
      <c r="A51" s="216"/>
      <c r="B51" s="216"/>
      <c r="C51" s="216"/>
      <c r="D51" s="216"/>
      <c r="E51" s="216"/>
      <c r="F51" s="216"/>
      <c r="G51" s="216"/>
      <c r="H51" s="216"/>
      <c r="I51" s="216"/>
      <c r="J51" s="216"/>
      <c r="K51" s="216"/>
      <c r="L51" s="216"/>
      <c r="M51" s="216"/>
      <c r="N51" s="216"/>
      <c r="O51" s="216"/>
      <c r="P51" s="216"/>
      <c r="Q51" s="216"/>
      <c r="R51" s="216"/>
      <c r="S51" s="216"/>
    </row>
    <row r="52" spans="1:19" x14ac:dyDescent="0.25">
      <c r="A52" s="216"/>
      <c r="B52" s="216"/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</row>
    <row r="53" spans="1:19" x14ac:dyDescent="0.25">
      <c r="A53" s="216"/>
      <c r="B53" s="216"/>
      <c r="C53" s="216"/>
      <c r="D53" s="216"/>
      <c r="E53" s="216"/>
      <c r="F53" s="216"/>
      <c r="G53" s="216"/>
      <c r="H53" s="216"/>
      <c r="I53" s="216"/>
      <c r="J53" s="216"/>
      <c r="K53" s="216"/>
      <c r="L53" s="216"/>
      <c r="M53" s="216"/>
      <c r="N53" s="216"/>
      <c r="O53" s="216"/>
      <c r="P53" s="216"/>
      <c r="Q53" s="216"/>
      <c r="R53" s="216"/>
      <c r="S53" s="216"/>
    </row>
    <row r="54" spans="1:19" x14ac:dyDescent="0.25">
      <c r="A54" s="216"/>
      <c r="B54" s="216"/>
      <c r="C54" s="216"/>
      <c r="D54" s="216"/>
      <c r="E54" s="216"/>
      <c r="F54" s="216"/>
      <c r="G54" s="216"/>
      <c r="H54" s="216"/>
      <c r="I54" s="216"/>
      <c r="J54" s="216"/>
      <c r="K54" s="216"/>
      <c r="L54" s="216"/>
      <c r="M54" s="216"/>
      <c r="N54" s="216"/>
      <c r="O54" s="216"/>
      <c r="P54" s="216"/>
      <c r="Q54" s="216"/>
      <c r="R54" s="216"/>
      <c r="S54" s="216"/>
    </row>
    <row r="55" spans="1:19" x14ac:dyDescent="0.25">
      <c r="A55" s="216"/>
      <c r="B55" s="216"/>
      <c r="C55" s="216"/>
      <c r="D55" s="216"/>
      <c r="E55" s="216"/>
      <c r="F55" s="216"/>
      <c r="G55" s="216"/>
      <c r="H55" s="216"/>
      <c r="I55" s="216"/>
      <c r="J55" s="216"/>
      <c r="K55" s="216"/>
      <c r="L55" s="216"/>
      <c r="M55" s="216"/>
      <c r="N55" s="216"/>
      <c r="O55" s="216"/>
      <c r="P55" s="216"/>
      <c r="Q55" s="216"/>
      <c r="R55" s="216"/>
      <c r="S55" s="216"/>
    </row>
    <row r="56" spans="1:19" x14ac:dyDescent="0.25">
      <c r="A56" s="216"/>
      <c r="B56" s="216"/>
      <c r="C56" s="216"/>
      <c r="D56" s="216"/>
      <c r="E56" s="216"/>
      <c r="F56" s="216"/>
      <c r="G56" s="216"/>
      <c r="H56" s="216"/>
      <c r="I56" s="216"/>
      <c r="J56" s="216"/>
      <c r="K56" s="216"/>
      <c r="L56" s="216"/>
      <c r="M56" s="216"/>
      <c r="N56" s="216"/>
      <c r="O56" s="216"/>
      <c r="P56" s="216"/>
      <c r="Q56" s="216"/>
      <c r="R56" s="216"/>
      <c r="S56" s="216"/>
    </row>
    <row r="57" spans="1:19" x14ac:dyDescent="0.25">
      <c r="A57" s="216"/>
      <c r="B57" s="216"/>
      <c r="C57" s="216"/>
      <c r="D57" s="216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O57" s="216"/>
      <c r="P57" s="216"/>
      <c r="Q57" s="216"/>
      <c r="R57" s="216"/>
      <c r="S57" s="216"/>
    </row>
    <row r="58" spans="1:19" x14ac:dyDescent="0.25">
      <c r="A58" s="216"/>
      <c r="B58" s="216"/>
      <c r="C58" s="216"/>
      <c r="D58" s="216"/>
      <c r="E58" s="216"/>
      <c r="F58" s="216"/>
      <c r="G58" s="216"/>
      <c r="H58" s="216"/>
      <c r="I58" s="216"/>
      <c r="J58" s="216"/>
      <c r="K58" s="216"/>
      <c r="L58" s="216"/>
      <c r="M58" s="216"/>
      <c r="N58" s="216"/>
      <c r="O58" s="216"/>
      <c r="P58" s="216"/>
      <c r="Q58" s="216"/>
      <c r="R58" s="216"/>
      <c r="S58" s="216"/>
    </row>
    <row r="59" spans="1:19" x14ac:dyDescent="0.25">
      <c r="A59" s="216"/>
      <c r="B59" s="216"/>
      <c r="C59" s="216"/>
      <c r="D59" s="216"/>
      <c r="E59" s="216"/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6"/>
    </row>
    <row r="60" spans="1:19" x14ac:dyDescent="0.25">
      <c r="A60" s="216"/>
      <c r="B60" s="216"/>
      <c r="C60" s="216"/>
      <c r="D60" s="216"/>
      <c r="E60" s="216"/>
      <c r="F60" s="216"/>
      <c r="G60" s="216"/>
      <c r="H60" s="216"/>
      <c r="I60" s="216"/>
      <c r="J60" s="216"/>
      <c r="K60" s="216"/>
      <c r="L60" s="216"/>
      <c r="M60" s="216"/>
      <c r="N60" s="216"/>
      <c r="O60" s="216"/>
      <c r="P60" s="216"/>
      <c r="Q60" s="216"/>
      <c r="R60" s="216"/>
      <c r="S60" s="216"/>
    </row>
    <row r="61" spans="1:19" x14ac:dyDescent="0.25">
      <c r="A61" s="216"/>
      <c r="B61" s="216"/>
      <c r="C61" s="216"/>
      <c r="D61" s="216"/>
      <c r="E61" s="216"/>
      <c r="F61" s="216"/>
      <c r="G61" s="216"/>
      <c r="H61" s="216"/>
      <c r="I61" s="216"/>
      <c r="J61" s="216"/>
      <c r="K61" s="216"/>
      <c r="L61" s="216"/>
      <c r="M61" s="216"/>
      <c r="N61" s="216"/>
      <c r="O61" s="216"/>
      <c r="P61" s="216"/>
      <c r="Q61" s="216"/>
      <c r="R61" s="216"/>
      <c r="S61" s="216"/>
    </row>
    <row r="62" spans="1:19" x14ac:dyDescent="0.25">
      <c r="A62" s="216"/>
      <c r="B62" s="216"/>
      <c r="C62" s="216"/>
      <c r="D62" s="216"/>
      <c r="E62" s="216"/>
      <c r="F62" s="216"/>
      <c r="G62" s="216"/>
      <c r="H62" s="216"/>
      <c r="I62" s="216"/>
      <c r="J62" s="216"/>
      <c r="K62" s="216"/>
      <c r="L62" s="216"/>
      <c r="M62" s="216"/>
      <c r="N62" s="216"/>
      <c r="O62" s="216"/>
      <c r="P62" s="216"/>
      <c r="Q62" s="216"/>
      <c r="R62" s="216"/>
      <c r="S62" s="216"/>
    </row>
    <row r="63" spans="1:19" x14ac:dyDescent="0.25">
      <c r="A63" s="216"/>
      <c r="B63" s="216"/>
      <c r="C63" s="216"/>
      <c r="D63" s="216"/>
      <c r="E63" s="216"/>
      <c r="F63" s="216"/>
      <c r="G63" s="216"/>
      <c r="H63" s="216"/>
      <c r="I63" s="216"/>
      <c r="J63" s="216"/>
      <c r="K63" s="216"/>
      <c r="L63" s="216"/>
      <c r="M63" s="216"/>
      <c r="N63" s="216"/>
      <c r="O63" s="216"/>
      <c r="P63" s="216"/>
      <c r="Q63" s="216"/>
      <c r="R63" s="216"/>
      <c r="S63" s="216"/>
    </row>
    <row r="64" spans="1:19" x14ac:dyDescent="0.25">
      <c r="A64" s="216"/>
      <c r="B64" s="216"/>
      <c r="C64" s="216"/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16"/>
      <c r="O64" s="216"/>
      <c r="P64" s="216"/>
      <c r="Q64" s="216"/>
      <c r="R64" s="216"/>
      <c r="S64" s="216"/>
    </row>
    <row r="65" spans="1:19" x14ac:dyDescent="0.25">
      <c r="A65" s="216"/>
      <c r="B65" s="216"/>
      <c r="C65" s="216"/>
      <c r="D65" s="216"/>
      <c r="E65" s="216"/>
      <c r="F65" s="216"/>
      <c r="G65" s="216"/>
      <c r="H65" s="216"/>
      <c r="I65" s="216"/>
      <c r="J65" s="216"/>
      <c r="K65" s="216"/>
      <c r="L65" s="216"/>
      <c r="M65" s="216"/>
      <c r="N65" s="216"/>
      <c r="O65" s="216"/>
      <c r="P65" s="216"/>
      <c r="Q65" s="216"/>
      <c r="R65" s="216"/>
      <c r="S65" s="216"/>
    </row>
    <row r="66" spans="1:19" x14ac:dyDescent="0.25">
      <c r="A66" s="216"/>
      <c r="B66" s="216"/>
      <c r="C66" s="216"/>
      <c r="D66" s="216"/>
      <c r="E66" s="216"/>
      <c r="F66" s="216"/>
      <c r="G66" s="216"/>
      <c r="H66" s="216"/>
      <c r="I66" s="216"/>
      <c r="J66" s="216"/>
      <c r="K66" s="216"/>
      <c r="L66" s="216"/>
      <c r="M66" s="216"/>
      <c r="N66" s="216"/>
      <c r="O66" s="216"/>
      <c r="P66" s="216"/>
      <c r="Q66" s="216"/>
      <c r="R66" s="216"/>
      <c r="S66" s="216"/>
    </row>
    <row r="67" spans="1:19" x14ac:dyDescent="0.25">
      <c r="A67" s="216"/>
      <c r="B67" s="216"/>
      <c r="C67" s="216"/>
      <c r="D67" s="216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</row>
    <row r="68" spans="1:19" x14ac:dyDescent="0.25">
      <c r="A68" s="216"/>
      <c r="B68" s="216"/>
      <c r="C68" s="216"/>
      <c r="D68" s="216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</row>
    <row r="69" spans="1:19" x14ac:dyDescent="0.25">
      <c r="A69" s="216"/>
      <c r="B69" s="216"/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</row>
    <row r="70" spans="1:19" x14ac:dyDescent="0.25">
      <c r="A70" s="216"/>
      <c r="B70" s="216"/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</row>
    <row r="71" spans="1:19" x14ac:dyDescent="0.25">
      <c r="A71" s="216"/>
      <c r="B71" s="216"/>
      <c r="C71" s="216"/>
      <c r="D71" s="216"/>
      <c r="E71" s="216"/>
      <c r="F71" s="216"/>
      <c r="G71" s="216"/>
      <c r="H71" s="216"/>
      <c r="I71" s="216"/>
      <c r="J71" s="216"/>
      <c r="K71" s="216"/>
      <c r="L71" s="216"/>
      <c r="M71" s="216"/>
      <c r="N71" s="216"/>
      <c r="O71" s="216"/>
      <c r="P71" s="216"/>
      <c r="Q71" s="216"/>
      <c r="R71" s="216"/>
      <c r="S71" s="216"/>
    </row>
    <row r="72" spans="1:19" x14ac:dyDescent="0.25">
      <c r="A72" s="216"/>
      <c r="B72" s="216"/>
      <c r="C72" s="216"/>
      <c r="D72" s="216"/>
      <c r="E72" s="216"/>
      <c r="F72" s="216"/>
      <c r="G72" s="216"/>
      <c r="H72" s="216"/>
      <c r="I72" s="216"/>
      <c r="J72" s="216"/>
      <c r="K72" s="216"/>
      <c r="L72" s="216"/>
      <c r="M72" s="216"/>
      <c r="N72" s="216"/>
      <c r="O72" s="216"/>
      <c r="P72" s="216"/>
      <c r="Q72" s="216"/>
      <c r="R72" s="216"/>
      <c r="S72" s="216"/>
    </row>
    <row r="73" spans="1:19" x14ac:dyDescent="0.25">
      <c r="A73" s="216"/>
      <c r="B73" s="216"/>
      <c r="C73" s="216"/>
      <c r="D73" s="216"/>
      <c r="E73" s="216"/>
      <c r="F73" s="216"/>
      <c r="G73" s="216"/>
      <c r="H73" s="216"/>
      <c r="I73" s="216"/>
      <c r="J73" s="216"/>
      <c r="K73" s="216"/>
      <c r="L73" s="216"/>
      <c r="M73" s="216"/>
      <c r="N73" s="216"/>
      <c r="O73" s="216"/>
      <c r="P73" s="216"/>
      <c r="Q73" s="216"/>
      <c r="R73" s="216"/>
      <c r="S73" s="216"/>
    </row>
    <row r="74" spans="1:19" x14ac:dyDescent="0.25">
      <c r="A74" s="216"/>
      <c r="B74" s="216"/>
      <c r="C74" s="216"/>
      <c r="D74" s="216"/>
      <c r="E74" s="216"/>
      <c r="F74" s="216"/>
      <c r="G74" s="216"/>
      <c r="H74" s="216"/>
      <c r="I74" s="216"/>
      <c r="J74" s="216"/>
      <c r="K74" s="216"/>
      <c r="L74" s="216"/>
      <c r="M74" s="216"/>
      <c r="N74" s="216"/>
      <c r="O74" s="216"/>
      <c r="P74" s="216"/>
      <c r="Q74" s="216"/>
      <c r="R74" s="216"/>
      <c r="S74" s="216"/>
    </row>
    <row r="75" spans="1:19" x14ac:dyDescent="0.25">
      <c r="A75" s="216"/>
      <c r="B75" s="216"/>
      <c r="C75" s="216"/>
      <c r="D75" s="216"/>
      <c r="E75" s="216"/>
      <c r="F75" s="216"/>
      <c r="G75" s="216"/>
      <c r="H75" s="216"/>
      <c r="I75" s="216"/>
      <c r="J75" s="216"/>
      <c r="K75" s="216"/>
      <c r="L75" s="216"/>
      <c r="M75" s="216"/>
      <c r="N75" s="216"/>
      <c r="O75" s="216"/>
      <c r="P75" s="216"/>
      <c r="Q75" s="216"/>
      <c r="R75" s="216"/>
      <c r="S75" s="216"/>
    </row>
    <row r="76" spans="1:19" x14ac:dyDescent="0.25">
      <c r="A76" s="216"/>
      <c r="B76" s="216"/>
      <c r="C76" s="216"/>
      <c r="D76" s="216"/>
      <c r="E76" s="216"/>
      <c r="F76" s="216"/>
      <c r="G76" s="216"/>
      <c r="H76" s="216"/>
      <c r="I76" s="216"/>
      <c r="J76" s="216"/>
      <c r="K76" s="216"/>
      <c r="L76" s="216"/>
      <c r="M76" s="216"/>
      <c r="N76" s="216"/>
      <c r="O76" s="216"/>
      <c r="P76" s="216"/>
      <c r="Q76" s="216"/>
      <c r="R76" s="216"/>
      <c r="S76" s="216"/>
    </row>
    <row r="77" spans="1:19" x14ac:dyDescent="0.25">
      <c r="A77" s="216"/>
      <c r="B77" s="216"/>
      <c r="C77" s="216"/>
      <c r="D77" s="216"/>
      <c r="E77" s="216"/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6"/>
    </row>
    <row r="78" spans="1:19" x14ac:dyDescent="0.25">
      <c r="A78" s="216"/>
      <c r="B78" s="216"/>
      <c r="C78" s="216"/>
      <c r="D78" s="216"/>
      <c r="E78" s="216"/>
      <c r="F78" s="216"/>
      <c r="G78" s="216"/>
      <c r="H78" s="216"/>
      <c r="I78" s="216"/>
      <c r="J78" s="216"/>
      <c r="K78" s="216"/>
      <c r="L78" s="216"/>
      <c r="M78" s="216"/>
      <c r="N78" s="216"/>
      <c r="O78" s="216"/>
      <c r="P78" s="216"/>
      <c r="Q78" s="216"/>
      <c r="R78" s="216"/>
      <c r="S78" s="216"/>
    </row>
    <row r="79" spans="1:19" x14ac:dyDescent="0.25">
      <c r="A79" s="216"/>
      <c r="B79" s="216"/>
      <c r="C79" s="216"/>
      <c r="D79" s="216"/>
      <c r="E79" s="216"/>
      <c r="F79" s="216"/>
      <c r="G79" s="216"/>
      <c r="H79" s="216"/>
      <c r="I79" s="216"/>
      <c r="J79" s="216"/>
      <c r="K79" s="216"/>
      <c r="L79" s="216"/>
      <c r="M79" s="216"/>
      <c r="N79" s="216"/>
      <c r="O79" s="216"/>
      <c r="P79" s="216"/>
      <c r="Q79" s="216"/>
      <c r="R79" s="216"/>
      <c r="S79" s="216"/>
    </row>
    <row r="80" spans="1:19" x14ac:dyDescent="0.25">
      <c r="A80" s="216"/>
      <c r="B80" s="216"/>
      <c r="C80" s="216"/>
      <c r="D80" s="216"/>
      <c r="E80" s="216"/>
      <c r="F80" s="216"/>
      <c r="G80" s="216"/>
      <c r="H80" s="216"/>
      <c r="I80" s="216"/>
      <c r="J80" s="216"/>
      <c r="K80" s="216"/>
      <c r="L80" s="216"/>
      <c r="M80" s="216"/>
      <c r="N80" s="216"/>
      <c r="O80" s="216"/>
      <c r="P80" s="216"/>
      <c r="Q80" s="216"/>
      <c r="R80" s="216"/>
      <c r="S80" s="216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97"/>
  <sheetViews>
    <sheetView topLeftCell="A56" workbookViewId="0">
      <selection activeCell="E83" sqref="E83"/>
    </sheetView>
  </sheetViews>
  <sheetFormatPr defaultRowHeight="15" x14ac:dyDescent="0.25"/>
  <cols>
    <col min="1" max="2" width="20" customWidth="1"/>
    <col min="3" max="3" width="16.85546875" customWidth="1"/>
    <col min="4" max="13" width="10" customWidth="1"/>
  </cols>
  <sheetData>
    <row r="1" spans="1:4" ht="18.75" customHeight="1" x14ac:dyDescent="0.3">
      <c r="A1" s="97" t="s">
        <v>195</v>
      </c>
    </row>
    <row r="2" spans="1:4" x14ac:dyDescent="0.25">
      <c r="A2" s="85" t="s">
        <v>196</v>
      </c>
    </row>
    <row r="4" spans="1:4" ht="15.75" customHeight="1" x14ac:dyDescent="0.25">
      <c r="A4" s="98" t="s">
        <v>197</v>
      </c>
    </row>
    <row r="5" spans="1:4" x14ac:dyDescent="0.25">
      <c r="A5" s="99" t="s">
        <v>198</v>
      </c>
      <c r="B5" s="99" t="s">
        <v>199</v>
      </c>
      <c r="C5" s="99" t="s">
        <v>200</v>
      </c>
    </row>
    <row r="6" spans="1:4" x14ac:dyDescent="0.25">
      <c r="A6" s="100" t="s">
        <v>201</v>
      </c>
      <c r="B6" s="93">
        <v>0</v>
      </c>
      <c r="C6" s="100">
        <v>1</v>
      </c>
    </row>
    <row r="7" spans="1:4" x14ac:dyDescent="0.25">
      <c r="A7" s="100" t="s">
        <v>202</v>
      </c>
      <c r="B7" s="93">
        <v>2</v>
      </c>
      <c r="C7" s="100">
        <v>4</v>
      </c>
    </row>
    <row r="8" spans="1:4" x14ac:dyDescent="0.25">
      <c r="A8" s="100" t="s">
        <v>203</v>
      </c>
      <c r="B8" s="93">
        <v>5</v>
      </c>
      <c r="C8" s="100">
        <v>10</v>
      </c>
    </row>
    <row r="9" spans="1:4" x14ac:dyDescent="0.25">
      <c r="A9" s="100" t="s">
        <v>204</v>
      </c>
      <c r="B9" s="93">
        <v>15</v>
      </c>
      <c r="C9" s="100">
        <v>30</v>
      </c>
    </row>
    <row r="10" spans="1:4" x14ac:dyDescent="0.25">
      <c r="A10" s="100" t="s">
        <v>205</v>
      </c>
      <c r="B10" s="100">
        <v>50</v>
      </c>
      <c r="C10" s="100">
        <v>100</v>
      </c>
    </row>
    <row r="11" spans="1:4" ht="15.75" customHeight="1" x14ac:dyDescent="0.25">
      <c r="A11" s="86"/>
    </row>
    <row r="12" spans="1:4" x14ac:dyDescent="0.25">
      <c r="A12" s="85"/>
    </row>
    <row r="13" spans="1:4" x14ac:dyDescent="0.25">
      <c r="A13" s="98" t="s">
        <v>206</v>
      </c>
    </row>
    <row r="14" spans="1:4" x14ac:dyDescent="0.25">
      <c r="A14" s="99" t="s">
        <v>198</v>
      </c>
      <c r="B14" s="99" t="s">
        <v>169</v>
      </c>
      <c r="C14" s="99" t="s">
        <v>173</v>
      </c>
      <c r="D14" s="99" t="s">
        <v>171</v>
      </c>
    </row>
    <row r="15" spans="1:4" x14ac:dyDescent="0.25">
      <c r="A15" s="87" t="s">
        <v>201</v>
      </c>
      <c r="B15" s="101">
        <v>0.47499999999999998</v>
      </c>
      <c r="C15" s="221">
        <v>0.4</v>
      </c>
      <c r="D15" s="222">
        <v>0.32500000000000001</v>
      </c>
    </row>
    <row r="16" spans="1:4" x14ac:dyDescent="0.25">
      <c r="A16" s="87" t="s">
        <v>202</v>
      </c>
      <c r="B16" s="101">
        <v>0.35</v>
      </c>
      <c r="C16" s="88">
        <v>0.35</v>
      </c>
      <c r="D16" s="102">
        <v>0.35</v>
      </c>
    </row>
    <row r="17" spans="1:14" x14ac:dyDescent="0.25">
      <c r="A17" s="87" t="s">
        <v>203</v>
      </c>
      <c r="B17" s="101">
        <v>0.14000000000000001</v>
      </c>
      <c r="C17" s="88">
        <v>0.2</v>
      </c>
      <c r="D17" s="102">
        <v>0.26</v>
      </c>
    </row>
    <row r="18" spans="1:14" x14ac:dyDescent="0.25">
      <c r="A18" s="87" t="s">
        <v>204</v>
      </c>
      <c r="B18" s="101">
        <v>2.8000000000000001E-2</v>
      </c>
      <c r="C18" s="88">
        <v>0.04</v>
      </c>
      <c r="D18" s="102">
        <v>5.1999999999999998E-2</v>
      </c>
    </row>
    <row r="19" spans="1:14" x14ac:dyDescent="0.25">
      <c r="A19" s="87" t="s">
        <v>205</v>
      </c>
      <c r="B19" s="101">
        <v>6.9999999999999993E-3</v>
      </c>
      <c r="C19" s="88">
        <v>0.01</v>
      </c>
      <c r="D19" s="102">
        <v>1.2999999999999999E-2</v>
      </c>
    </row>
    <row r="20" spans="1:14" x14ac:dyDescent="0.25">
      <c r="A20" s="89" t="s">
        <v>207</v>
      </c>
      <c r="B20" s="90">
        <f>SUM(B15:B19)</f>
        <v>1</v>
      </c>
      <c r="C20" s="90">
        <f>SUM(C15:C19)</f>
        <v>1</v>
      </c>
      <c r="D20" s="90">
        <f>SUM(D15:D19)</f>
        <v>1</v>
      </c>
    </row>
    <row r="22" spans="1:14" x14ac:dyDescent="0.25">
      <c r="E22" s="91"/>
      <c r="F22" s="91"/>
    </row>
    <row r="23" spans="1:14" ht="15.75" customHeight="1" x14ac:dyDescent="0.25">
      <c r="A23" s="103" t="s">
        <v>208</v>
      </c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</row>
    <row r="24" spans="1:14" x14ac:dyDescent="0.25">
      <c r="A24" s="99" t="s">
        <v>209</v>
      </c>
      <c r="B24" s="99" t="s">
        <v>174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</row>
    <row r="25" spans="1:14" x14ac:dyDescent="0.25">
      <c r="A25" s="135" t="s">
        <v>169</v>
      </c>
      <c r="B25" s="135">
        <v>1.05</v>
      </c>
      <c r="C25" s="104"/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4"/>
    </row>
    <row r="26" spans="1:14" x14ac:dyDescent="0.25">
      <c r="A26" s="88" t="s">
        <v>173</v>
      </c>
      <c r="B26" s="162">
        <v>1.5</v>
      </c>
      <c r="C26" s="105"/>
      <c r="D26" s="105"/>
      <c r="E26" s="104"/>
      <c r="F26" s="104"/>
      <c r="G26" s="104"/>
      <c r="H26" s="104"/>
      <c r="I26" s="104"/>
      <c r="J26" s="104"/>
      <c r="K26" s="104"/>
      <c r="L26" s="104"/>
      <c r="M26" s="104"/>
      <c r="N26" s="104"/>
    </row>
    <row r="27" spans="1:14" x14ac:dyDescent="0.25">
      <c r="A27" s="102" t="s">
        <v>171</v>
      </c>
      <c r="B27" s="163">
        <v>1.95</v>
      </c>
      <c r="C27" s="107"/>
      <c r="D27" s="107"/>
      <c r="E27" s="105"/>
      <c r="F27" s="105"/>
      <c r="G27" s="105"/>
      <c r="H27" s="105"/>
      <c r="I27" s="105"/>
      <c r="J27" s="105"/>
      <c r="K27" s="105"/>
      <c r="L27" s="105"/>
      <c r="M27" s="105"/>
      <c r="N27" s="104"/>
    </row>
    <row r="28" spans="1:14" x14ac:dyDescent="0.25">
      <c r="A28" s="112"/>
      <c r="B28" s="113"/>
      <c r="C28" s="107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4"/>
    </row>
    <row r="29" spans="1:14" x14ac:dyDescent="0.25">
      <c r="A29" s="104"/>
      <c r="B29" s="107"/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4"/>
    </row>
    <row r="30" spans="1:14" x14ac:dyDescent="0.25">
      <c r="A30" s="110" t="s">
        <v>210</v>
      </c>
      <c r="B30" s="111"/>
      <c r="C30" s="107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4"/>
    </row>
    <row r="31" spans="1:14" x14ac:dyDescent="0.25">
      <c r="A31" s="99" t="s">
        <v>211</v>
      </c>
      <c r="B31" s="99" t="s">
        <v>212</v>
      </c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4"/>
    </row>
    <row r="32" spans="1:14" x14ac:dyDescent="0.25">
      <c r="A32" s="109" t="s">
        <v>26</v>
      </c>
      <c r="B32" s="109">
        <v>0</v>
      </c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4"/>
    </row>
    <row r="33" spans="1:20" x14ac:dyDescent="0.25">
      <c r="A33" s="109" t="s">
        <v>30</v>
      </c>
      <c r="B33" s="109">
        <v>15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</row>
    <row r="34" spans="1:20" ht="15.75" customHeight="1" x14ac:dyDescent="0.25">
      <c r="A34" s="109" t="s">
        <v>31</v>
      </c>
      <c r="B34" s="109">
        <v>75</v>
      </c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</row>
    <row r="35" spans="1:20" x14ac:dyDescent="0.25">
      <c r="A35" s="109" t="s">
        <v>33</v>
      </c>
      <c r="B35" s="109">
        <v>150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</row>
    <row r="36" spans="1:20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4"/>
    </row>
    <row r="37" spans="1:20" x14ac:dyDescent="0.25">
      <c r="A37" s="104"/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4"/>
    </row>
    <row r="38" spans="1:20" s="166" customFormat="1" x14ac:dyDescent="0.25">
      <c r="A38" s="167" t="s">
        <v>213</v>
      </c>
      <c r="B38" s="111"/>
      <c r="C38" s="165"/>
      <c r="D38" s="165"/>
      <c r="E38" s="165"/>
      <c r="F38" s="165"/>
      <c r="G38" s="165"/>
      <c r="H38" s="165"/>
      <c r="I38" s="165"/>
      <c r="J38" s="165"/>
      <c r="K38" s="165"/>
      <c r="L38" s="165"/>
      <c r="M38" s="165"/>
      <c r="N38" s="164"/>
    </row>
    <row r="39" spans="1:20" s="166" customFormat="1" x14ac:dyDescent="0.25">
      <c r="A39" s="99" t="s">
        <v>209</v>
      </c>
      <c r="B39" s="99" t="s">
        <v>214</v>
      </c>
      <c r="C39" s="165"/>
      <c r="D39" s="165"/>
      <c r="E39" s="165"/>
      <c r="F39" s="165"/>
      <c r="G39" s="165"/>
      <c r="H39" s="165"/>
      <c r="I39" s="165"/>
      <c r="J39" s="165"/>
      <c r="K39" s="165"/>
      <c r="L39" s="165"/>
      <c r="M39" s="165"/>
      <c r="N39" s="164"/>
    </row>
    <row r="40" spans="1:20" s="166" customFormat="1" x14ac:dyDescent="0.25">
      <c r="A40" s="135" t="s">
        <v>169</v>
      </c>
      <c r="B40" s="135">
        <v>0.7</v>
      </c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4"/>
    </row>
    <row r="41" spans="1:20" s="166" customFormat="1" x14ac:dyDescent="0.25">
      <c r="A41" s="88" t="s">
        <v>173</v>
      </c>
      <c r="B41" s="162">
        <v>1</v>
      </c>
      <c r="C41" s="165"/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4"/>
    </row>
    <row r="42" spans="1:20" s="166" customFormat="1" x14ac:dyDescent="0.25">
      <c r="A42" s="102" t="s">
        <v>171</v>
      </c>
      <c r="B42" s="163">
        <v>1.3</v>
      </c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4"/>
    </row>
    <row r="43" spans="1:20" s="166" customFormat="1" x14ac:dyDescent="0.25">
      <c r="A43" s="165"/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4"/>
    </row>
    <row r="44" spans="1:20" s="166" customFormat="1" x14ac:dyDescent="0.25">
      <c r="A44" s="164"/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4"/>
    </row>
    <row r="45" spans="1:20" s="166" customFormat="1" x14ac:dyDescent="0.25">
      <c r="A45" s="165"/>
      <c r="B45" s="165"/>
      <c r="C45" s="165"/>
      <c r="D45" s="165"/>
      <c r="E45" s="165"/>
      <c r="F45" s="165"/>
      <c r="G45" s="165"/>
      <c r="H45" s="165"/>
      <c r="I45" s="164"/>
    </row>
    <row r="46" spans="1:20" ht="18.75" customHeight="1" x14ac:dyDescent="0.25">
      <c r="A46" s="165"/>
      <c r="B46" s="165"/>
      <c r="C46" s="165"/>
      <c r="D46" s="165"/>
      <c r="E46" s="165"/>
      <c r="F46" s="165"/>
      <c r="G46" s="165"/>
      <c r="H46" s="165"/>
      <c r="I46" s="164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</row>
    <row r="47" spans="1:20" ht="18.75" customHeight="1" x14ac:dyDescent="0.3">
      <c r="A47" s="68" t="s">
        <v>215</v>
      </c>
      <c r="B47" s="165"/>
      <c r="C47" s="165"/>
      <c r="D47" s="165"/>
      <c r="E47" s="165"/>
      <c r="F47" s="165"/>
      <c r="G47" s="165"/>
      <c r="H47" s="165"/>
      <c r="I47" s="164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</row>
    <row r="48" spans="1:20" s="166" customFormat="1" ht="18.75" customHeight="1" x14ac:dyDescent="0.3">
      <c r="A48" s="181"/>
      <c r="B48" s="165"/>
      <c r="C48" s="165"/>
      <c r="D48" s="165"/>
      <c r="E48" s="165"/>
      <c r="F48" s="165"/>
      <c r="G48" s="165"/>
      <c r="H48" s="165"/>
      <c r="I48" s="164"/>
    </row>
    <row r="49" spans="1:20" ht="16.5" customHeight="1" x14ac:dyDescent="0.25">
      <c r="A49" s="182" t="s">
        <v>216</v>
      </c>
      <c r="B49" s="165"/>
      <c r="C49" s="165"/>
      <c r="D49" s="165"/>
      <c r="E49" s="165"/>
      <c r="F49" s="165"/>
      <c r="G49" s="165"/>
      <c r="H49" s="165"/>
      <c r="I49" s="164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</row>
    <row r="50" spans="1:20" x14ac:dyDescent="0.25">
      <c r="A50" s="106" t="s">
        <v>217</v>
      </c>
      <c r="B50" s="180"/>
      <c r="C50" s="127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</row>
    <row r="51" spans="1:20" ht="15.75" customHeight="1" x14ac:dyDescent="0.25">
      <c r="A51" s="124" t="s">
        <v>211</v>
      </c>
      <c r="B51" s="134" t="s">
        <v>149</v>
      </c>
      <c r="C51" s="134" t="s">
        <v>150</v>
      </c>
      <c r="D51" s="115" t="s">
        <v>151</v>
      </c>
      <c r="E51" s="114" t="s">
        <v>152</v>
      </c>
      <c r="F51" s="114" t="s">
        <v>153</v>
      </c>
      <c r="G51" s="114" t="s">
        <v>154</v>
      </c>
      <c r="H51" s="114" t="s">
        <v>155</v>
      </c>
      <c r="I51" s="114" t="s">
        <v>156</v>
      </c>
      <c r="J51" s="114" t="s">
        <v>157</v>
      </c>
      <c r="K51" s="114" t="s">
        <v>158</v>
      </c>
      <c r="L51" s="114" t="s">
        <v>159</v>
      </c>
      <c r="M51" s="114" t="s">
        <v>160</v>
      </c>
      <c r="N51" s="104"/>
    </row>
    <row r="52" spans="1:20" x14ac:dyDescent="0.25">
      <c r="A52" s="92" t="s">
        <v>26</v>
      </c>
      <c r="B52" s="116">
        <v>0.96499999999999941</v>
      </c>
      <c r="C52" s="116">
        <v>0.88863636363636322</v>
      </c>
      <c r="D52" s="116">
        <v>0.82499999999999973</v>
      </c>
      <c r="E52" s="116">
        <v>0.75499999999999978</v>
      </c>
      <c r="F52" s="116">
        <v>0.61499999999999988</v>
      </c>
      <c r="G52" s="116">
        <v>0.54499999999999993</v>
      </c>
      <c r="H52" s="116">
        <v>0.54499999999999993</v>
      </c>
      <c r="I52" s="116">
        <v>0.47499999999999998</v>
      </c>
      <c r="J52" s="116">
        <v>0.47499999999999998</v>
      </c>
      <c r="K52" s="116">
        <v>0.47499999999999998</v>
      </c>
      <c r="L52" s="116">
        <v>0.47499999999999998</v>
      </c>
      <c r="M52" s="116">
        <v>0.47499999999999998</v>
      </c>
      <c r="N52" s="104"/>
    </row>
    <row r="53" spans="1:20" x14ac:dyDescent="0.25">
      <c r="A53" s="92" t="s">
        <v>30</v>
      </c>
      <c r="B53" s="116">
        <v>3.1465346534653493E-2</v>
      </c>
      <c r="C53" s="116">
        <v>0.1043636363636362</v>
      </c>
      <c r="D53" s="116">
        <v>0.15806451612903219</v>
      </c>
      <c r="E53" s="116">
        <v>0.21722580645161291</v>
      </c>
      <c r="F53" s="116">
        <v>0.35000000000000009</v>
      </c>
      <c r="G53" s="116">
        <v>0.42000000000000032</v>
      </c>
      <c r="H53" s="116">
        <v>0.42000000000000032</v>
      </c>
      <c r="I53" s="116">
        <v>0.46454545454545482</v>
      </c>
      <c r="J53" s="116">
        <v>0.43909090909090931</v>
      </c>
      <c r="K53" s="116">
        <v>0.41363636363636369</v>
      </c>
      <c r="L53" s="116">
        <v>0.40090909090909099</v>
      </c>
      <c r="M53" s="116">
        <v>0.37545454545454549</v>
      </c>
      <c r="N53" s="104"/>
    </row>
    <row r="54" spans="1:20" x14ac:dyDescent="0.25">
      <c r="A54" s="92" t="s">
        <v>31</v>
      </c>
      <c r="B54" s="116">
        <v>3.5346534653465361E-3</v>
      </c>
      <c r="C54" s="116">
        <v>3.4653465346534671E-3</v>
      </c>
      <c r="D54" s="116">
        <v>9.9354838709677408E-3</v>
      </c>
      <c r="E54" s="116">
        <v>2.0774193548387099E-2</v>
      </c>
      <c r="F54" s="116">
        <v>2.70967741935484E-2</v>
      </c>
      <c r="G54" s="116">
        <v>1.806451612903226E-2</v>
      </c>
      <c r="H54" s="116">
        <v>1.174193548387097E-2</v>
      </c>
      <c r="I54" s="116">
        <v>3.2680351906158367E-2</v>
      </c>
      <c r="J54" s="116">
        <v>5.4521994134897368E-2</v>
      </c>
      <c r="K54" s="116">
        <v>7.636363636363637E-2</v>
      </c>
      <c r="L54" s="116">
        <v>8.9090909090909096E-2</v>
      </c>
      <c r="M54" s="116">
        <v>0.11454545454545451</v>
      </c>
      <c r="N54" s="104"/>
    </row>
    <row r="55" spans="1:20" x14ac:dyDescent="0.25">
      <c r="A55" s="117" t="s">
        <v>33</v>
      </c>
      <c r="B55" s="118">
        <v>0</v>
      </c>
      <c r="C55" s="118">
        <v>3.5346534653465361E-3</v>
      </c>
      <c r="D55" s="118">
        <v>7.0000000000000036E-3</v>
      </c>
      <c r="E55" s="116">
        <v>7.0000000000000036E-3</v>
      </c>
      <c r="F55" s="116">
        <v>7.9032258064516189E-3</v>
      </c>
      <c r="G55" s="116">
        <v>1.693548387096775E-2</v>
      </c>
      <c r="H55" s="116">
        <v>2.3258064516129041E-2</v>
      </c>
      <c r="I55" s="116">
        <v>2.7774193548387109E-2</v>
      </c>
      <c r="J55" s="116">
        <v>3.1387096774193567E-2</v>
      </c>
      <c r="K55" s="116">
        <v>3.5000000000000017E-2</v>
      </c>
      <c r="L55" s="116">
        <v>3.5000000000000017E-2</v>
      </c>
      <c r="M55" s="116">
        <v>3.5000000000000017E-2</v>
      </c>
      <c r="N55" s="104"/>
    </row>
    <row r="56" spans="1:20" ht="16.5" customHeight="1" x14ac:dyDescent="0.25">
      <c r="A56" s="119" t="s">
        <v>207</v>
      </c>
      <c r="B56" s="120">
        <f t="shared" ref="B56:M56" si="0">SUM(B52:B55)</f>
        <v>0.99999999999999944</v>
      </c>
      <c r="C56" s="120">
        <f t="shared" si="0"/>
        <v>0.99999999999999944</v>
      </c>
      <c r="D56" s="120">
        <f t="shared" si="0"/>
        <v>0.99999999999999967</v>
      </c>
      <c r="E56" s="120">
        <f t="shared" si="0"/>
        <v>0.99999999999999978</v>
      </c>
      <c r="F56" s="120">
        <f t="shared" si="0"/>
        <v>1</v>
      </c>
      <c r="G56" s="120">
        <f t="shared" si="0"/>
        <v>1.0000000000000002</v>
      </c>
      <c r="H56" s="120">
        <f t="shared" si="0"/>
        <v>1.0000000000000002</v>
      </c>
      <c r="I56" s="120">
        <f t="shared" si="0"/>
        <v>1.0000000000000002</v>
      </c>
      <c r="J56" s="120">
        <f t="shared" si="0"/>
        <v>1.0000000000000002</v>
      </c>
      <c r="K56" s="120">
        <f t="shared" si="0"/>
        <v>1</v>
      </c>
      <c r="L56" s="120">
        <f t="shared" si="0"/>
        <v>1</v>
      </c>
      <c r="M56" s="120">
        <f t="shared" si="0"/>
        <v>1</v>
      </c>
      <c r="N56" s="104"/>
    </row>
    <row r="57" spans="1:20" x14ac:dyDescent="0.25">
      <c r="A57" s="112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04"/>
    </row>
    <row r="58" spans="1:20" x14ac:dyDescent="0.25">
      <c r="A58" s="106" t="s">
        <v>218</v>
      </c>
      <c r="B58" s="104"/>
      <c r="C58" s="105"/>
      <c r="D58" s="104"/>
      <c r="E58" s="107"/>
      <c r="F58" s="107"/>
      <c r="G58" s="107"/>
      <c r="H58" s="104"/>
      <c r="I58" s="104"/>
      <c r="J58" s="104"/>
      <c r="K58" s="104"/>
      <c r="L58" s="104"/>
      <c r="M58" s="104"/>
      <c r="N58" s="104"/>
    </row>
    <row r="59" spans="1:20" x14ac:dyDescent="0.25">
      <c r="A59" s="114" t="s">
        <v>211</v>
      </c>
      <c r="B59" s="114" t="s">
        <v>149</v>
      </c>
      <c r="C59" s="114" t="s">
        <v>150</v>
      </c>
      <c r="D59" s="114" t="s">
        <v>151</v>
      </c>
      <c r="E59" s="114" t="s">
        <v>152</v>
      </c>
      <c r="F59" s="114" t="s">
        <v>153</v>
      </c>
      <c r="G59" s="114" t="s">
        <v>154</v>
      </c>
      <c r="H59" s="114" t="s">
        <v>155</v>
      </c>
      <c r="I59" s="114" t="s">
        <v>156</v>
      </c>
      <c r="J59" s="114" t="s">
        <v>157</v>
      </c>
      <c r="K59" s="114" t="s">
        <v>158</v>
      </c>
      <c r="L59" s="114" t="s">
        <v>159</v>
      </c>
      <c r="M59" s="114" t="s">
        <v>160</v>
      </c>
      <c r="N59" s="104"/>
    </row>
    <row r="60" spans="1:20" ht="15.75" customHeight="1" x14ac:dyDescent="0.25">
      <c r="A60" s="92" t="s">
        <v>26</v>
      </c>
      <c r="B60" s="94">
        <v>0.93749999999999956</v>
      </c>
      <c r="C60" s="94">
        <v>0.75000000000000022</v>
      </c>
      <c r="D60" s="94">
        <v>0.60000000000000009</v>
      </c>
      <c r="E60" s="94">
        <v>0.5</v>
      </c>
      <c r="F60" s="94">
        <v>0.4</v>
      </c>
      <c r="G60" s="94">
        <v>0.4</v>
      </c>
      <c r="H60" s="94">
        <v>0.4</v>
      </c>
      <c r="I60" s="94">
        <v>0.4</v>
      </c>
      <c r="J60" s="94">
        <v>0.4</v>
      </c>
      <c r="K60" s="94">
        <v>0.3</v>
      </c>
      <c r="L60" s="94">
        <v>0.3</v>
      </c>
      <c r="M60" s="94">
        <v>0.3</v>
      </c>
      <c r="N60" s="104"/>
    </row>
    <row r="61" spans="1:20" ht="15.75" customHeight="1" x14ac:dyDescent="0.25">
      <c r="A61" s="92" t="s">
        <v>30</v>
      </c>
      <c r="B61" s="94">
        <v>5.7450495049504932E-2</v>
      </c>
      <c r="C61" s="94">
        <v>0.2399999999999998</v>
      </c>
      <c r="D61" s="94">
        <v>0.37580645161290321</v>
      </c>
      <c r="E61" s="94">
        <v>0.46032258064516129</v>
      </c>
      <c r="F61" s="94">
        <v>0.53749999999999998</v>
      </c>
      <c r="G61" s="94">
        <v>0.47500000000000009</v>
      </c>
      <c r="H61" s="94">
        <v>0.43750000000000011</v>
      </c>
      <c r="I61" s="94">
        <v>0.4</v>
      </c>
      <c r="J61" s="94">
        <v>0.375</v>
      </c>
      <c r="K61" s="94">
        <v>0.45</v>
      </c>
      <c r="L61" s="94">
        <v>0.45</v>
      </c>
      <c r="M61" s="94">
        <v>0.45</v>
      </c>
      <c r="N61" s="104"/>
    </row>
    <row r="62" spans="1:20" x14ac:dyDescent="0.25">
      <c r="A62" s="92" t="s">
        <v>31</v>
      </c>
      <c r="B62" s="94">
        <v>5.0495049504950531E-3</v>
      </c>
      <c r="C62" s="94">
        <v>4.950495049504954E-3</v>
      </c>
      <c r="D62" s="94">
        <v>1.419354838709677E-2</v>
      </c>
      <c r="E62" s="94">
        <v>2.96774193548387E-2</v>
      </c>
      <c r="F62" s="94">
        <v>5.1209677419354817E-2</v>
      </c>
      <c r="G62" s="94">
        <v>0.1008064516129033</v>
      </c>
      <c r="H62" s="94">
        <v>0.1292741935483871</v>
      </c>
      <c r="I62" s="94">
        <v>0.16032258064516119</v>
      </c>
      <c r="J62" s="94">
        <v>0.1801612903225806</v>
      </c>
      <c r="K62" s="94">
        <v>0.1875</v>
      </c>
      <c r="L62" s="94">
        <v>0.16250000000000001</v>
      </c>
      <c r="M62" s="94">
        <v>0.125</v>
      </c>
      <c r="N62" s="104"/>
    </row>
    <row r="63" spans="1:20" x14ac:dyDescent="0.25">
      <c r="A63" s="92" t="s">
        <v>33</v>
      </c>
      <c r="B63" s="94">
        <v>0</v>
      </c>
      <c r="C63" s="94">
        <v>5.0495049504950531E-3</v>
      </c>
      <c r="D63" s="94">
        <v>1.0000000000000011E-2</v>
      </c>
      <c r="E63" s="94">
        <v>1.0000000000000011E-2</v>
      </c>
      <c r="F63" s="94">
        <v>1.1290322580645169E-2</v>
      </c>
      <c r="G63" s="94">
        <v>2.419354838709678E-2</v>
      </c>
      <c r="H63" s="94">
        <v>3.3225806451612903E-2</v>
      </c>
      <c r="I63" s="94">
        <v>3.9677419354838712E-2</v>
      </c>
      <c r="J63" s="94">
        <v>4.4838709677419347E-2</v>
      </c>
      <c r="K63" s="94">
        <v>6.2499999999999993E-2</v>
      </c>
      <c r="L63" s="94">
        <v>8.7500000000000064E-2</v>
      </c>
      <c r="M63" s="94">
        <v>0.12500000000000019</v>
      </c>
      <c r="N63" s="104"/>
    </row>
    <row r="64" spans="1:20" x14ac:dyDescent="0.25">
      <c r="A64" s="119" t="s">
        <v>207</v>
      </c>
      <c r="B64" s="120">
        <v>0.99999999999999956</v>
      </c>
      <c r="C64" s="120">
        <v>1</v>
      </c>
      <c r="D64" s="120">
        <v>1</v>
      </c>
      <c r="E64" s="120">
        <v>1</v>
      </c>
      <c r="F64" s="120">
        <v>1</v>
      </c>
      <c r="G64" s="120">
        <v>1</v>
      </c>
      <c r="H64" s="120">
        <v>1</v>
      </c>
      <c r="I64" s="120">
        <v>0.99999999999999989</v>
      </c>
      <c r="J64" s="120">
        <v>0.99999999999999989</v>
      </c>
      <c r="K64" s="120">
        <v>1</v>
      </c>
      <c r="L64" s="120">
        <v>1</v>
      </c>
      <c r="M64" s="120">
        <v>1</v>
      </c>
      <c r="N64" s="104"/>
    </row>
    <row r="65" spans="1:14" x14ac:dyDescent="0.25">
      <c r="A65" s="112"/>
      <c r="B65" s="123"/>
      <c r="C65" s="123"/>
      <c r="D65" s="123"/>
      <c r="E65" s="112"/>
      <c r="F65" s="112"/>
      <c r="G65" s="112"/>
      <c r="H65" s="112"/>
      <c r="I65" s="112"/>
      <c r="J65" s="112"/>
      <c r="K65" s="112"/>
      <c r="L65" s="112"/>
      <c r="M65" s="112"/>
      <c r="N65" s="104"/>
    </row>
    <row r="66" spans="1:14" x14ac:dyDescent="0.25">
      <c r="A66" s="125" t="s">
        <v>219</v>
      </c>
      <c r="B66" s="126"/>
      <c r="C66" s="126"/>
      <c r="D66" s="126"/>
      <c r="E66" s="127"/>
      <c r="F66" s="127"/>
      <c r="G66" s="127"/>
      <c r="H66" s="127"/>
      <c r="I66" s="127"/>
      <c r="J66" s="127"/>
      <c r="K66" s="127"/>
      <c r="L66" s="127"/>
      <c r="M66" s="127"/>
      <c r="N66" s="104"/>
    </row>
    <row r="67" spans="1:14" x14ac:dyDescent="0.25">
      <c r="A67" s="124" t="s">
        <v>211</v>
      </c>
      <c r="B67" s="124" t="s">
        <v>149</v>
      </c>
      <c r="C67" s="124" t="s">
        <v>150</v>
      </c>
      <c r="D67" s="124" t="s">
        <v>151</v>
      </c>
      <c r="E67" s="124" t="s">
        <v>152</v>
      </c>
      <c r="F67" s="124" t="s">
        <v>153</v>
      </c>
      <c r="G67" s="124" t="s">
        <v>154</v>
      </c>
      <c r="H67" s="124" t="s">
        <v>155</v>
      </c>
      <c r="I67" s="124" t="s">
        <v>156</v>
      </c>
      <c r="J67" s="124" t="s">
        <v>157</v>
      </c>
      <c r="K67" s="124" t="s">
        <v>158</v>
      </c>
      <c r="L67" s="124" t="s">
        <v>159</v>
      </c>
      <c r="M67" s="124" t="s">
        <v>160</v>
      </c>
      <c r="N67" s="104"/>
    </row>
    <row r="68" spans="1:14" x14ac:dyDescent="0.25">
      <c r="A68" s="92" t="s">
        <v>26</v>
      </c>
      <c r="B68" s="121">
        <v>0.81799999999999995</v>
      </c>
      <c r="C68" s="121">
        <v>0.67499999999999982</v>
      </c>
      <c r="D68" s="121">
        <v>0.45624999999999999</v>
      </c>
      <c r="E68" s="121">
        <v>0.32500000000000001</v>
      </c>
      <c r="F68" s="121">
        <v>0.32500000000000001</v>
      </c>
      <c r="G68" s="121">
        <v>0.32500000000000001</v>
      </c>
      <c r="H68" s="121">
        <v>0.32500000000000001</v>
      </c>
      <c r="I68" s="121">
        <v>0.32500000000000001</v>
      </c>
      <c r="J68" s="121">
        <v>0.32500000000000001</v>
      </c>
      <c r="K68" s="121">
        <v>0.24374999999999999</v>
      </c>
      <c r="L68" s="121">
        <v>0.24374999999999999</v>
      </c>
      <c r="M68" s="121">
        <v>0.24374999999999999</v>
      </c>
      <c r="N68" s="104"/>
    </row>
    <row r="69" spans="1:14" x14ac:dyDescent="0.25">
      <c r="A69" s="92" t="s">
        <v>30</v>
      </c>
      <c r="B69" s="122">
        <v>0.1754356435643562</v>
      </c>
      <c r="C69" s="122">
        <v>0.31200000000000072</v>
      </c>
      <c r="D69" s="122">
        <v>0.51229838709677433</v>
      </c>
      <c r="E69" s="122">
        <v>0.59741935483870956</v>
      </c>
      <c r="F69" s="122">
        <v>0.49300000000000022</v>
      </c>
      <c r="G69" s="122">
        <v>0.4280000000000001</v>
      </c>
      <c r="H69" s="121">
        <v>0.37600000000000011</v>
      </c>
      <c r="I69" s="121">
        <v>0.35</v>
      </c>
      <c r="J69" s="121">
        <v>0.35</v>
      </c>
      <c r="K69" s="121">
        <v>0.43125000000000008</v>
      </c>
      <c r="L69" s="121">
        <v>0.34375000000000011</v>
      </c>
      <c r="M69" s="121">
        <v>0.3</v>
      </c>
      <c r="N69" s="104"/>
    </row>
    <row r="70" spans="1:14" ht="15.75" customHeight="1" x14ac:dyDescent="0.25">
      <c r="A70" s="92" t="s">
        <v>31</v>
      </c>
      <c r="B70" s="121">
        <v>6.5643564356435693E-3</v>
      </c>
      <c r="C70" s="121">
        <v>6.4356435643564396E-3</v>
      </c>
      <c r="D70" s="121">
        <v>1.8451612903225809E-2</v>
      </c>
      <c r="E70" s="121">
        <v>6.4580645161290279E-2</v>
      </c>
      <c r="F70" s="121">
        <v>0.16732258064516101</v>
      </c>
      <c r="G70" s="121">
        <v>0.21554838709677401</v>
      </c>
      <c r="H70" s="121">
        <v>0.25580645161290327</v>
      </c>
      <c r="I70" s="121">
        <v>0.24741935483870969</v>
      </c>
      <c r="J70" s="121">
        <v>0.18870967741935479</v>
      </c>
      <c r="K70" s="121">
        <v>0.14299999999999999</v>
      </c>
      <c r="L70" s="121">
        <v>0.19150000000000009</v>
      </c>
      <c r="M70" s="121">
        <v>0.20924999999999999</v>
      </c>
      <c r="N70" s="104"/>
    </row>
    <row r="71" spans="1:14" x14ac:dyDescent="0.25">
      <c r="A71" s="92" t="s">
        <v>33</v>
      </c>
      <c r="B71" s="121">
        <v>0</v>
      </c>
      <c r="C71" s="121">
        <v>6.5643564356435693E-3</v>
      </c>
      <c r="D71" s="121">
        <v>1.300000000000001E-2</v>
      </c>
      <c r="E71" s="121">
        <v>1.300000000000001E-2</v>
      </c>
      <c r="F71" s="121">
        <v>1.467741935483872E-2</v>
      </c>
      <c r="G71" s="121">
        <v>3.1451612903225817E-2</v>
      </c>
      <c r="H71" s="121">
        <v>4.3193548387096783E-2</v>
      </c>
      <c r="I71" s="121">
        <v>7.758064516129029E-2</v>
      </c>
      <c r="J71" s="121">
        <v>0.1362903225806453</v>
      </c>
      <c r="K71" s="121">
        <v>0.18199999999999969</v>
      </c>
      <c r="L71" s="121">
        <v>0.2209999999999997</v>
      </c>
      <c r="M71" s="121">
        <v>0.24699999999999969</v>
      </c>
      <c r="N71" s="104"/>
    </row>
    <row r="72" spans="1:14" x14ac:dyDescent="0.25">
      <c r="A72" s="119" t="s">
        <v>207</v>
      </c>
      <c r="B72" s="120">
        <f t="shared" ref="B72:M72" si="1">SUM(B68:B71)</f>
        <v>0.99999999999999967</v>
      </c>
      <c r="C72" s="120">
        <f t="shared" si="1"/>
        <v>1.0000000000000004</v>
      </c>
      <c r="D72" s="120">
        <f t="shared" si="1"/>
        <v>1.0000000000000002</v>
      </c>
      <c r="E72" s="120">
        <f t="shared" si="1"/>
        <v>0.99999999999999989</v>
      </c>
      <c r="F72" s="120">
        <f t="shared" si="1"/>
        <v>1</v>
      </c>
      <c r="G72" s="120">
        <f t="shared" si="1"/>
        <v>1</v>
      </c>
      <c r="H72" s="120">
        <f t="shared" si="1"/>
        <v>1.0000000000000002</v>
      </c>
      <c r="I72" s="120">
        <f t="shared" si="1"/>
        <v>1</v>
      </c>
      <c r="J72" s="120">
        <f t="shared" si="1"/>
        <v>1.0000000000000002</v>
      </c>
      <c r="K72" s="120">
        <f t="shared" si="1"/>
        <v>0.99999999999999978</v>
      </c>
      <c r="L72" s="120">
        <f t="shared" si="1"/>
        <v>1</v>
      </c>
      <c r="M72" s="120">
        <f t="shared" si="1"/>
        <v>0.99999999999999956</v>
      </c>
      <c r="N72" s="104"/>
    </row>
    <row r="73" spans="1:14" x14ac:dyDescent="0.25">
      <c r="A73" s="123"/>
      <c r="B73" s="123"/>
      <c r="C73" s="123"/>
      <c r="D73" s="123"/>
      <c r="E73" s="123"/>
      <c r="F73" s="123"/>
      <c r="G73" s="123"/>
      <c r="H73" s="112"/>
      <c r="I73" s="112"/>
      <c r="J73" s="112"/>
      <c r="K73" s="112"/>
      <c r="L73" s="112"/>
      <c r="M73" s="112"/>
      <c r="N73" s="104"/>
    </row>
    <row r="74" spans="1:14" x14ac:dyDescent="0.25">
      <c r="A74" s="104"/>
      <c r="B74" s="104"/>
      <c r="C74" s="105"/>
      <c r="D74" s="104"/>
      <c r="E74" s="107"/>
      <c r="F74" s="107"/>
      <c r="G74" s="107"/>
      <c r="H74" s="104"/>
      <c r="I74" s="104"/>
      <c r="J74" s="104"/>
      <c r="K74" s="104"/>
      <c r="L74" s="104"/>
      <c r="M74" s="104"/>
      <c r="N74" s="104"/>
    </row>
    <row r="75" spans="1:14" ht="15.75" customHeight="1" x14ac:dyDescent="0.25">
      <c r="A75" s="182" t="s">
        <v>220</v>
      </c>
      <c r="B75" s="127"/>
      <c r="C75" s="126"/>
      <c r="D75" s="127"/>
      <c r="E75" s="107"/>
      <c r="F75" s="107"/>
      <c r="G75" s="107"/>
      <c r="H75" s="104"/>
      <c r="I75" s="104"/>
      <c r="J75" s="104"/>
      <c r="K75" s="104"/>
      <c r="L75" s="104"/>
      <c r="M75" s="104"/>
      <c r="N75" s="104"/>
    </row>
    <row r="76" spans="1:14" x14ac:dyDescent="0.25">
      <c r="A76" s="124" t="s">
        <v>211</v>
      </c>
      <c r="B76" s="124" t="s">
        <v>169</v>
      </c>
      <c r="C76" s="124" t="s">
        <v>173</v>
      </c>
      <c r="D76" s="124" t="s">
        <v>171</v>
      </c>
      <c r="E76" s="104"/>
      <c r="F76" s="104"/>
      <c r="G76" s="104"/>
      <c r="H76" s="104"/>
      <c r="I76" s="108"/>
      <c r="J76" s="108"/>
      <c r="K76" s="108"/>
      <c r="L76" s="108"/>
      <c r="M76" s="108"/>
      <c r="N76" s="108"/>
    </row>
    <row r="77" spans="1:14" x14ac:dyDescent="0.25">
      <c r="A77" s="92" t="s">
        <v>26</v>
      </c>
      <c r="B77" s="96">
        <v>0.5</v>
      </c>
      <c r="C77" s="95">
        <v>0.5</v>
      </c>
      <c r="D77" s="128">
        <v>0.5</v>
      </c>
      <c r="E77" s="108"/>
      <c r="F77" s="108"/>
      <c r="G77" s="108"/>
      <c r="H77" s="108"/>
      <c r="I77" s="108"/>
      <c r="J77" s="108"/>
      <c r="K77" s="108"/>
      <c r="L77" s="108"/>
      <c r="M77" s="108"/>
      <c r="N77" s="108"/>
    </row>
    <row r="78" spans="1:14" ht="15.75" customHeight="1" x14ac:dyDescent="0.25">
      <c r="A78" s="92" t="s">
        <v>30</v>
      </c>
      <c r="B78" s="96">
        <v>3.3</v>
      </c>
      <c r="C78" s="95">
        <v>3.8</v>
      </c>
      <c r="D78" s="128">
        <v>4</v>
      </c>
      <c r="E78" s="108"/>
      <c r="F78" s="108"/>
      <c r="G78" s="108"/>
      <c r="H78" s="108"/>
      <c r="I78" s="108"/>
      <c r="J78" s="108"/>
      <c r="K78" s="108"/>
      <c r="L78" s="108"/>
      <c r="M78" s="108"/>
      <c r="N78" s="108"/>
    </row>
    <row r="79" spans="1:14" x14ac:dyDescent="0.25">
      <c r="A79" s="92" t="s">
        <v>31</v>
      </c>
      <c r="B79" s="96">
        <v>8.1999999999999993</v>
      </c>
      <c r="C79" s="95">
        <v>9.8000000000000007</v>
      </c>
      <c r="D79" s="128">
        <v>8.4</v>
      </c>
      <c r="E79" s="108"/>
      <c r="F79" s="108"/>
      <c r="G79" s="108"/>
      <c r="H79" s="108"/>
      <c r="I79" s="108"/>
      <c r="J79" s="108"/>
      <c r="K79" s="108"/>
      <c r="L79" s="108"/>
      <c r="M79" s="108"/>
      <c r="N79" s="108"/>
    </row>
    <row r="80" spans="1:14" x14ac:dyDescent="0.25">
      <c r="A80" s="130" t="s">
        <v>33</v>
      </c>
      <c r="B80" s="131">
        <v>33</v>
      </c>
      <c r="C80" s="132">
        <v>21.4</v>
      </c>
      <c r="D80" s="133">
        <v>20.5</v>
      </c>
      <c r="E80" s="108"/>
      <c r="F80" s="108"/>
      <c r="G80" s="108"/>
      <c r="H80" s="108"/>
      <c r="I80" s="108"/>
      <c r="J80" s="108"/>
      <c r="K80" s="108"/>
      <c r="L80" s="108"/>
      <c r="M80" s="108"/>
      <c r="N80" s="108"/>
    </row>
    <row r="81" spans="1:14" x14ac:dyDescent="0.25">
      <c r="A81" s="123"/>
      <c r="B81" s="123"/>
      <c r="C81" s="123"/>
      <c r="D81" s="123"/>
      <c r="E81" s="108"/>
      <c r="F81" s="108"/>
      <c r="G81" s="108"/>
      <c r="H81" s="108"/>
      <c r="I81" s="108"/>
      <c r="J81" s="108"/>
      <c r="K81" s="108"/>
      <c r="L81" s="108"/>
      <c r="M81" s="108"/>
      <c r="N81" s="108"/>
    </row>
    <row r="82" spans="1:14" x14ac:dyDescent="0.25">
      <c r="A82" s="104"/>
      <c r="B82" s="105"/>
      <c r="C82" s="105"/>
      <c r="D82" s="105"/>
      <c r="E82" s="108"/>
      <c r="F82" s="108"/>
      <c r="G82" s="108"/>
      <c r="H82" s="108"/>
      <c r="I82" s="108"/>
      <c r="J82" s="108"/>
      <c r="K82" s="108"/>
      <c r="L82" s="108"/>
      <c r="M82" s="108"/>
      <c r="N82" s="108"/>
    </row>
    <row r="83" spans="1:14" x14ac:dyDescent="0.25">
      <c r="A83" s="129" t="s">
        <v>221</v>
      </c>
      <c r="B83" s="126"/>
      <c r="C83" s="126"/>
      <c r="D83" s="126"/>
      <c r="E83" s="108"/>
      <c r="F83" s="108"/>
      <c r="G83" s="108"/>
      <c r="H83" s="108"/>
      <c r="I83" s="108"/>
      <c r="J83" s="108"/>
      <c r="K83" s="108"/>
      <c r="L83" s="108"/>
      <c r="M83" s="108"/>
      <c r="N83" s="108"/>
    </row>
    <row r="84" spans="1:14" x14ac:dyDescent="0.25">
      <c r="A84" s="124" t="s">
        <v>211</v>
      </c>
      <c r="B84" s="124" t="s">
        <v>222</v>
      </c>
      <c r="C84" s="124" t="s">
        <v>79</v>
      </c>
      <c r="D84" s="124" t="s">
        <v>223</v>
      </c>
      <c r="E84" s="114" t="s">
        <v>224</v>
      </c>
      <c r="F84" s="114" t="s">
        <v>173</v>
      </c>
      <c r="G84" s="114" t="s">
        <v>225</v>
      </c>
      <c r="H84" s="108"/>
      <c r="I84" s="108"/>
      <c r="J84" s="108"/>
      <c r="K84" s="108"/>
      <c r="L84" s="108"/>
      <c r="M84" s="108"/>
      <c r="N84" s="108"/>
    </row>
    <row r="85" spans="1:14" x14ac:dyDescent="0.25">
      <c r="A85" s="92" t="s">
        <v>26</v>
      </c>
      <c r="B85" s="92" t="s">
        <v>87</v>
      </c>
      <c r="C85" s="93">
        <v>10</v>
      </c>
      <c r="D85" s="92" t="s">
        <v>88</v>
      </c>
      <c r="E85" s="176">
        <v>0.34</v>
      </c>
      <c r="F85" s="177">
        <v>0.48</v>
      </c>
      <c r="G85" s="178">
        <v>0.62</v>
      </c>
      <c r="H85" s="108"/>
      <c r="I85" s="108"/>
      <c r="J85" s="108"/>
      <c r="K85" s="108"/>
      <c r="L85" s="108"/>
      <c r="M85" s="108"/>
      <c r="N85" s="108"/>
    </row>
    <row r="86" spans="1:14" x14ac:dyDescent="0.25">
      <c r="A86" s="92" t="s">
        <v>30</v>
      </c>
      <c r="B86" s="92" t="s">
        <v>87</v>
      </c>
      <c r="C86" s="93">
        <v>15</v>
      </c>
      <c r="D86" s="92" t="s">
        <v>94</v>
      </c>
      <c r="E86" s="176">
        <v>0.15</v>
      </c>
      <c r="F86" s="177">
        <v>0.25</v>
      </c>
      <c r="G86" s="178">
        <v>0.35</v>
      </c>
      <c r="H86" s="108"/>
      <c r="I86" s="108"/>
      <c r="J86" s="108"/>
      <c r="K86" s="108"/>
      <c r="L86" s="108"/>
      <c r="M86" s="108"/>
      <c r="N86" s="108"/>
    </row>
    <row r="87" spans="1:14" x14ac:dyDescent="0.25">
      <c r="A87" s="92" t="s">
        <v>31</v>
      </c>
      <c r="B87" s="92" t="s">
        <v>87</v>
      </c>
      <c r="C87" s="93">
        <v>50</v>
      </c>
      <c r="D87" s="92" t="s">
        <v>94</v>
      </c>
      <c r="E87" s="176">
        <v>0.11</v>
      </c>
      <c r="F87" s="177">
        <v>0.2</v>
      </c>
      <c r="G87" s="178">
        <v>0.22</v>
      </c>
      <c r="H87" s="108"/>
      <c r="I87" s="108"/>
      <c r="J87" s="108"/>
      <c r="K87" s="108"/>
      <c r="L87" s="108"/>
      <c r="M87" s="108"/>
      <c r="N87" s="108"/>
    </row>
    <row r="88" spans="1:14" x14ac:dyDescent="0.25">
      <c r="A88" s="92" t="s">
        <v>33</v>
      </c>
      <c r="B88" s="92" t="s">
        <v>87</v>
      </c>
      <c r="C88" s="93">
        <v>100</v>
      </c>
      <c r="D88" s="92" t="s">
        <v>94</v>
      </c>
      <c r="E88" s="176">
        <v>0.23</v>
      </c>
      <c r="F88" s="177">
        <v>0.21</v>
      </c>
      <c r="G88" s="178">
        <v>0.27</v>
      </c>
      <c r="H88" s="108"/>
      <c r="I88" s="108"/>
      <c r="J88" s="108"/>
      <c r="K88" s="108"/>
      <c r="L88" s="108"/>
      <c r="M88" s="108"/>
      <c r="N88" s="108"/>
    </row>
    <row r="89" spans="1:14" x14ac:dyDescent="0.25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</row>
    <row r="90" spans="1:14" x14ac:dyDescent="0.25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</row>
    <row r="91" spans="1:14" x14ac:dyDescent="0.25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</row>
    <row r="92" spans="1:14" x14ac:dyDescent="0.25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</row>
    <row r="93" spans="1:14" x14ac:dyDescent="0.25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</row>
    <row r="94" spans="1:14" x14ac:dyDescent="0.25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</row>
    <row r="95" spans="1:14" x14ac:dyDescent="0.25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</row>
    <row r="96" spans="1:14" x14ac:dyDescent="0.25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</row>
    <row r="97" spans="1:14" x14ac:dyDescent="0.25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B119"/>
  <sheetViews>
    <sheetView topLeftCell="K1" workbookViewId="0">
      <selection activeCell="X18" sqref="X18"/>
    </sheetView>
  </sheetViews>
  <sheetFormatPr defaultRowHeight="15" x14ac:dyDescent="0.25"/>
  <cols>
    <col min="1" max="1" width="12" style="160" customWidth="1"/>
    <col min="2" max="3" width="10" customWidth="1"/>
    <col min="4" max="4" width="12" customWidth="1"/>
    <col min="5" max="5" width="18" customWidth="1"/>
    <col min="6" max="6" width="9.5703125" customWidth="1"/>
    <col min="7" max="15" width="7" customWidth="1"/>
    <col min="16" max="16" width="10" customWidth="1"/>
    <col min="20" max="22" width="12" customWidth="1"/>
    <col min="23" max="23" width="6" customWidth="1"/>
    <col min="24" max="24" width="12" customWidth="1"/>
    <col min="25" max="35" width="6" customWidth="1"/>
    <col min="38" max="40" width="12" customWidth="1"/>
    <col min="41" max="53" width="6" customWidth="1"/>
  </cols>
  <sheetData>
    <row r="1" spans="1:54" ht="18.75" customHeight="1" x14ac:dyDescent="0.3">
      <c r="A1" s="150" t="s">
        <v>226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83" t="s">
        <v>227</v>
      </c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L1" s="198" t="s">
        <v>228</v>
      </c>
      <c r="AM1" s="199"/>
      <c r="AN1" s="199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</row>
    <row r="2" spans="1:54" x14ac:dyDescent="0.25">
      <c r="A2" s="151" t="s">
        <v>229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84" t="s">
        <v>230</v>
      </c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L2" s="199" t="s">
        <v>231</v>
      </c>
      <c r="AM2" s="199"/>
      <c r="AN2" s="199"/>
      <c r="AO2" s="199"/>
      <c r="AP2" s="199"/>
      <c r="AQ2" s="199"/>
      <c r="AR2" s="199"/>
      <c r="AS2" s="199"/>
      <c r="AT2" s="199"/>
      <c r="AU2" s="199"/>
      <c r="AV2" s="199"/>
      <c r="AW2" s="199"/>
      <c r="AX2" s="199"/>
      <c r="AY2" s="199"/>
      <c r="AZ2" s="199"/>
      <c r="BA2" s="199"/>
      <c r="BB2" s="199"/>
    </row>
    <row r="3" spans="1:54" x14ac:dyDescent="0.25">
      <c r="A3" s="152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84"/>
      <c r="U3" s="184"/>
      <c r="V3" s="184"/>
      <c r="W3" s="184"/>
      <c r="X3" s="184"/>
      <c r="Y3" s="184"/>
      <c r="Z3" s="184"/>
      <c r="AA3" s="184"/>
      <c r="AB3" s="184"/>
      <c r="AC3" s="184"/>
      <c r="AD3" s="184"/>
      <c r="AE3" s="184"/>
      <c r="AF3" s="184"/>
      <c r="AG3" s="184"/>
      <c r="AH3" s="184"/>
      <c r="AI3" s="184"/>
      <c r="AJ3" s="184"/>
      <c r="AL3" s="199"/>
      <c r="AM3" s="199"/>
      <c r="AN3" s="199"/>
      <c r="AO3" s="199"/>
      <c r="AP3" s="199"/>
      <c r="AQ3" s="199"/>
      <c r="AR3" s="199"/>
      <c r="AS3" s="199"/>
      <c r="AT3" s="199"/>
      <c r="AU3" s="199"/>
      <c r="AV3" s="199"/>
      <c r="AW3" s="199"/>
      <c r="AX3" s="199"/>
      <c r="AY3" s="199"/>
      <c r="AZ3" s="199"/>
      <c r="BA3" s="199"/>
      <c r="BB3" s="199"/>
    </row>
    <row r="4" spans="1:54" ht="15.75" customHeight="1" x14ac:dyDescent="0.25">
      <c r="A4" s="153" t="s">
        <v>232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85" t="s">
        <v>232</v>
      </c>
      <c r="U4" s="184"/>
      <c r="V4" s="184"/>
      <c r="W4" s="184"/>
      <c r="X4" s="184"/>
      <c r="Y4" s="184"/>
      <c r="Z4" s="184"/>
      <c r="AA4" s="184"/>
      <c r="AB4" s="184"/>
      <c r="AC4" s="184"/>
      <c r="AD4" s="184"/>
      <c r="AE4" s="184"/>
      <c r="AF4" s="184"/>
      <c r="AG4" s="184"/>
      <c r="AH4" s="184"/>
      <c r="AI4" s="184"/>
      <c r="AJ4" s="184"/>
      <c r="AL4" s="200" t="s">
        <v>232</v>
      </c>
      <c r="AM4" s="199"/>
      <c r="AN4" s="199"/>
      <c r="AO4" s="199"/>
      <c r="AP4" s="199"/>
      <c r="AQ4" s="199"/>
      <c r="AR4" s="199"/>
      <c r="AS4" s="199"/>
      <c r="AT4" s="199"/>
      <c r="AU4" s="199"/>
      <c r="AV4" s="199"/>
      <c r="AW4" s="199"/>
      <c r="AX4" s="199"/>
      <c r="AY4" s="199"/>
      <c r="AZ4" s="199"/>
      <c r="BA4" s="199"/>
      <c r="BB4" s="199"/>
    </row>
    <row r="5" spans="1:54" x14ac:dyDescent="0.25">
      <c r="A5" s="154" t="s">
        <v>211</v>
      </c>
      <c r="B5" s="139" t="s">
        <v>149</v>
      </c>
      <c r="C5" s="139" t="s">
        <v>150</v>
      </c>
      <c r="D5" s="139" t="s">
        <v>151</v>
      </c>
      <c r="E5" s="139" t="s">
        <v>152</v>
      </c>
      <c r="F5" s="139" t="s">
        <v>153</v>
      </c>
      <c r="G5" s="139" t="s">
        <v>154</v>
      </c>
      <c r="H5" s="139" t="s">
        <v>155</v>
      </c>
      <c r="I5" s="139" t="s">
        <v>156</v>
      </c>
      <c r="J5" s="139" t="s">
        <v>157</v>
      </c>
      <c r="K5" s="139" t="s">
        <v>158</v>
      </c>
      <c r="L5" s="139" t="s">
        <v>159</v>
      </c>
      <c r="M5" s="139" t="s">
        <v>160</v>
      </c>
      <c r="N5" s="136"/>
      <c r="O5" s="136"/>
      <c r="P5" s="136"/>
      <c r="Q5" s="136"/>
      <c r="R5" s="136"/>
      <c r="S5" s="136"/>
      <c r="T5" s="186" t="s">
        <v>211</v>
      </c>
      <c r="U5" s="186" t="s">
        <v>149</v>
      </c>
      <c r="V5" s="186" t="s">
        <v>150</v>
      </c>
      <c r="W5" s="186" t="s">
        <v>151</v>
      </c>
      <c r="X5" s="186" t="s">
        <v>152</v>
      </c>
      <c r="Y5" s="186" t="s">
        <v>153</v>
      </c>
      <c r="Z5" s="186" t="s">
        <v>154</v>
      </c>
      <c r="AA5" s="186" t="s">
        <v>155</v>
      </c>
      <c r="AB5" s="186" t="s">
        <v>156</v>
      </c>
      <c r="AC5" s="186" t="s">
        <v>157</v>
      </c>
      <c r="AD5" s="186" t="s">
        <v>158</v>
      </c>
      <c r="AE5" s="186" t="s">
        <v>159</v>
      </c>
      <c r="AF5" s="186" t="s">
        <v>160</v>
      </c>
      <c r="AG5" s="184"/>
      <c r="AH5" s="184"/>
      <c r="AI5" s="184"/>
      <c r="AJ5" s="184"/>
      <c r="AL5" s="201" t="s">
        <v>211</v>
      </c>
      <c r="AM5" s="201" t="s">
        <v>149</v>
      </c>
      <c r="AN5" s="201" t="s">
        <v>150</v>
      </c>
      <c r="AO5" s="201" t="s">
        <v>151</v>
      </c>
      <c r="AP5" s="201" t="s">
        <v>152</v>
      </c>
      <c r="AQ5" s="201" t="s">
        <v>153</v>
      </c>
      <c r="AR5" s="201" t="s">
        <v>154</v>
      </c>
      <c r="AS5" s="201" t="s">
        <v>155</v>
      </c>
      <c r="AT5" s="201" t="s">
        <v>156</v>
      </c>
      <c r="AU5" s="201" t="s">
        <v>157</v>
      </c>
      <c r="AV5" s="201" t="s">
        <v>158</v>
      </c>
      <c r="AW5" s="201" t="s">
        <v>159</v>
      </c>
      <c r="AX5" s="201" t="s">
        <v>160</v>
      </c>
      <c r="AY5" s="199"/>
      <c r="AZ5" s="199"/>
      <c r="BA5" s="199"/>
      <c r="BB5" s="199"/>
    </row>
    <row r="6" spans="1:54" x14ac:dyDescent="0.25">
      <c r="A6" s="155" t="s">
        <v>26</v>
      </c>
      <c r="B6" s="141">
        <v>0.93749999999999956</v>
      </c>
      <c r="C6" s="141">
        <v>0.75000000000000022</v>
      </c>
      <c r="D6" s="141">
        <v>0.60000000000000009</v>
      </c>
      <c r="E6" s="141">
        <v>0.5</v>
      </c>
      <c r="F6" s="141">
        <v>0.4</v>
      </c>
      <c r="G6" s="141">
        <v>0.4</v>
      </c>
      <c r="H6" s="141">
        <v>0.4</v>
      </c>
      <c r="I6" s="141">
        <v>0.4</v>
      </c>
      <c r="J6" s="141">
        <v>0.4</v>
      </c>
      <c r="K6" s="141">
        <v>0.3</v>
      </c>
      <c r="L6" s="141">
        <v>0.3</v>
      </c>
      <c r="M6" s="141">
        <v>0.3</v>
      </c>
      <c r="N6" s="136"/>
      <c r="O6" s="136"/>
      <c r="P6" s="136"/>
      <c r="Q6" s="136"/>
      <c r="R6" s="136"/>
      <c r="S6" s="136"/>
      <c r="T6" s="187" t="s">
        <v>26</v>
      </c>
      <c r="U6" s="188">
        <v>0.96499999999999941</v>
      </c>
      <c r="V6" s="188">
        <v>0.88863636363636322</v>
      </c>
      <c r="W6" s="188">
        <v>0.82499999999999973</v>
      </c>
      <c r="X6" s="188">
        <v>0.75499999999999978</v>
      </c>
      <c r="Y6" s="188">
        <v>0.61499999999999988</v>
      </c>
      <c r="Z6" s="188">
        <v>0.54499999999999993</v>
      </c>
      <c r="AA6" s="188">
        <v>0.54499999999999993</v>
      </c>
      <c r="AB6" s="188">
        <v>0.47499999999999998</v>
      </c>
      <c r="AC6" s="188">
        <v>0.47499999999999998</v>
      </c>
      <c r="AD6" s="188">
        <v>0.47499999999999998</v>
      </c>
      <c r="AE6" s="188">
        <v>0.47499999999999998</v>
      </c>
      <c r="AF6" s="188">
        <v>0.47499999999999998</v>
      </c>
      <c r="AG6" s="184"/>
      <c r="AH6" s="184"/>
      <c r="AI6" s="184"/>
      <c r="AJ6" s="184"/>
      <c r="AL6" s="202" t="s">
        <v>26</v>
      </c>
      <c r="AM6" s="203">
        <v>0.81799999999999995</v>
      </c>
      <c r="AN6" s="203">
        <v>0.67499999999999982</v>
      </c>
      <c r="AO6" s="203">
        <v>0.45624999999999999</v>
      </c>
      <c r="AP6" s="203">
        <v>0.32500000000000001</v>
      </c>
      <c r="AQ6" s="203">
        <v>0.32500000000000001</v>
      </c>
      <c r="AR6" s="203">
        <v>0.32500000000000001</v>
      </c>
      <c r="AS6" s="203">
        <v>0.32500000000000001</v>
      </c>
      <c r="AT6" s="203">
        <v>0.32500000000000001</v>
      </c>
      <c r="AU6" s="203">
        <v>0.32500000000000001</v>
      </c>
      <c r="AV6" s="203">
        <v>0.24374999999999999</v>
      </c>
      <c r="AW6" s="203">
        <v>0.24374999999999999</v>
      </c>
      <c r="AX6" s="203">
        <v>0.24374999999999999</v>
      </c>
      <c r="AY6" s="199"/>
      <c r="AZ6" s="199"/>
      <c r="BA6" s="199"/>
      <c r="BB6" s="199"/>
    </row>
    <row r="7" spans="1:54" x14ac:dyDescent="0.25">
      <c r="A7" s="155" t="s">
        <v>30</v>
      </c>
      <c r="B7" s="141">
        <v>5.7450495049504932E-2</v>
      </c>
      <c r="C7" s="141">
        <v>0.2399999999999998</v>
      </c>
      <c r="D7" s="141">
        <v>0.37580645161290321</v>
      </c>
      <c r="E7" s="141">
        <v>0.46032258064516129</v>
      </c>
      <c r="F7" s="141">
        <v>0.53749999999999998</v>
      </c>
      <c r="G7" s="141">
        <v>0.47500000000000009</v>
      </c>
      <c r="H7" s="141">
        <v>0.43750000000000011</v>
      </c>
      <c r="I7" s="141">
        <v>0.4</v>
      </c>
      <c r="J7" s="141">
        <v>0.375</v>
      </c>
      <c r="K7" s="141">
        <v>0.45</v>
      </c>
      <c r="L7" s="141">
        <v>0.45</v>
      </c>
      <c r="M7" s="141">
        <v>0.45</v>
      </c>
      <c r="N7" s="136"/>
      <c r="O7" s="136"/>
      <c r="P7" s="136"/>
      <c r="Q7" s="136"/>
      <c r="R7" s="136"/>
      <c r="S7" s="136"/>
      <c r="T7" s="189" t="s">
        <v>30</v>
      </c>
      <c r="U7" s="188">
        <v>3.1465346534653493E-2</v>
      </c>
      <c r="V7" s="188">
        <v>0.1043636363636362</v>
      </c>
      <c r="W7" s="188">
        <v>0.15806451612903219</v>
      </c>
      <c r="X7" s="188">
        <v>0.21722580645161291</v>
      </c>
      <c r="Y7" s="188">
        <v>0.35000000000000009</v>
      </c>
      <c r="Z7" s="188">
        <v>0.42000000000000032</v>
      </c>
      <c r="AA7" s="188">
        <v>0.42000000000000032</v>
      </c>
      <c r="AB7" s="188">
        <v>0.46454545454545482</v>
      </c>
      <c r="AC7" s="188">
        <v>0.43909090909090931</v>
      </c>
      <c r="AD7" s="188">
        <v>0.41363636363636369</v>
      </c>
      <c r="AE7" s="188">
        <v>0.40090909090909099</v>
      </c>
      <c r="AF7" s="188">
        <v>0.37545454545454549</v>
      </c>
      <c r="AG7" s="184"/>
      <c r="AH7" s="184"/>
      <c r="AI7" s="184"/>
      <c r="AJ7" s="184"/>
      <c r="AL7" s="204" t="s">
        <v>30</v>
      </c>
      <c r="AM7" s="203">
        <v>0.1754356435643562</v>
      </c>
      <c r="AN7" s="203">
        <v>0.31200000000000072</v>
      </c>
      <c r="AO7" s="203">
        <v>0.51229838709677433</v>
      </c>
      <c r="AP7" s="203">
        <v>0.59741935483870956</v>
      </c>
      <c r="AQ7" s="203">
        <v>0.49300000000000022</v>
      </c>
      <c r="AR7" s="203">
        <v>0.4280000000000001</v>
      </c>
      <c r="AS7" s="203">
        <v>0.37600000000000011</v>
      </c>
      <c r="AT7" s="203">
        <v>0.35</v>
      </c>
      <c r="AU7" s="203">
        <v>0.35</v>
      </c>
      <c r="AV7" s="203">
        <v>0.43125000000000008</v>
      </c>
      <c r="AW7" s="203">
        <v>0.34375000000000011</v>
      </c>
      <c r="AX7" s="203">
        <v>0.3</v>
      </c>
      <c r="AY7" s="199"/>
      <c r="AZ7" s="199"/>
      <c r="BA7" s="199"/>
      <c r="BB7" s="199"/>
    </row>
    <row r="8" spans="1:54" x14ac:dyDescent="0.25">
      <c r="A8" s="155" t="s">
        <v>31</v>
      </c>
      <c r="B8" s="141">
        <v>5.0495049504950531E-3</v>
      </c>
      <c r="C8" s="141">
        <v>4.950495049504954E-3</v>
      </c>
      <c r="D8" s="141">
        <v>1.419354838709677E-2</v>
      </c>
      <c r="E8" s="141">
        <v>2.96774193548387E-2</v>
      </c>
      <c r="F8" s="141">
        <v>5.1209677419354817E-2</v>
      </c>
      <c r="G8" s="141">
        <v>0.1008064516129033</v>
      </c>
      <c r="H8" s="141">
        <v>0.1292741935483871</v>
      </c>
      <c r="I8" s="141">
        <v>0.16032258064516119</v>
      </c>
      <c r="J8" s="141">
        <v>0.1801612903225806</v>
      </c>
      <c r="K8" s="141">
        <v>0.1875</v>
      </c>
      <c r="L8" s="141">
        <v>0.16250000000000001</v>
      </c>
      <c r="M8" s="141">
        <v>0.125</v>
      </c>
      <c r="N8" s="136"/>
      <c r="O8" s="136"/>
      <c r="P8" s="136"/>
      <c r="Q8" s="136"/>
      <c r="R8" s="136"/>
      <c r="S8" s="136"/>
      <c r="T8" s="190" t="s">
        <v>31</v>
      </c>
      <c r="U8" s="188">
        <v>3.5346534653465361E-3</v>
      </c>
      <c r="V8" s="188">
        <v>3.4653465346534671E-3</v>
      </c>
      <c r="W8" s="188">
        <v>9.9354838709677408E-3</v>
      </c>
      <c r="X8" s="188">
        <v>2.0774193548387099E-2</v>
      </c>
      <c r="Y8" s="188">
        <v>2.70967741935484E-2</v>
      </c>
      <c r="Z8" s="188">
        <v>1.806451612903226E-2</v>
      </c>
      <c r="AA8" s="188">
        <v>1.174193548387097E-2</v>
      </c>
      <c r="AB8" s="188">
        <v>3.2680351906158367E-2</v>
      </c>
      <c r="AC8" s="188">
        <v>5.4521994134897368E-2</v>
      </c>
      <c r="AD8" s="188">
        <v>7.636363636363637E-2</v>
      </c>
      <c r="AE8" s="188">
        <v>8.9090909090909096E-2</v>
      </c>
      <c r="AF8" s="188">
        <v>0.11454545454545451</v>
      </c>
      <c r="AG8" s="184"/>
      <c r="AH8" s="184"/>
      <c r="AI8" s="184"/>
      <c r="AJ8" s="184"/>
      <c r="AL8" s="205" t="s">
        <v>31</v>
      </c>
      <c r="AM8" s="203">
        <v>6.5643564356435693E-3</v>
      </c>
      <c r="AN8" s="203">
        <v>6.4356435643564396E-3</v>
      </c>
      <c r="AO8" s="203">
        <v>1.8451612903225809E-2</v>
      </c>
      <c r="AP8" s="203">
        <v>6.4580645161290279E-2</v>
      </c>
      <c r="AQ8" s="203">
        <v>0.16732258064516101</v>
      </c>
      <c r="AR8" s="203">
        <v>0.21554838709677401</v>
      </c>
      <c r="AS8" s="203">
        <v>0.25580645161290327</v>
      </c>
      <c r="AT8" s="203">
        <v>0.24741935483870969</v>
      </c>
      <c r="AU8" s="203">
        <v>0.18870967741935479</v>
      </c>
      <c r="AV8" s="203">
        <v>0.14299999999999999</v>
      </c>
      <c r="AW8" s="203">
        <v>0.19150000000000009</v>
      </c>
      <c r="AX8" s="203">
        <v>0.20924999999999999</v>
      </c>
      <c r="AY8" s="199"/>
      <c r="AZ8" s="199"/>
      <c r="BA8" s="199"/>
      <c r="BB8" s="199"/>
    </row>
    <row r="9" spans="1:54" x14ac:dyDescent="0.25">
      <c r="A9" s="155" t="s">
        <v>33</v>
      </c>
      <c r="B9" s="141">
        <v>0</v>
      </c>
      <c r="C9" s="141">
        <v>5.0495049504950531E-3</v>
      </c>
      <c r="D9" s="141">
        <v>1.0000000000000011E-2</v>
      </c>
      <c r="E9" s="141">
        <v>1.0000000000000011E-2</v>
      </c>
      <c r="F9" s="141">
        <v>1.1290322580645169E-2</v>
      </c>
      <c r="G9" s="141">
        <v>2.419354838709678E-2</v>
      </c>
      <c r="H9" s="141">
        <v>3.3225806451612903E-2</v>
      </c>
      <c r="I9" s="141">
        <v>3.9677419354838712E-2</v>
      </c>
      <c r="J9" s="141">
        <v>4.4838709677419347E-2</v>
      </c>
      <c r="K9" s="141">
        <v>6.2499999999999993E-2</v>
      </c>
      <c r="L9" s="141">
        <v>8.7500000000000064E-2</v>
      </c>
      <c r="M9" s="141">
        <v>0.12500000000000019</v>
      </c>
      <c r="N9" s="136"/>
      <c r="O9" s="136"/>
      <c r="P9" s="136"/>
      <c r="Q9" s="136"/>
      <c r="R9" s="136"/>
      <c r="S9" s="136"/>
      <c r="T9" s="191" t="s">
        <v>33</v>
      </c>
      <c r="U9" s="188">
        <v>0</v>
      </c>
      <c r="V9" s="188">
        <v>3.5346534653465361E-3</v>
      </c>
      <c r="W9" s="188">
        <v>7.0000000000000036E-3</v>
      </c>
      <c r="X9" s="188">
        <v>7.0000000000000036E-3</v>
      </c>
      <c r="Y9" s="188">
        <v>7.9032258064516189E-3</v>
      </c>
      <c r="Z9" s="188">
        <v>1.693548387096775E-2</v>
      </c>
      <c r="AA9" s="188">
        <v>2.3258064516129041E-2</v>
      </c>
      <c r="AB9" s="188">
        <v>2.7774193548387109E-2</v>
      </c>
      <c r="AC9" s="188">
        <v>3.1387096774193567E-2</v>
      </c>
      <c r="AD9" s="188">
        <v>3.5000000000000017E-2</v>
      </c>
      <c r="AE9" s="188">
        <v>3.5000000000000017E-2</v>
      </c>
      <c r="AF9" s="188">
        <v>3.5000000000000017E-2</v>
      </c>
      <c r="AG9" s="184"/>
      <c r="AH9" s="184"/>
      <c r="AI9" s="184"/>
      <c r="AJ9" s="184"/>
      <c r="AL9" s="206" t="s">
        <v>33</v>
      </c>
      <c r="AM9" s="203">
        <v>0</v>
      </c>
      <c r="AN9" s="203">
        <v>6.5643564356435693E-3</v>
      </c>
      <c r="AO9" s="203">
        <v>1.300000000000001E-2</v>
      </c>
      <c r="AP9" s="203">
        <v>1.300000000000001E-2</v>
      </c>
      <c r="AQ9" s="203">
        <v>1.467741935483872E-2</v>
      </c>
      <c r="AR9" s="203">
        <v>3.1451612903225817E-2</v>
      </c>
      <c r="AS9" s="203">
        <v>4.3193548387096783E-2</v>
      </c>
      <c r="AT9" s="203">
        <v>7.758064516129029E-2</v>
      </c>
      <c r="AU9" s="203">
        <v>0.1362903225806453</v>
      </c>
      <c r="AV9" s="203">
        <v>0.18199999999999969</v>
      </c>
      <c r="AW9" s="203">
        <v>0.2209999999999997</v>
      </c>
      <c r="AX9" s="203">
        <v>0.24699999999999969</v>
      </c>
      <c r="AY9" s="199"/>
      <c r="AZ9" s="199"/>
      <c r="BA9" s="199"/>
      <c r="BB9" s="199"/>
    </row>
    <row r="10" spans="1:54" x14ac:dyDescent="0.25">
      <c r="A10" s="155" t="s">
        <v>207</v>
      </c>
      <c r="B10" s="142">
        <f t="shared" ref="B10:M10" si="0">SUM(B6:B9)</f>
        <v>0.99999999999999956</v>
      </c>
      <c r="C10" s="142">
        <f t="shared" si="0"/>
        <v>1</v>
      </c>
      <c r="D10" s="142">
        <f t="shared" si="0"/>
        <v>1</v>
      </c>
      <c r="E10" s="142">
        <f t="shared" si="0"/>
        <v>1</v>
      </c>
      <c r="F10" s="142">
        <f t="shared" si="0"/>
        <v>1</v>
      </c>
      <c r="G10" s="142">
        <f t="shared" si="0"/>
        <v>1.0000000000000002</v>
      </c>
      <c r="H10" s="142">
        <f t="shared" si="0"/>
        <v>1.0000000000000002</v>
      </c>
      <c r="I10" s="142">
        <f t="shared" si="0"/>
        <v>0.99999999999999989</v>
      </c>
      <c r="J10" s="142">
        <f t="shared" si="0"/>
        <v>0.99999999999999989</v>
      </c>
      <c r="K10" s="142">
        <f t="shared" si="0"/>
        <v>1</v>
      </c>
      <c r="L10" s="142">
        <f t="shared" si="0"/>
        <v>1</v>
      </c>
      <c r="M10" s="142">
        <f t="shared" si="0"/>
        <v>1.0000000000000002</v>
      </c>
      <c r="N10" s="136"/>
      <c r="O10" s="136"/>
      <c r="P10" s="136"/>
      <c r="Q10" s="136"/>
      <c r="R10" s="136"/>
      <c r="S10" s="136"/>
      <c r="T10" s="192" t="s">
        <v>207</v>
      </c>
      <c r="U10" s="193">
        <f t="shared" ref="U10:AF10" si="1">SUM(U6:U9)</f>
        <v>0.99999999999999944</v>
      </c>
      <c r="V10" s="193">
        <f t="shared" si="1"/>
        <v>0.99999999999999944</v>
      </c>
      <c r="W10" s="193">
        <f t="shared" si="1"/>
        <v>0.99999999999999967</v>
      </c>
      <c r="X10" s="193">
        <f t="shared" si="1"/>
        <v>0.99999999999999978</v>
      </c>
      <c r="Y10" s="193">
        <f t="shared" si="1"/>
        <v>1</v>
      </c>
      <c r="Z10" s="193">
        <f t="shared" si="1"/>
        <v>1.0000000000000002</v>
      </c>
      <c r="AA10" s="193">
        <f t="shared" si="1"/>
        <v>1.0000000000000002</v>
      </c>
      <c r="AB10" s="193">
        <f t="shared" si="1"/>
        <v>1.0000000000000002</v>
      </c>
      <c r="AC10" s="193">
        <f t="shared" si="1"/>
        <v>1.0000000000000002</v>
      </c>
      <c r="AD10" s="193">
        <f t="shared" si="1"/>
        <v>1</v>
      </c>
      <c r="AE10" s="193">
        <f t="shared" si="1"/>
        <v>1</v>
      </c>
      <c r="AF10" s="193">
        <f t="shared" si="1"/>
        <v>1</v>
      </c>
      <c r="AG10" s="184"/>
      <c r="AH10" s="184"/>
      <c r="AI10" s="184"/>
      <c r="AJ10" s="184"/>
      <c r="AL10" s="207" t="s">
        <v>207</v>
      </c>
      <c r="AM10" s="208">
        <f t="shared" ref="AM10:AX10" si="2">SUM(AM6:AM9)</f>
        <v>0.99999999999999967</v>
      </c>
      <c r="AN10" s="208">
        <f t="shared" si="2"/>
        <v>1.0000000000000004</v>
      </c>
      <c r="AO10" s="208">
        <f t="shared" si="2"/>
        <v>1.0000000000000002</v>
      </c>
      <c r="AP10" s="208">
        <f t="shared" si="2"/>
        <v>0.99999999999999989</v>
      </c>
      <c r="AQ10" s="208">
        <f t="shared" si="2"/>
        <v>1</v>
      </c>
      <c r="AR10" s="208">
        <f t="shared" si="2"/>
        <v>1</v>
      </c>
      <c r="AS10" s="208">
        <f t="shared" si="2"/>
        <v>1.0000000000000002</v>
      </c>
      <c r="AT10" s="208">
        <f t="shared" si="2"/>
        <v>1</v>
      </c>
      <c r="AU10" s="208">
        <f t="shared" si="2"/>
        <v>1.0000000000000002</v>
      </c>
      <c r="AV10" s="208">
        <f t="shared" si="2"/>
        <v>0.99999999999999978</v>
      </c>
      <c r="AW10" s="208">
        <f t="shared" si="2"/>
        <v>1</v>
      </c>
      <c r="AX10" s="208">
        <f t="shared" si="2"/>
        <v>0.99999999999999956</v>
      </c>
      <c r="AY10" s="199"/>
      <c r="AZ10" s="199"/>
      <c r="BA10" s="199"/>
      <c r="BB10" s="199"/>
    </row>
    <row r="11" spans="1:54" x14ac:dyDescent="0.25">
      <c r="A11" s="152"/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  <c r="S11" s="136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4"/>
      <c r="AJ11" s="184"/>
      <c r="AL11" s="199"/>
      <c r="AM11" s="199"/>
      <c r="AN11" s="199"/>
      <c r="AO11" s="199"/>
      <c r="AP11" s="199"/>
      <c r="AQ11" s="199"/>
      <c r="AR11" s="199"/>
      <c r="AS11" s="199"/>
      <c r="AT11" s="199"/>
      <c r="AU11" s="199"/>
      <c r="AV11" s="199"/>
      <c r="AW11" s="199"/>
      <c r="AX11" s="199"/>
      <c r="AY11" s="199"/>
      <c r="AZ11" s="199"/>
      <c r="BA11" s="199"/>
      <c r="BB11" s="199"/>
    </row>
    <row r="12" spans="1:54" x14ac:dyDescent="0.25">
      <c r="A12" s="152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84"/>
      <c r="U12" s="184"/>
      <c r="V12" s="184"/>
      <c r="W12" s="184"/>
      <c r="X12" s="184"/>
      <c r="Y12" s="184"/>
      <c r="Z12" s="184"/>
      <c r="AA12" s="184"/>
      <c r="AB12" s="184"/>
      <c r="AC12" s="184"/>
      <c r="AD12" s="184"/>
      <c r="AE12" s="184"/>
      <c r="AF12" s="184"/>
      <c r="AG12" s="184"/>
      <c r="AH12" s="184"/>
      <c r="AI12" s="184"/>
      <c r="AJ12" s="184"/>
      <c r="AL12" s="199"/>
      <c r="AM12" s="199"/>
      <c r="AN12" s="199"/>
      <c r="AO12" s="199"/>
      <c r="AP12" s="199"/>
      <c r="AQ12" s="199"/>
      <c r="AR12" s="199"/>
      <c r="AS12" s="199"/>
      <c r="AT12" s="199"/>
      <c r="AU12" s="199"/>
      <c r="AV12" s="199"/>
      <c r="AW12" s="199"/>
      <c r="AX12" s="199"/>
      <c r="AY12" s="199"/>
      <c r="AZ12" s="199"/>
      <c r="BA12" s="199"/>
      <c r="BB12" s="199"/>
    </row>
    <row r="13" spans="1:54" ht="15.75" customHeight="1" x14ac:dyDescent="0.25">
      <c r="A13" s="153" t="s">
        <v>233</v>
      </c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85" t="s">
        <v>233</v>
      </c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4"/>
      <c r="AG13" s="184"/>
      <c r="AH13" s="184"/>
      <c r="AI13" s="184"/>
      <c r="AJ13" s="184"/>
      <c r="AL13" s="200" t="s">
        <v>233</v>
      </c>
      <c r="AM13" s="199"/>
      <c r="AN13" s="199"/>
      <c r="AO13" s="199"/>
      <c r="AP13" s="199"/>
      <c r="AQ13" s="199"/>
      <c r="AR13" s="199"/>
      <c r="AS13" s="199"/>
      <c r="AT13" s="199"/>
      <c r="AU13" s="199"/>
      <c r="AV13" s="199"/>
      <c r="AW13" s="199"/>
      <c r="AX13" s="199"/>
      <c r="AY13" s="199"/>
      <c r="AZ13" s="199"/>
      <c r="BA13" s="199"/>
      <c r="BB13" s="199"/>
    </row>
    <row r="14" spans="1:54" x14ac:dyDescent="0.25">
      <c r="A14" s="154" t="s">
        <v>211</v>
      </c>
      <c r="B14" s="139" t="s">
        <v>234</v>
      </c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86" t="s">
        <v>211</v>
      </c>
      <c r="U14" s="186" t="s">
        <v>234</v>
      </c>
      <c r="V14" s="184"/>
      <c r="W14" s="184"/>
      <c r="X14" s="184"/>
      <c r="Y14" s="184"/>
      <c r="Z14" s="184"/>
      <c r="AA14" s="184"/>
      <c r="AB14" s="184"/>
      <c r="AC14" s="184"/>
      <c r="AD14" s="184"/>
      <c r="AE14" s="184"/>
      <c r="AF14" s="184"/>
      <c r="AG14" s="184"/>
      <c r="AH14" s="184"/>
      <c r="AI14" s="184"/>
      <c r="AJ14" s="184"/>
      <c r="AL14" s="201" t="s">
        <v>211</v>
      </c>
      <c r="AM14" s="201" t="s">
        <v>234</v>
      </c>
      <c r="AN14" s="199"/>
      <c r="AO14" s="199"/>
      <c r="AP14" s="199"/>
      <c r="AQ14" s="199"/>
      <c r="AR14" s="199"/>
      <c r="AS14" s="199"/>
      <c r="AT14" s="199"/>
      <c r="AU14" s="199"/>
      <c r="AV14" s="199"/>
      <c r="AW14" s="199"/>
      <c r="AX14" s="199"/>
      <c r="AY14" s="199"/>
      <c r="AZ14" s="199"/>
      <c r="BA14" s="199"/>
      <c r="BB14" s="199"/>
    </row>
    <row r="15" spans="1:54" x14ac:dyDescent="0.25">
      <c r="A15" s="155" t="s">
        <v>26</v>
      </c>
      <c r="B15" s="144">
        <v>0.5</v>
      </c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64" t="s">
        <v>235</v>
      </c>
      <c r="Q15" s="136"/>
      <c r="R15" s="136"/>
      <c r="S15" s="136"/>
      <c r="T15" s="187" t="s">
        <v>26</v>
      </c>
      <c r="U15" s="194">
        <v>0.5</v>
      </c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  <c r="AG15" s="184"/>
      <c r="AH15" s="184"/>
      <c r="AI15" s="184"/>
      <c r="AJ15" s="184"/>
      <c r="AL15" s="202" t="s">
        <v>26</v>
      </c>
      <c r="AM15" s="209">
        <v>0.5</v>
      </c>
      <c r="AN15" s="199"/>
      <c r="AO15" s="199"/>
      <c r="AP15" s="199"/>
      <c r="AQ15" s="199"/>
      <c r="AR15" s="199"/>
      <c r="AS15" s="199"/>
      <c r="AT15" s="199"/>
      <c r="AU15" s="199"/>
      <c r="AV15" s="199"/>
      <c r="AW15" s="199"/>
      <c r="AX15" s="199"/>
      <c r="AY15" s="199"/>
      <c r="AZ15" s="199"/>
      <c r="BA15" s="199"/>
      <c r="BB15" s="199"/>
    </row>
    <row r="16" spans="1:54" x14ac:dyDescent="0.25">
      <c r="A16" s="155" t="s">
        <v>30</v>
      </c>
      <c r="B16" s="144">
        <v>3.8</v>
      </c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89" t="s">
        <v>30</v>
      </c>
      <c r="U16" s="194">
        <v>3.3</v>
      </c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4"/>
      <c r="AG16" s="184"/>
      <c r="AH16" s="184"/>
      <c r="AI16" s="184"/>
      <c r="AJ16" s="184"/>
      <c r="AL16" s="204" t="s">
        <v>30</v>
      </c>
      <c r="AM16" s="209">
        <v>4</v>
      </c>
      <c r="AN16" s="199"/>
      <c r="AO16" s="199"/>
      <c r="AP16" s="199"/>
      <c r="AQ16" s="199"/>
      <c r="AR16" s="199"/>
      <c r="AS16" s="199"/>
      <c r="AT16" s="199"/>
      <c r="AU16" s="199"/>
      <c r="AV16" s="199"/>
      <c r="AW16" s="199"/>
      <c r="AX16" s="199"/>
      <c r="AY16" s="199"/>
      <c r="AZ16" s="199"/>
      <c r="BA16" s="199"/>
      <c r="BB16" s="199"/>
    </row>
    <row r="17" spans="1:54" x14ac:dyDescent="0.25">
      <c r="A17" s="155" t="s">
        <v>31</v>
      </c>
      <c r="B17" s="144">
        <v>9.8000000000000007</v>
      </c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90" t="s">
        <v>31</v>
      </c>
      <c r="U17" s="194">
        <v>8.1999999999999993</v>
      </c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4"/>
      <c r="AJ17" s="184"/>
      <c r="AL17" s="205" t="s">
        <v>31</v>
      </c>
      <c r="AM17" s="209">
        <v>8.4</v>
      </c>
      <c r="AN17" s="199"/>
      <c r="AO17" s="199"/>
      <c r="AP17" s="199"/>
      <c r="AQ17" s="199"/>
      <c r="AR17" s="199"/>
      <c r="AS17" s="199"/>
      <c r="AT17" s="199"/>
      <c r="AU17" s="199"/>
      <c r="AV17" s="199"/>
      <c r="AW17" s="199"/>
      <c r="AX17" s="199"/>
      <c r="AY17" s="199"/>
      <c r="AZ17" s="199"/>
      <c r="BA17" s="199"/>
      <c r="BB17" s="199"/>
    </row>
    <row r="18" spans="1:54" x14ac:dyDescent="0.25">
      <c r="A18" s="155" t="s">
        <v>33</v>
      </c>
      <c r="B18" s="144">
        <v>21.4</v>
      </c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91" t="s">
        <v>33</v>
      </c>
      <c r="U18" s="194">
        <v>33</v>
      </c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L18" s="206" t="s">
        <v>33</v>
      </c>
      <c r="AM18" s="209">
        <v>20.5</v>
      </c>
      <c r="AN18" s="199"/>
      <c r="AO18" s="199"/>
      <c r="AP18" s="199"/>
      <c r="AQ18" s="199"/>
      <c r="AR18" s="199"/>
      <c r="AS18" s="199"/>
      <c r="AT18" s="199"/>
      <c r="AU18" s="199"/>
      <c r="AV18" s="199"/>
      <c r="AW18" s="199"/>
      <c r="AX18" s="199"/>
      <c r="AY18" s="199"/>
      <c r="AZ18" s="199"/>
      <c r="BA18" s="199"/>
      <c r="BB18" s="199"/>
    </row>
    <row r="19" spans="1:54" x14ac:dyDescent="0.25">
      <c r="A19" s="152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4"/>
      <c r="AJ19" s="184"/>
      <c r="AL19" s="199"/>
      <c r="AM19" s="199"/>
      <c r="AN19" s="199"/>
      <c r="AO19" s="199"/>
      <c r="AP19" s="199"/>
      <c r="AQ19" s="199"/>
      <c r="AR19" s="199"/>
      <c r="AS19" s="199"/>
      <c r="AT19" s="199"/>
      <c r="AU19" s="199"/>
      <c r="AV19" s="199"/>
      <c r="AW19" s="199"/>
      <c r="AX19" s="199"/>
      <c r="AY19" s="199"/>
      <c r="AZ19" s="199"/>
      <c r="BA19" s="199"/>
      <c r="BB19" s="199"/>
    </row>
    <row r="20" spans="1:54" x14ac:dyDescent="0.25">
      <c r="A20" s="152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4"/>
      <c r="AG20" s="184"/>
      <c r="AH20" s="184"/>
      <c r="AI20" s="184"/>
      <c r="AJ20" s="184"/>
      <c r="AL20" s="199"/>
      <c r="AM20" s="199"/>
      <c r="AN20" s="199"/>
      <c r="AO20" s="199"/>
      <c r="AP20" s="199"/>
      <c r="AQ20" s="199"/>
      <c r="AR20" s="199"/>
      <c r="AS20" s="199"/>
      <c r="AT20" s="199"/>
      <c r="AU20" s="199"/>
      <c r="AV20" s="199"/>
      <c r="AW20" s="199"/>
      <c r="AX20" s="199"/>
      <c r="AY20" s="199"/>
      <c r="AZ20" s="199"/>
      <c r="BA20" s="199"/>
      <c r="BB20" s="199"/>
    </row>
    <row r="21" spans="1:54" ht="15.75" customHeight="1" x14ac:dyDescent="0.25">
      <c r="A21" s="153" t="s">
        <v>236</v>
      </c>
      <c r="B21" s="136"/>
      <c r="C21" s="136"/>
      <c r="D21" s="136"/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  <c r="T21" s="185" t="s">
        <v>236</v>
      </c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  <c r="AG21" s="184"/>
      <c r="AH21" s="184"/>
      <c r="AI21" s="184"/>
      <c r="AJ21" s="184"/>
      <c r="AL21" s="200" t="s">
        <v>236</v>
      </c>
      <c r="AM21" s="199"/>
      <c r="AN21" s="199"/>
      <c r="AO21" s="199"/>
      <c r="AP21" s="199"/>
      <c r="AQ21" s="199"/>
      <c r="AR21" s="199"/>
      <c r="AS21" s="199"/>
      <c r="AT21" s="199"/>
      <c r="AU21" s="199"/>
      <c r="AV21" s="199"/>
      <c r="AW21" s="199"/>
      <c r="AX21" s="199"/>
      <c r="AY21" s="199"/>
      <c r="AZ21" s="199"/>
      <c r="BA21" s="199"/>
      <c r="BB21" s="199"/>
    </row>
    <row r="22" spans="1:54" x14ac:dyDescent="0.25">
      <c r="A22" s="154" t="s">
        <v>198</v>
      </c>
      <c r="B22" s="139" t="s">
        <v>237</v>
      </c>
      <c r="C22" s="139" t="s">
        <v>238</v>
      </c>
      <c r="D22" s="139" t="s">
        <v>239</v>
      </c>
      <c r="E22" s="139" t="s">
        <v>240</v>
      </c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86" t="s">
        <v>198</v>
      </c>
      <c r="U22" s="186" t="s">
        <v>237</v>
      </c>
      <c r="V22" s="186" t="s">
        <v>238</v>
      </c>
      <c r="W22" s="186" t="s">
        <v>239</v>
      </c>
      <c r="X22" s="186" t="s">
        <v>240</v>
      </c>
      <c r="Y22" s="184"/>
      <c r="Z22" s="184"/>
      <c r="AA22" s="184"/>
      <c r="AB22" s="184"/>
      <c r="AC22" s="184"/>
      <c r="AD22" s="184"/>
      <c r="AE22" s="184"/>
      <c r="AF22" s="184"/>
      <c r="AG22" s="184"/>
      <c r="AH22" s="184"/>
      <c r="AI22" s="184"/>
      <c r="AJ22" s="184"/>
      <c r="AL22" s="201" t="s">
        <v>198</v>
      </c>
      <c r="AM22" s="201" t="s">
        <v>237</v>
      </c>
      <c r="AN22" s="201" t="s">
        <v>238</v>
      </c>
      <c r="AO22" s="201" t="s">
        <v>239</v>
      </c>
      <c r="AP22" s="201" t="s">
        <v>240</v>
      </c>
      <c r="AQ22" s="199"/>
      <c r="AR22" s="199"/>
      <c r="AS22" s="199"/>
      <c r="AT22" s="199"/>
      <c r="AU22" s="199"/>
      <c r="AV22" s="199"/>
      <c r="AW22" s="199"/>
      <c r="AX22" s="199"/>
      <c r="AY22" s="199"/>
      <c r="AZ22" s="199"/>
      <c r="BA22" s="199"/>
      <c r="BB22" s="199"/>
    </row>
    <row r="23" spans="1:54" x14ac:dyDescent="0.25">
      <c r="A23" s="155" t="s">
        <v>201</v>
      </c>
      <c r="B23" s="140" t="s">
        <v>241</v>
      </c>
      <c r="C23" s="140" t="s">
        <v>242</v>
      </c>
      <c r="D23" s="161">
        <v>4</v>
      </c>
      <c r="E23" s="143">
        <v>0.1</v>
      </c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95" t="s">
        <v>201</v>
      </c>
      <c r="U23" s="195" t="s">
        <v>241</v>
      </c>
      <c r="V23" s="195" t="s">
        <v>243</v>
      </c>
      <c r="W23" s="195">
        <v>3</v>
      </c>
      <c r="X23" s="188">
        <v>0.1583333333333333</v>
      </c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L23" s="210" t="s">
        <v>201</v>
      </c>
      <c r="AM23" s="210" t="s">
        <v>241</v>
      </c>
      <c r="AN23" s="210" t="s">
        <v>244</v>
      </c>
      <c r="AO23" s="210">
        <v>4</v>
      </c>
      <c r="AP23" s="203">
        <v>8.1250000000000003E-2</v>
      </c>
      <c r="AQ23" s="199"/>
      <c r="AR23" s="199"/>
      <c r="AS23" s="199"/>
      <c r="AT23" s="199"/>
      <c r="AU23" s="199"/>
      <c r="AV23" s="199"/>
      <c r="AW23" s="199"/>
      <c r="AX23" s="199"/>
      <c r="AY23" s="199"/>
      <c r="AZ23" s="199"/>
      <c r="BA23" s="199"/>
      <c r="BB23" s="199"/>
    </row>
    <row r="24" spans="1:54" x14ac:dyDescent="0.25">
      <c r="A24" s="155" t="s">
        <v>202</v>
      </c>
      <c r="B24" s="140" t="s">
        <v>245</v>
      </c>
      <c r="C24" s="140" t="s">
        <v>246</v>
      </c>
      <c r="D24" s="161">
        <v>7</v>
      </c>
      <c r="E24" s="143">
        <v>0.05</v>
      </c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95" t="s">
        <v>202</v>
      </c>
      <c r="U24" s="195" t="s">
        <v>245</v>
      </c>
      <c r="V24" s="195" t="s">
        <v>247</v>
      </c>
      <c r="W24" s="195">
        <v>5</v>
      </c>
      <c r="X24" s="188">
        <v>6.9999999999999993E-2</v>
      </c>
      <c r="Y24" s="184"/>
      <c r="Z24" s="184"/>
      <c r="AA24" s="184"/>
      <c r="AB24" s="184"/>
      <c r="AC24" s="184"/>
      <c r="AD24" s="184"/>
      <c r="AE24" s="184"/>
      <c r="AF24" s="184"/>
      <c r="AG24" s="184"/>
      <c r="AH24" s="184"/>
      <c r="AI24" s="184"/>
      <c r="AJ24" s="184"/>
      <c r="AL24" s="210" t="s">
        <v>202</v>
      </c>
      <c r="AM24" s="210" t="s">
        <v>245</v>
      </c>
      <c r="AN24" s="210" t="s">
        <v>248</v>
      </c>
      <c r="AO24" s="210">
        <v>8</v>
      </c>
      <c r="AP24" s="203">
        <v>4.3749999999999997E-2</v>
      </c>
      <c r="AQ24" s="199"/>
      <c r="AR24" s="199"/>
      <c r="AS24" s="199"/>
      <c r="AT24" s="199"/>
      <c r="AU24" s="199"/>
      <c r="AV24" s="199"/>
      <c r="AW24" s="199"/>
      <c r="AX24" s="199"/>
      <c r="AY24" s="199"/>
      <c r="AZ24" s="199"/>
      <c r="BA24" s="199"/>
      <c r="BB24" s="199"/>
    </row>
    <row r="25" spans="1:54" x14ac:dyDescent="0.25">
      <c r="A25" s="155" t="s">
        <v>203</v>
      </c>
      <c r="B25" s="140" t="s">
        <v>249</v>
      </c>
      <c r="C25" s="140" t="s">
        <v>250</v>
      </c>
      <c r="D25" s="161">
        <v>16</v>
      </c>
      <c r="E25" s="143">
        <v>1.2500000000000001E-2</v>
      </c>
      <c r="F25" s="137"/>
      <c r="G25" s="137"/>
      <c r="H25" s="137"/>
      <c r="I25" s="137"/>
      <c r="J25" s="137"/>
      <c r="K25" s="137"/>
      <c r="L25" s="137"/>
      <c r="M25" s="137"/>
      <c r="N25" s="136"/>
      <c r="O25" s="136"/>
      <c r="P25" s="136"/>
      <c r="Q25" s="136"/>
      <c r="R25" s="136"/>
      <c r="S25" s="136"/>
      <c r="T25" s="195" t="s">
        <v>203</v>
      </c>
      <c r="U25" s="195" t="s">
        <v>249</v>
      </c>
      <c r="V25" s="195" t="s">
        <v>251</v>
      </c>
      <c r="W25" s="195">
        <v>11</v>
      </c>
      <c r="X25" s="188">
        <v>1.2727272727272729E-2</v>
      </c>
      <c r="Y25" s="184"/>
      <c r="Z25" s="184"/>
      <c r="AA25" s="184"/>
      <c r="AB25" s="184"/>
      <c r="AC25" s="184"/>
      <c r="AD25" s="184"/>
      <c r="AE25" s="184"/>
      <c r="AF25" s="184"/>
      <c r="AG25" s="184"/>
      <c r="AH25" s="184"/>
      <c r="AI25" s="184"/>
      <c r="AJ25" s="184"/>
      <c r="AL25" s="210" t="s">
        <v>203</v>
      </c>
      <c r="AM25" s="210" t="s">
        <v>249</v>
      </c>
      <c r="AN25" s="210" t="s">
        <v>252</v>
      </c>
      <c r="AO25" s="210">
        <v>20</v>
      </c>
      <c r="AP25" s="203">
        <v>1.2999999999999999E-2</v>
      </c>
      <c r="AQ25" s="199"/>
      <c r="AR25" s="199"/>
      <c r="AS25" s="199"/>
      <c r="AT25" s="199"/>
      <c r="AU25" s="199"/>
      <c r="AV25" s="199"/>
      <c r="AW25" s="199"/>
      <c r="AX25" s="199"/>
      <c r="AY25" s="199"/>
      <c r="AZ25" s="199"/>
      <c r="BA25" s="199"/>
      <c r="BB25" s="199"/>
    </row>
    <row r="26" spans="1:54" x14ac:dyDescent="0.25">
      <c r="A26" s="155" t="s">
        <v>204</v>
      </c>
      <c r="B26" s="140" t="s">
        <v>253</v>
      </c>
      <c r="C26" s="140" t="s">
        <v>253</v>
      </c>
      <c r="D26" s="161">
        <v>31</v>
      </c>
      <c r="E26" s="143">
        <v>1.2903225806451611E-3</v>
      </c>
      <c r="F26" s="137"/>
      <c r="G26" s="137"/>
      <c r="H26" s="137"/>
      <c r="I26" s="137"/>
      <c r="J26" s="137"/>
      <c r="K26" s="137"/>
      <c r="L26" s="137"/>
      <c r="M26" s="137"/>
      <c r="N26" s="136"/>
      <c r="O26" s="136"/>
      <c r="P26" s="136"/>
      <c r="Q26" s="136"/>
      <c r="R26" s="136"/>
      <c r="S26" s="136"/>
      <c r="T26" s="195" t="s">
        <v>204</v>
      </c>
      <c r="U26" s="195" t="s">
        <v>253</v>
      </c>
      <c r="V26" s="195" t="s">
        <v>253</v>
      </c>
      <c r="W26" s="195">
        <v>31</v>
      </c>
      <c r="X26" s="196">
        <v>9.0322580645161297E-4</v>
      </c>
      <c r="Y26" s="184"/>
      <c r="Z26" s="184"/>
      <c r="AA26" s="184"/>
      <c r="AB26" s="184"/>
      <c r="AC26" s="184"/>
      <c r="AD26" s="184"/>
      <c r="AE26" s="184"/>
      <c r="AF26" s="184"/>
      <c r="AG26" s="184"/>
      <c r="AH26" s="184"/>
      <c r="AI26" s="184"/>
      <c r="AJ26" s="184"/>
      <c r="AL26" s="210" t="s">
        <v>204</v>
      </c>
      <c r="AM26" s="210" t="s">
        <v>253</v>
      </c>
      <c r="AN26" s="210" t="s">
        <v>253</v>
      </c>
      <c r="AO26" s="210">
        <v>31</v>
      </c>
      <c r="AP26" s="211">
        <v>1.6774193548387099E-3</v>
      </c>
      <c r="AQ26" s="199"/>
      <c r="AR26" s="199"/>
      <c r="AS26" s="199"/>
      <c r="AT26" s="199"/>
      <c r="AU26" s="199"/>
      <c r="AV26" s="199"/>
      <c r="AW26" s="199"/>
      <c r="AX26" s="199"/>
      <c r="AY26" s="199"/>
      <c r="AZ26" s="199"/>
      <c r="BA26" s="199"/>
      <c r="BB26" s="199"/>
    </row>
    <row r="27" spans="1:54" x14ac:dyDescent="0.25">
      <c r="A27" s="155" t="s">
        <v>205</v>
      </c>
      <c r="B27" s="140" t="s">
        <v>254</v>
      </c>
      <c r="C27" s="140" t="s">
        <v>254</v>
      </c>
      <c r="D27" s="161">
        <v>101</v>
      </c>
      <c r="E27" s="143">
        <v>9.9009900990099017E-5</v>
      </c>
      <c r="F27" s="137"/>
      <c r="G27" s="137"/>
      <c r="H27" s="137"/>
      <c r="I27" s="137"/>
      <c r="J27" s="137"/>
      <c r="K27" s="137"/>
      <c r="L27" s="137"/>
      <c r="M27" s="137"/>
      <c r="N27" s="136"/>
      <c r="O27" s="136"/>
      <c r="P27" s="136"/>
      <c r="Q27" s="136"/>
      <c r="R27" s="136"/>
      <c r="S27" s="136"/>
      <c r="T27" s="195" t="s">
        <v>205</v>
      </c>
      <c r="U27" s="195" t="s">
        <v>254</v>
      </c>
      <c r="V27" s="195" t="s">
        <v>254</v>
      </c>
      <c r="W27" s="195">
        <v>101</v>
      </c>
      <c r="X27" s="196">
        <v>6.9306930693069301E-5</v>
      </c>
      <c r="Y27" s="184"/>
      <c r="Z27" s="184"/>
      <c r="AA27" s="184"/>
      <c r="AB27" s="184"/>
      <c r="AC27" s="184"/>
      <c r="AD27" s="184"/>
      <c r="AE27" s="184"/>
      <c r="AF27" s="184"/>
      <c r="AG27" s="184"/>
      <c r="AH27" s="184"/>
      <c r="AI27" s="184"/>
      <c r="AJ27" s="184"/>
      <c r="AL27" s="210" t="s">
        <v>205</v>
      </c>
      <c r="AM27" s="210" t="s">
        <v>254</v>
      </c>
      <c r="AN27" s="210" t="s">
        <v>254</v>
      </c>
      <c r="AO27" s="210">
        <v>101</v>
      </c>
      <c r="AP27" s="211">
        <v>1.2871287128712869E-4</v>
      </c>
      <c r="AQ27" s="199"/>
      <c r="AR27" s="199"/>
      <c r="AS27" s="199"/>
      <c r="AT27" s="199"/>
      <c r="AU27" s="199"/>
      <c r="AV27" s="199"/>
      <c r="AW27" s="199"/>
      <c r="AX27" s="199"/>
      <c r="AY27" s="199"/>
      <c r="AZ27" s="199"/>
      <c r="BA27" s="199"/>
      <c r="BB27" s="199"/>
    </row>
    <row r="28" spans="1:54" x14ac:dyDescent="0.25">
      <c r="A28" s="152"/>
      <c r="B28" s="137"/>
      <c r="C28" s="137"/>
      <c r="D28" s="137"/>
      <c r="E28" s="137"/>
      <c r="F28" s="137"/>
      <c r="G28" s="137"/>
      <c r="H28" s="137"/>
      <c r="I28" s="137"/>
      <c r="J28" s="137"/>
      <c r="K28" s="137"/>
      <c r="L28" s="137"/>
      <c r="M28" s="137"/>
      <c r="N28" s="136"/>
      <c r="O28" s="136"/>
      <c r="P28" s="136"/>
      <c r="Q28" s="136"/>
      <c r="R28" s="136"/>
      <c r="S28" s="136"/>
      <c r="T28" s="184"/>
      <c r="U28" s="184"/>
      <c r="V28" s="184"/>
      <c r="W28" s="184"/>
      <c r="X28" s="184"/>
      <c r="Y28" s="184"/>
      <c r="Z28" s="184"/>
      <c r="AA28" s="184"/>
      <c r="AB28" s="184"/>
      <c r="AC28" s="184"/>
      <c r="AD28" s="184"/>
      <c r="AE28" s="184"/>
      <c r="AF28" s="184"/>
      <c r="AG28" s="184"/>
      <c r="AH28" s="184"/>
      <c r="AI28" s="184"/>
      <c r="AJ28" s="184"/>
      <c r="AL28" s="199"/>
      <c r="AM28" s="199"/>
      <c r="AN28" s="199"/>
      <c r="AO28" s="199"/>
      <c r="AP28" s="199"/>
      <c r="AQ28" s="199"/>
      <c r="AR28" s="199"/>
      <c r="AS28" s="199"/>
      <c r="AT28" s="199"/>
      <c r="AU28" s="199"/>
      <c r="AV28" s="199"/>
      <c r="AW28" s="199"/>
      <c r="AX28" s="199"/>
      <c r="AY28" s="199"/>
      <c r="AZ28" s="199"/>
      <c r="BA28" s="199"/>
      <c r="BB28" s="199"/>
    </row>
    <row r="29" spans="1:54" x14ac:dyDescent="0.25">
      <c r="A29" s="152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6"/>
      <c r="O29" s="136"/>
      <c r="P29" s="136"/>
      <c r="Q29" s="136"/>
      <c r="R29" s="136"/>
      <c r="S29" s="136"/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4"/>
      <c r="AG29" s="184"/>
      <c r="AH29" s="184"/>
      <c r="AI29" s="184"/>
      <c r="AJ29" s="184"/>
      <c r="AL29" s="199"/>
      <c r="AM29" s="199"/>
      <c r="AN29" s="199"/>
      <c r="AO29" s="199"/>
      <c r="AP29" s="199"/>
      <c r="AQ29" s="199"/>
      <c r="AR29" s="199"/>
      <c r="AS29" s="199"/>
      <c r="AT29" s="199"/>
      <c r="AU29" s="199"/>
      <c r="AV29" s="199"/>
      <c r="AW29" s="199"/>
      <c r="AX29" s="199"/>
      <c r="AY29" s="199"/>
      <c r="AZ29" s="199"/>
      <c r="BA29" s="199"/>
      <c r="BB29" s="199"/>
    </row>
    <row r="30" spans="1:54" x14ac:dyDescent="0.25">
      <c r="A30" s="153" t="s">
        <v>255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85" t="s">
        <v>255</v>
      </c>
      <c r="U30" s="184"/>
      <c r="V30" s="184"/>
      <c r="W30" s="184"/>
      <c r="X30" s="184"/>
      <c r="Y30" s="184"/>
      <c r="Z30" s="184"/>
      <c r="AA30" s="184"/>
      <c r="AB30" s="184"/>
      <c r="AC30" s="184"/>
      <c r="AD30" s="184"/>
      <c r="AE30" s="184"/>
      <c r="AF30" s="184"/>
      <c r="AG30" s="184"/>
      <c r="AH30" s="184"/>
      <c r="AI30" s="184"/>
      <c r="AJ30" s="184"/>
      <c r="AL30" s="200" t="s">
        <v>255</v>
      </c>
      <c r="AM30" s="199"/>
      <c r="AN30" s="199"/>
      <c r="AO30" s="199"/>
      <c r="AP30" s="199"/>
      <c r="AQ30" s="199"/>
      <c r="AR30" s="199"/>
      <c r="AS30" s="199"/>
      <c r="AT30" s="199"/>
      <c r="AU30" s="199"/>
      <c r="AV30" s="199"/>
      <c r="AW30" s="199"/>
      <c r="AX30" s="199"/>
      <c r="AY30" s="199"/>
      <c r="AZ30" s="199"/>
      <c r="BA30" s="199"/>
      <c r="BB30" s="199"/>
    </row>
    <row r="31" spans="1:54" x14ac:dyDescent="0.25">
      <c r="A31" s="151" t="s">
        <v>256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  <c r="R31" s="136"/>
      <c r="S31" s="136"/>
      <c r="T31" s="184" t="s">
        <v>256</v>
      </c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4"/>
      <c r="AG31" s="184"/>
      <c r="AH31" s="184"/>
      <c r="AI31" s="184"/>
      <c r="AJ31" s="184"/>
      <c r="AL31" s="199" t="s">
        <v>256</v>
      </c>
      <c r="AM31" s="199"/>
      <c r="AN31" s="199"/>
      <c r="AO31" s="199"/>
      <c r="AP31" s="199"/>
      <c r="AQ31" s="199"/>
      <c r="AR31" s="199"/>
      <c r="AS31" s="199"/>
      <c r="AT31" s="199"/>
      <c r="AU31" s="199"/>
      <c r="AV31" s="199"/>
      <c r="AW31" s="199"/>
      <c r="AX31" s="199"/>
      <c r="AY31" s="199"/>
      <c r="AZ31" s="199"/>
      <c r="BA31" s="199"/>
      <c r="BB31" s="199"/>
    </row>
    <row r="32" spans="1:54" ht="15.75" customHeight="1" x14ac:dyDescent="0.25">
      <c r="A32" s="152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84"/>
      <c r="U32" s="184"/>
      <c r="V32" s="184"/>
      <c r="W32" s="184"/>
      <c r="X32" s="184"/>
      <c r="Y32" s="184"/>
      <c r="Z32" s="184"/>
      <c r="AA32" s="184"/>
      <c r="AB32" s="184"/>
      <c r="AC32" s="184"/>
      <c r="AD32" s="184"/>
      <c r="AE32" s="184"/>
      <c r="AF32" s="184"/>
      <c r="AG32" s="184"/>
      <c r="AH32" s="184"/>
      <c r="AI32" s="184"/>
      <c r="AJ32" s="184"/>
      <c r="AL32" s="199"/>
      <c r="AM32" s="199"/>
      <c r="AN32" s="199"/>
      <c r="AO32" s="199"/>
      <c r="AP32" s="199"/>
      <c r="AQ32" s="199"/>
      <c r="AR32" s="199"/>
      <c r="AS32" s="199"/>
      <c r="AT32" s="199"/>
      <c r="AU32" s="199"/>
      <c r="AV32" s="199"/>
      <c r="AW32" s="199"/>
      <c r="AX32" s="199"/>
      <c r="AY32" s="199"/>
      <c r="AZ32" s="199"/>
      <c r="BA32" s="199"/>
      <c r="BB32" s="199"/>
    </row>
    <row r="33" spans="1:54" x14ac:dyDescent="0.25">
      <c r="A33" s="154" t="s">
        <v>198</v>
      </c>
      <c r="B33" s="139" t="s">
        <v>257</v>
      </c>
      <c r="C33" s="139" t="s">
        <v>28</v>
      </c>
      <c r="D33" s="139" t="s">
        <v>149</v>
      </c>
      <c r="E33" s="139" t="s">
        <v>150</v>
      </c>
      <c r="F33" s="139" t="s">
        <v>151</v>
      </c>
      <c r="G33" s="139" t="s">
        <v>152</v>
      </c>
      <c r="H33" s="139" t="s">
        <v>153</v>
      </c>
      <c r="I33" s="139" t="s">
        <v>154</v>
      </c>
      <c r="J33" s="139" t="s">
        <v>155</v>
      </c>
      <c r="K33" s="139" t="s">
        <v>156</v>
      </c>
      <c r="L33" s="139" t="s">
        <v>157</v>
      </c>
      <c r="M33" s="139" t="s">
        <v>158</v>
      </c>
      <c r="N33" s="139" t="s">
        <v>159</v>
      </c>
      <c r="O33" s="139" t="s">
        <v>160</v>
      </c>
      <c r="P33" s="139" t="s">
        <v>258</v>
      </c>
      <c r="Q33" s="136"/>
      <c r="R33" s="136"/>
      <c r="S33" s="136"/>
      <c r="T33" s="186" t="s">
        <v>198</v>
      </c>
      <c r="U33" s="186" t="s">
        <v>257</v>
      </c>
      <c r="V33" s="186" t="s">
        <v>28</v>
      </c>
      <c r="W33" s="186" t="s">
        <v>149</v>
      </c>
      <c r="X33" s="186" t="s">
        <v>150</v>
      </c>
      <c r="Y33" s="186" t="s">
        <v>151</v>
      </c>
      <c r="Z33" s="186" t="s">
        <v>152</v>
      </c>
      <c r="AA33" s="186" t="s">
        <v>153</v>
      </c>
      <c r="AB33" s="186" t="s">
        <v>154</v>
      </c>
      <c r="AC33" s="186" t="s">
        <v>155</v>
      </c>
      <c r="AD33" s="186" t="s">
        <v>156</v>
      </c>
      <c r="AE33" s="186" t="s">
        <v>157</v>
      </c>
      <c r="AF33" s="186" t="s">
        <v>158</v>
      </c>
      <c r="AG33" s="186" t="s">
        <v>159</v>
      </c>
      <c r="AH33" s="186" t="s">
        <v>160</v>
      </c>
      <c r="AI33" s="186" t="s">
        <v>258</v>
      </c>
      <c r="AJ33" s="184"/>
      <c r="AL33" s="201" t="s">
        <v>198</v>
      </c>
      <c r="AM33" s="201" t="s">
        <v>257</v>
      </c>
      <c r="AN33" s="201" t="s">
        <v>28</v>
      </c>
      <c r="AO33" s="201" t="s">
        <v>149</v>
      </c>
      <c r="AP33" s="201" t="s">
        <v>150</v>
      </c>
      <c r="AQ33" s="201" t="s">
        <v>151</v>
      </c>
      <c r="AR33" s="201" t="s">
        <v>152</v>
      </c>
      <c r="AS33" s="201" t="s">
        <v>153</v>
      </c>
      <c r="AT33" s="201" t="s">
        <v>154</v>
      </c>
      <c r="AU33" s="201" t="s">
        <v>155</v>
      </c>
      <c r="AV33" s="201" t="s">
        <v>156</v>
      </c>
      <c r="AW33" s="201" t="s">
        <v>157</v>
      </c>
      <c r="AX33" s="201" t="s">
        <v>158</v>
      </c>
      <c r="AY33" s="201" t="s">
        <v>159</v>
      </c>
      <c r="AZ33" s="201" t="s">
        <v>160</v>
      </c>
      <c r="BA33" s="201" t="s">
        <v>258</v>
      </c>
      <c r="BB33" s="199"/>
    </row>
    <row r="34" spans="1:54" x14ac:dyDescent="0.25">
      <c r="A34" s="155" t="s">
        <v>201</v>
      </c>
      <c r="B34" s="140">
        <v>0</v>
      </c>
      <c r="C34" s="143">
        <v>0.1</v>
      </c>
      <c r="D34" s="145" t="s">
        <v>259</v>
      </c>
      <c r="E34" s="145" t="s">
        <v>259</v>
      </c>
      <c r="F34" s="145" t="s">
        <v>259</v>
      </c>
      <c r="G34" s="145" t="s">
        <v>259</v>
      </c>
      <c r="H34" s="145" t="s">
        <v>259</v>
      </c>
      <c r="I34" s="145" t="s">
        <v>259</v>
      </c>
      <c r="J34" s="145" t="s">
        <v>259</v>
      </c>
      <c r="K34" s="145" t="s">
        <v>259</v>
      </c>
      <c r="L34" s="145" t="s">
        <v>259</v>
      </c>
      <c r="M34" s="145" t="s">
        <v>259</v>
      </c>
      <c r="N34" s="145" t="s">
        <v>259</v>
      </c>
      <c r="O34" s="145" t="s">
        <v>259</v>
      </c>
      <c r="P34" s="145" t="s">
        <v>26</v>
      </c>
      <c r="Q34" s="136"/>
      <c r="R34" s="136"/>
      <c r="S34" s="136"/>
      <c r="T34" s="195" t="s">
        <v>201</v>
      </c>
      <c r="U34" s="197">
        <v>0</v>
      </c>
      <c r="V34" s="188">
        <v>0.1583333333333333</v>
      </c>
      <c r="W34" s="187" t="s">
        <v>259</v>
      </c>
      <c r="X34" s="187" t="s">
        <v>259</v>
      </c>
      <c r="Y34" s="187" t="s">
        <v>259</v>
      </c>
      <c r="Z34" s="187" t="s">
        <v>259</v>
      </c>
      <c r="AA34" s="187" t="s">
        <v>259</v>
      </c>
      <c r="AB34" s="187" t="s">
        <v>259</v>
      </c>
      <c r="AC34" s="187" t="s">
        <v>259</v>
      </c>
      <c r="AD34" s="187" t="s">
        <v>259</v>
      </c>
      <c r="AE34" s="187" t="s">
        <v>259</v>
      </c>
      <c r="AF34" s="187" t="s">
        <v>259</v>
      </c>
      <c r="AG34" s="187" t="s">
        <v>259</v>
      </c>
      <c r="AH34" s="187" t="s">
        <v>259</v>
      </c>
      <c r="AI34" s="187" t="s">
        <v>26</v>
      </c>
      <c r="AJ34" s="184"/>
      <c r="AL34" s="210" t="s">
        <v>201</v>
      </c>
      <c r="AM34" s="212">
        <v>0</v>
      </c>
      <c r="AN34" s="203">
        <v>8.1250000000000003E-2</v>
      </c>
      <c r="AO34" s="202" t="s">
        <v>259</v>
      </c>
      <c r="AP34" s="202" t="s">
        <v>259</v>
      </c>
      <c r="AQ34" s="202" t="s">
        <v>259</v>
      </c>
      <c r="AR34" s="202" t="s">
        <v>259</v>
      </c>
      <c r="AS34" s="202" t="s">
        <v>259</v>
      </c>
      <c r="AT34" s="202" t="s">
        <v>259</v>
      </c>
      <c r="AU34" s="202" t="s">
        <v>259</v>
      </c>
      <c r="AV34" s="202" t="s">
        <v>259</v>
      </c>
      <c r="AW34" s="202" t="s">
        <v>259</v>
      </c>
      <c r="AX34" s="202" t="s">
        <v>259</v>
      </c>
      <c r="AY34" s="202" t="s">
        <v>259</v>
      </c>
      <c r="AZ34" s="202" t="s">
        <v>259</v>
      </c>
      <c r="BA34" s="202" t="s">
        <v>26</v>
      </c>
      <c r="BB34" s="199"/>
    </row>
    <row r="35" spans="1:54" x14ac:dyDescent="0.25">
      <c r="A35" s="155" t="s">
        <v>201</v>
      </c>
      <c r="B35" s="144">
        <v>0.5</v>
      </c>
      <c r="C35" s="143">
        <v>0.1</v>
      </c>
      <c r="D35" s="145" t="s">
        <v>259</v>
      </c>
      <c r="E35" s="145" t="s">
        <v>259</v>
      </c>
      <c r="F35" s="145" t="s">
        <v>259</v>
      </c>
      <c r="G35" s="145" t="s">
        <v>259</v>
      </c>
      <c r="H35" s="145" t="s">
        <v>259</v>
      </c>
      <c r="I35" s="145" t="s">
        <v>259</v>
      </c>
      <c r="J35" s="145" t="s">
        <v>259</v>
      </c>
      <c r="K35" s="145" t="s">
        <v>259</v>
      </c>
      <c r="L35" s="145" t="s">
        <v>259</v>
      </c>
      <c r="M35" s="145" t="s">
        <v>259</v>
      </c>
      <c r="N35" s="145" t="s">
        <v>259</v>
      </c>
      <c r="O35" s="145" t="s">
        <v>259</v>
      </c>
      <c r="P35" s="145" t="s">
        <v>26</v>
      </c>
      <c r="Q35" s="136"/>
      <c r="R35" s="136"/>
      <c r="S35" s="136"/>
      <c r="T35" s="195" t="s">
        <v>201</v>
      </c>
      <c r="U35" s="194">
        <v>0.5</v>
      </c>
      <c r="V35" s="188">
        <v>0.1583333333333333</v>
      </c>
      <c r="W35" s="187" t="s">
        <v>259</v>
      </c>
      <c r="X35" s="187" t="s">
        <v>259</v>
      </c>
      <c r="Y35" s="187" t="s">
        <v>259</v>
      </c>
      <c r="Z35" s="187" t="s">
        <v>259</v>
      </c>
      <c r="AA35" s="187" t="s">
        <v>259</v>
      </c>
      <c r="AB35" s="187" t="s">
        <v>259</v>
      </c>
      <c r="AC35" s="187" t="s">
        <v>259</v>
      </c>
      <c r="AD35" s="187" t="s">
        <v>259</v>
      </c>
      <c r="AE35" s="187" t="s">
        <v>259</v>
      </c>
      <c r="AF35" s="187" t="s">
        <v>259</v>
      </c>
      <c r="AG35" s="187" t="s">
        <v>259</v>
      </c>
      <c r="AH35" s="187" t="s">
        <v>259</v>
      </c>
      <c r="AI35" s="187" t="s">
        <v>26</v>
      </c>
      <c r="AJ35" s="184"/>
      <c r="AL35" s="210" t="s">
        <v>201</v>
      </c>
      <c r="AM35" s="209">
        <v>0.5</v>
      </c>
      <c r="AN35" s="203">
        <v>8.1250000000000003E-2</v>
      </c>
      <c r="AO35" s="202" t="s">
        <v>259</v>
      </c>
      <c r="AP35" s="202" t="s">
        <v>259</v>
      </c>
      <c r="AQ35" s="202" t="s">
        <v>259</v>
      </c>
      <c r="AR35" s="202" t="s">
        <v>259</v>
      </c>
      <c r="AS35" s="202" t="s">
        <v>259</v>
      </c>
      <c r="AT35" s="202" t="s">
        <v>259</v>
      </c>
      <c r="AU35" s="202" t="s">
        <v>259</v>
      </c>
      <c r="AV35" s="202" t="s">
        <v>259</v>
      </c>
      <c r="AW35" s="202" t="s">
        <v>259</v>
      </c>
      <c r="AX35" s="202" t="s">
        <v>259</v>
      </c>
      <c r="AY35" s="202" t="s">
        <v>259</v>
      </c>
      <c r="AZ35" s="202" t="s">
        <v>259</v>
      </c>
      <c r="BA35" s="202" t="s">
        <v>26</v>
      </c>
      <c r="BB35" s="199"/>
    </row>
    <row r="36" spans="1:54" ht="15.75" customHeight="1" x14ac:dyDescent="0.25">
      <c r="A36" s="155" t="s">
        <v>201</v>
      </c>
      <c r="B36" s="140">
        <v>1</v>
      </c>
      <c r="C36" s="143">
        <v>0.1</v>
      </c>
      <c r="D36" s="145" t="s">
        <v>259</v>
      </c>
      <c r="E36" s="145" t="s">
        <v>259</v>
      </c>
      <c r="F36" s="145" t="s">
        <v>259</v>
      </c>
      <c r="G36" s="145" t="s">
        <v>259</v>
      </c>
      <c r="H36" s="145" t="s">
        <v>259</v>
      </c>
      <c r="I36" s="145" t="s">
        <v>259</v>
      </c>
      <c r="J36" s="145" t="s">
        <v>259</v>
      </c>
      <c r="K36" s="145" t="s">
        <v>259</v>
      </c>
      <c r="L36" s="145" t="s">
        <v>259</v>
      </c>
      <c r="M36" s="145" t="s">
        <v>259</v>
      </c>
      <c r="N36" s="145" t="s">
        <v>259</v>
      </c>
      <c r="O36" s="145" t="s">
        <v>259</v>
      </c>
      <c r="P36" s="145" t="s">
        <v>26</v>
      </c>
      <c r="Q36" s="136"/>
      <c r="R36" s="136"/>
      <c r="S36" s="136"/>
      <c r="T36" s="195" t="s">
        <v>201</v>
      </c>
      <c r="U36" s="197">
        <v>1</v>
      </c>
      <c r="V36" s="188">
        <v>0.1583333333333333</v>
      </c>
      <c r="W36" s="187" t="s">
        <v>259</v>
      </c>
      <c r="X36" s="187" t="s">
        <v>259</v>
      </c>
      <c r="Y36" s="187" t="s">
        <v>259</v>
      </c>
      <c r="Z36" s="187" t="s">
        <v>259</v>
      </c>
      <c r="AA36" s="187" t="s">
        <v>259</v>
      </c>
      <c r="AB36" s="187" t="s">
        <v>259</v>
      </c>
      <c r="AC36" s="187" t="s">
        <v>259</v>
      </c>
      <c r="AD36" s="187" t="s">
        <v>259</v>
      </c>
      <c r="AE36" s="187" t="s">
        <v>259</v>
      </c>
      <c r="AF36" s="187" t="s">
        <v>259</v>
      </c>
      <c r="AG36" s="187" t="s">
        <v>259</v>
      </c>
      <c r="AH36" s="187" t="s">
        <v>259</v>
      </c>
      <c r="AI36" s="187" t="s">
        <v>26</v>
      </c>
      <c r="AJ36" s="184"/>
      <c r="AL36" s="210" t="s">
        <v>201</v>
      </c>
      <c r="AM36" s="212">
        <v>1</v>
      </c>
      <c r="AN36" s="203">
        <v>8.1250000000000003E-2</v>
      </c>
      <c r="AO36" s="202" t="s">
        <v>259</v>
      </c>
      <c r="AP36" s="202" t="s">
        <v>259</v>
      </c>
      <c r="AQ36" s="202" t="s">
        <v>259</v>
      </c>
      <c r="AR36" s="202" t="s">
        <v>259</v>
      </c>
      <c r="AS36" s="202" t="s">
        <v>259</v>
      </c>
      <c r="AT36" s="202" t="s">
        <v>259</v>
      </c>
      <c r="AU36" s="202" t="s">
        <v>259</v>
      </c>
      <c r="AV36" s="202" t="s">
        <v>259</v>
      </c>
      <c r="AW36" s="202" t="s">
        <v>259</v>
      </c>
      <c r="AX36" s="202" t="s">
        <v>259</v>
      </c>
      <c r="AY36" s="202" t="s">
        <v>259</v>
      </c>
      <c r="AZ36" s="202" t="s">
        <v>259</v>
      </c>
      <c r="BA36" s="202" t="s">
        <v>26</v>
      </c>
      <c r="BB36" s="199"/>
    </row>
    <row r="37" spans="1:54" x14ac:dyDescent="0.25">
      <c r="A37" s="155" t="s">
        <v>201</v>
      </c>
      <c r="B37" s="140">
        <v>1.5</v>
      </c>
      <c r="C37" s="143">
        <v>0.1</v>
      </c>
      <c r="D37" s="145" t="s">
        <v>259</v>
      </c>
      <c r="E37" s="145" t="s">
        <v>259</v>
      </c>
      <c r="F37" s="145" t="s">
        <v>259</v>
      </c>
      <c r="G37" s="145" t="s">
        <v>259</v>
      </c>
      <c r="H37" s="145" t="s">
        <v>259</v>
      </c>
      <c r="I37" s="145" t="s">
        <v>259</v>
      </c>
      <c r="J37" s="145" t="s">
        <v>259</v>
      </c>
      <c r="K37" s="145" t="s">
        <v>259</v>
      </c>
      <c r="L37" s="145" t="s">
        <v>259</v>
      </c>
      <c r="M37" s="146" t="s">
        <v>260</v>
      </c>
      <c r="N37" s="146" t="s">
        <v>260</v>
      </c>
      <c r="O37" s="146" t="s">
        <v>260</v>
      </c>
      <c r="P37" s="146" t="s">
        <v>30</v>
      </c>
      <c r="Q37" s="136"/>
      <c r="R37" s="136"/>
      <c r="S37" s="136"/>
      <c r="T37" s="195" t="s">
        <v>202</v>
      </c>
      <c r="U37" s="194">
        <v>2.1</v>
      </c>
      <c r="V37" s="188">
        <v>6.9999999999999993E-2</v>
      </c>
      <c r="W37" s="187" t="s">
        <v>259</v>
      </c>
      <c r="X37" s="187" t="s">
        <v>259</v>
      </c>
      <c r="Y37" s="187" t="s">
        <v>259</v>
      </c>
      <c r="Z37" s="187" t="s">
        <v>259</v>
      </c>
      <c r="AA37" s="187" t="s">
        <v>259</v>
      </c>
      <c r="AB37" s="187" t="s">
        <v>259</v>
      </c>
      <c r="AC37" s="187" t="s">
        <v>259</v>
      </c>
      <c r="AD37" s="189" t="s">
        <v>260</v>
      </c>
      <c r="AE37" s="189" t="s">
        <v>260</v>
      </c>
      <c r="AF37" s="189" t="s">
        <v>260</v>
      </c>
      <c r="AG37" s="189" t="s">
        <v>260</v>
      </c>
      <c r="AH37" s="189" t="s">
        <v>260</v>
      </c>
      <c r="AI37" s="189" t="s">
        <v>30</v>
      </c>
      <c r="AJ37" s="184"/>
      <c r="AL37" s="210" t="s">
        <v>201</v>
      </c>
      <c r="AM37" s="209">
        <v>1.5</v>
      </c>
      <c r="AN37" s="203">
        <v>8.1250000000000003E-2</v>
      </c>
      <c r="AO37" s="202" t="s">
        <v>259</v>
      </c>
      <c r="AP37" s="202" t="s">
        <v>259</v>
      </c>
      <c r="AQ37" s="202" t="s">
        <v>259</v>
      </c>
      <c r="AR37" s="202" t="s">
        <v>259</v>
      </c>
      <c r="AS37" s="202" t="s">
        <v>259</v>
      </c>
      <c r="AT37" s="202" t="s">
        <v>259</v>
      </c>
      <c r="AU37" s="202" t="s">
        <v>259</v>
      </c>
      <c r="AV37" s="202" t="s">
        <v>259</v>
      </c>
      <c r="AW37" s="202" t="s">
        <v>259</v>
      </c>
      <c r="AX37" s="204" t="s">
        <v>260</v>
      </c>
      <c r="AY37" s="204" t="s">
        <v>260</v>
      </c>
      <c r="AZ37" s="204" t="s">
        <v>260</v>
      </c>
      <c r="BA37" s="204" t="s">
        <v>30</v>
      </c>
      <c r="BB37" s="199"/>
    </row>
    <row r="38" spans="1:54" x14ac:dyDescent="0.25">
      <c r="A38" s="155" t="s">
        <v>202</v>
      </c>
      <c r="B38" s="140">
        <v>3</v>
      </c>
      <c r="C38" s="143">
        <v>0.05</v>
      </c>
      <c r="D38" s="145" t="s">
        <v>259</v>
      </c>
      <c r="E38" s="145" t="s">
        <v>259</v>
      </c>
      <c r="F38" s="145" t="s">
        <v>259</v>
      </c>
      <c r="G38" s="145" t="s">
        <v>259</v>
      </c>
      <c r="H38" s="146" t="s">
        <v>260</v>
      </c>
      <c r="I38" s="146" t="s">
        <v>260</v>
      </c>
      <c r="J38" s="146" t="s">
        <v>260</v>
      </c>
      <c r="K38" s="146" t="s">
        <v>260</v>
      </c>
      <c r="L38" s="146" t="s">
        <v>260</v>
      </c>
      <c r="M38" s="146" t="s">
        <v>260</v>
      </c>
      <c r="N38" s="146" t="s">
        <v>260</v>
      </c>
      <c r="O38" s="146" t="s">
        <v>260</v>
      </c>
      <c r="P38" s="146" t="s">
        <v>30</v>
      </c>
      <c r="Q38" s="136"/>
      <c r="R38" s="136"/>
      <c r="S38" s="136"/>
      <c r="T38" s="195" t="s">
        <v>202</v>
      </c>
      <c r="U38" s="194">
        <v>2.6</v>
      </c>
      <c r="V38" s="188">
        <v>6.9999999999999993E-2</v>
      </c>
      <c r="W38" s="187" t="s">
        <v>259</v>
      </c>
      <c r="X38" s="187" t="s">
        <v>259</v>
      </c>
      <c r="Y38" s="187" t="s">
        <v>259</v>
      </c>
      <c r="Z38" s="187" t="s">
        <v>259</v>
      </c>
      <c r="AA38" s="187" t="s">
        <v>259</v>
      </c>
      <c r="AB38" s="189" t="s">
        <v>260</v>
      </c>
      <c r="AC38" s="189" t="s">
        <v>260</v>
      </c>
      <c r="AD38" s="189" t="s">
        <v>260</v>
      </c>
      <c r="AE38" s="189" t="s">
        <v>260</v>
      </c>
      <c r="AF38" s="189" t="s">
        <v>260</v>
      </c>
      <c r="AG38" s="189" t="s">
        <v>260</v>
      </c>
      <c r="AH38" s="189" t="s">
        <v>260</v>
      </c>
      <c r="AI38" s="189" t="s">
        <v>30</v>
      </c>
      <c r="AJ38" s="184"/>
      <c r="AL38" s="210" t="s">
        <v>202</v>
      </c>
      <c r="AM38" s="209">
        <v>3.9</v>
      </c>
      <c r="AN38" s="203">
        <v>4.3749999999999997E-2</v>
      </c>
      <c r="AO38" s="202" t="s">
        <v>259</v>
      </c>
      <c r="AP38" s="202" t="s">
        <v>259</v>
      </c>
      <c r="AQ38" s="202" t="s">
        <v>259</v>
      </c>
      <c r="AR38" s="204" t="s">
        <v>260</v>
      </c>
      <c r="AS38" s="204" t="s">
        <v>260</v>
      </c>
      <c r="AT38" s="204" t="s">
        <v>260</v>
      </c>
      <c r="AU38" s="204" t="s">
        <v>260</v>
      </c>
      <c r="AV38" s="204" t="s">
        <v>260</v>
      </c>
      <c r="AW38" s="204" t="s">
        <v>260</v>
      </c>
      <c r="AX38" s="204" t="s">
        <v>260</v>
      </c>
      <c r="AY38" s="204" t="s">
        <v>260</v>
      </c>
      <c r="AZ38" s="204" t="s">
        <v>260</v>
      </c>
      <c r="BA38" s="204" t="s">
        <v>30</v>
      </c>
      <c r="BB38" s="199"/>
    </row>
    <row r="39" spans="1:54" x14ac:dyDescent="0.25">
      <c r="A39" s="155" t="s">
        <v>202</v>
      </c>
      <c r="B39" s="140">
        <v>3.5</v>
      </c>
      <c r="C39" s="143">
        <v>0.05</v>
      </c>
      <c r="D39" s="145" t="s">
        <v>259</v>
      </c>
      <c r="E39" s="145" t="s">
        <v>259</v>
      </c>
      <c r="F39" s="145" t="s">
        <v>259</v>
      </c>
      <c r="G39" s="145" t="s">
        <v>259</v>
      </c>
      <c r="H39" s="146" t="s">
        <v>260</v>
      </c>
      <c r="I39" s="146" t="s">
        <v>260</v>
      </c>
      <c r="J39" s="146" t="s">
        <v>260</v>
      </c>
      <c r="K39" s="146" t="s">
        <v>260</v>
      </c>
      <c r="L39" s="146" t="s">
        <v>260</v>
      </c>
      <c r="M39" s="146" t="s">
        <v>260</v>
      </c>
      <c r="N39" s="146" t="s">
        <v>260</v>
      </c>
      <c r="O39" s="146" t="s">
        <v>260</v>
      </c>
      <c r="P39" s="146" t="s">
        <v>30</v>
      </c>
      <c r="Q39" s="136"/>
      <c r="R39" s="136"/>
      <c r="S39" s="136"/>
      <c r="T39" s="195" t="s">
        <v>202</v>
      </c>
      <c r="U39" s="194">
        <v>3.1</v>
      </c>
      <c r="V39" s="188">
        <v>6.9999999999999993E-2</v>
      </c>
      <c r="W39" s="187" t="s">
        <v>259</v>
      </c>
      <c r="X39" s="187" t="s">
        <v>259</v>
      </c>
      <c r="Y39" s="187" t="s">
        <v>259</v>
      </c>
      <c r="Z39" s="187" t="s">
        <v>259</v>
      </c>
      <c r="AA39" s="189" t="s">
        <v>260</v>
      </c>
      <c r="AB39" s="189" t="s">
        <v>260</v>
      </c>
      <c r="AC39" s="189" t="s">
        <v>260</v>
      </c>
      <c r="AD39" s="189" t="s">
        <v>260</v>
      </c>
      <c r="AE39" s="189" t="s">
        <v>260</v>
      </c>
      <c r="AF39" s="189" t="s">
        <v>260</v>
      </c>
      <c r="AG39" s="189" t="s">
        <v>260</v>
      </c>
      <c r="AH39" s="189" t="s">
        <v>260</v>
      </c>
      <c r="AI39" s="189" t="s">
        <v>30</v>
      </c>
      <c r="AJ39" s="184"/>
      <c r="AL39" s="210" t="s">
        <v>202</v>
      </c>
      <c r="AM39" s="209">
        <v>4.4000000000000004</v>
      </c>
      <c r="AN39" s="203">
        <v>4.3749999999999997E-2</v>
      </c>
      <c r="AO39" s="202" t="s">
        <v>259</v>
      </c>
      <c r="AP39" s="202" t="s">
        <v>259</v>
      </c>
      <c r="AQ39" s="202" t="s">
        <v>259</v>
      </c>
      <c r="AR39" s="204" t="s">
        <v>260</v>
      </c>
      <c r="AS39" s="204" t="s">
        <v>260</v>
      </c>
      <c r="AT39" s="204" t="s">
        <v>260</v>
      </c>
      <c r="AU39" s="204" t="s">
        <v>260</v>
      </c>
      <c r="AV39" s="204" t="s">
        <v>260</v>
      </c>
      <c r="AW39" s="204" t="s">
        <v>260</v>
      </c>
      <c r="AX39" s="204" t="s">
        <v>260</v>
      </c>
      <c r="AY39" s="204" t="s">
        <v>260</v>
      </c>
      <c r="AZ39" s="204" t="s">
        <v>260</v>
      </c>
      <c r="BA39" s="204" t="s">
        <v>30</v>
      </c>
      <c r="BB39" s="199"/>
    </row>
    <row r="40" spans="1:54" x14ac:dyDescent="0.25">
      <c r="A40" s="155" t="s">
        <v>202</v>
      </c>
      <c r="B40" s="140">
        <v>4</v>
      </c>
      <c r="C40" s="143">
        <v>0.05</v>
      </c>
      <c r="D40" s="145" t="s">
        <v>259</v>
      </c>
      <c r="E40" s="145" t="s">
        <v>259</v>
      </c>
      <c r="F40" s="145" t="s">
        <v>259</v>
      </c>
      <c r="G40" s="146" t="s">
        <v>260</v>
      </c>
      <c r="H40" s="146" t="s">
        <v>260</v>
      </c>
      <c r="I40" s="146" t="s">
        <v>260</v>
      </c>
      <c r="J40" s="146" t="s">
        <v>260</v>
      </c>
      <c r="K40" s="146" t="s">
        <v>260</v>
      </c>
      <c r="L40" s="146" t="s">
        <v>260</v>
      </c>
      <c r="M40" s="146" t="s">
        <v>260</v>
      </c>
      <c r="N40" s="146" t="s">
        <v>260</v>
      </c>
      <c r="O40" s="146" t="s">
        <v>260</v>
      </c>
      <c r="P40" s="146" t="s">
        <v>30</v>
      </c>
      <c r="Q40" s="136"/>
      <c r="R40" s="136"/>
      <c r="S40" s="136"/>
      <c r="T40" s="195" t="s">
        <v>202</v>
      </c>
      <c r="U40" s="194">
        <v>3.6</v>
      </c>
      <c r="V40" s="188">
        <v>6.9999999999999993E-2</v>
      </c>
      <c r="W40" s="187" t="s">
        <v>259</v>
      </c>
      <c r="X40" s="187" t="s">
        <v>259</v>
      </c>
      <c r="Y40" s="187" t="s">
        <v>259</v>
      </c>
      <c r="Z40" s="187" t="s">
        <v>259</v>
      </c>
      <c r="AA40" s="189" t="s">
        <v>260</v>
      </c>
      <c r="AB40" s="189" t="s">
        <v>260</v>
      </c>
      <c r="AC40" s="189" t="s">
        <v>260</v>
      </c>
      <c r="AD40" s="189" t="s">
        <v>260</v>
      </c>
      <c r="AE40" s="189" t="s">
        <v>260</v>
      </c>
      <c r="AF40" s="189" t="s">
        <v>260</v>
      </c>
      <c r="AG40" s="189" t="s">
        <v>260</v>
      </c>
      <c r="AH40" s="189" t="s">
        <v>260</v>
      </c>
      <c r="AI40" s="189" t="s">
        <v>30</v>
      </c>
      <c r="AJ40" s="184"/>
      <c r="AL40" s="210" t="s">
        <v>202</v>
      </c>
      <c r="AM40" s="209">
        <v>4.9000000000000004</v>
      </c>
      <c r="AN40" s="203">
        <v>4.3749999999999997E-2</v>
      </c>
      <c r="AO40" s="202" t="s">
        <v>259</v>
      </c>
      <c r="AP40" s="202" t="s">
        <v>259</v>
      </c>
      <c r="AQ40" s="202" t="s">
        <v>259</v>
      </c>
      <c r="AR40" s="204" t="s">
        <v>260</v>
      </c>
      <c r="AS40" s="204" t="s">
        <v>260</v>
      </c>
      <c r="AT40" s="204" t="s">
        <v>260</v>
      </c>
      <c r="AU40" s="204" t="s">
        <v>260</v>
      </c>
      <c r="AV40" s="204" t="s">
        <v>260</v>
      </c>
      <c r="AW40" s="204" t="s">
        <v>260</v>
      </c>
      <c r="AX40" s="204" t="s">
        <v>260</v>
      </c>
      <c r="AY40" s="204" t="s">
        <v>260</v>
      </c>
      <c r="AZ40" s="204" t="s">
        <v>260</v>
      </c>
      <c r="BA40" s="204" t="s">
        <v>30</v>
      </c>
      <c r="BB40" s="199"/>
    </row>
    <row r="41" spans="1:54" x14ac:dyDescent="0.25">
      <c r="A41" s="155" t="s">
        <v>202</v>
      </c>
      <c r="B41" s="140">
        <v>4.5</v>
      </c>
      <c r="C41" s="143">
        <v>0.05</v>
      </c>
      <c r="D41" s="145" t="s">
        <v>259</v>
      </c>
      <c r="E41" s="145" t="s">
        <v>259</v>
      </c>
      <c r="F41" s="145" t="s">
        <v>259</v>
      </c>
      <c r="G41" s="146" t="s">
        <v>260</v>
      </c>
      <c r="H41" s="146" t="s">
        <v>260</v>
      </c>
      <c r="I41" s="146" t="s">
        <v>260</v>
      </c>
      <c r="J41" s="146" t="s">
        <v>260</v>
      </c>
      <c r="K41" s="146" t="s">
        <v>260</v>
      </c>
      <c r="L41" s="146" t="s">
        <v>260</v>
      </c>
      <c r="M41" s="146" t="s">
        <v>260</v>
      </c>
      <c r="N41" s="146" t="s">
        <v>260</v>
      </c>
      <c r="O41" s="146" t="s">
        <v>260</v>
      </c>
      <c r="P41" s="146" t="s">
        <v>30</v>
      </c>
      <c r="Q41" s="136"/>
      <c r="R41" s="136"/>
      <c r="S41" s="136"/>
      <c r="T41" s="195" t="s">
        <v>202</v>
      </c>
      <c r="U41" s="194">
        <v>4.0999999999999996</v>
      </c>
      <c r="V41" s="188">
        <v>6.9999999999999993E-2</v>
      </c>
      <c r="W41" s="187" t="s">
        <v>259</v>
      </c>
      <c r="X41" s="187" t="s">
        <v>259</v>
      </c>
      <c r="Y41" s="187" t="s">
        <v>259</v>
      </c>
      <c r="Z41" s="189" t="s">
        <v>260</v>
      </c>
      <c r="AA41" s="189" t="s">
        <v>260</v>
      </c>
      <c r="AB41" s="189" t="s">
        <v>260</v>
      </c>
      <c r="AC41" s="189" t="s">
        <v>260</v>
      </c>
      <c r="AD41" s="189" t="s">
        <v>260</v>
      </c>
      <c r="AE41" s="189" t="s">
        <v>260</v>
      </c>
      <c r="AF41" s="189" t="s">
        <v>260</v>
      </c>
      <c r="AG41" s="189" t="s">
        <v>260</v>
      </c>
      <c r="AH41" s="189" t="s">
        <v>260</v>
      </c>
      <c r="AI41" s="189" t="s">
        <v>30</v>
      </c>
      <c r="AJ41" s="184"/>
      <c r="AL41" s="210" t="s">
        <v>202</v>
      </c>
      <c r="AM41" s="209">
        <v>5.4</v>
      </c>
      <c r="AN41" s="203">
        <v>4.3749999999999997E-2</v>
      </c>
      <c r="AO41" s="202" t="s">
        <v>259</v>
      </c>
      <c r="AP41" s="202" t="s">
        <v>259</v>
      </c>
      <c r="AQ41" s="204" t="s">
        <v>260</v>
      </c>
      <c r="AR41" s="204" t="s">
        <v>260</v>
      </c>
      <c r="AS41" s="204" t="s">
        <v>260</v>
      </c>
      <c r="AT41" s="204" t="s">
        <v>260</v>
      </c>
      <c r="AU41" s="204" t="s">
        <v>260</v>
      </c>
      <c r="AV41" s="204" t="s">
        <v>260</v>
      </c>
      <c r="AW41" s="204" t="s">
        <v>260</v>
      </c>
      <c r="AX41" s="204" t="s">
        <v>260</v>
      </c>
      <c r="AY41" s="204" t="s">
        <v>260</v>
      </c>
      <c r="AZ41" s="204" t="s">
        <v>260</v>
      </c>
      <c r="BA41" s="204" t="s">
        <v>30</v>
      </c>
      <c r="BB41" s="199"/>
    </row>
    <row r="42" spans="1:54" x14ac:dyDescent="0.25">
      <c r="A42" s="155" t="s">
        <v>202</v>
      </c>
      <c r="B42" s="140">
        <v>5</v>
      </c>
      <c r="C42" s="143">
        <v>0.05</v>
      </c>
      <c r="D42" s="145" t="s">
        <v>259</v>
      </c>
      <c r="E42" s="145" t="s">
        <v>259</v>
      </c>
      <c r="F42" s="146" t="s">
        <v>260</v>
      </c>
      <c r="G42" s="146" t="s">
        <v>260</v>
      </c>
      <c r="H42" s="146" t="s">
        <v>260</v>
      </c>
      <c r="I42" s="146" t="s">
        <v>260</v>
      </c>
      <c r="J42" s="146" t="s">
        <v>260</v>
      </c>
      <c r="K42" s="146" t="s">
        <v>260</v>
      </c>
      <c r="L42" s="146" t="s">
        <v>260</v>
      </c>
      <c r="M42" s="146" t="s">
        <v>260</v>
      </c>
      <c r="N42" s="146" t="s">
        <v>260</v>
      </c>
      <c r="O42" s="146" t="s">
        <v>260</v>
      </c>
      <c r="P42" s="146" t="s">
        <v>30</v>
      </c>
      <c r="Q42" s="136"/>
      <c r="R42" s="136"/>
      <c r="S42" s="136"/>
      <c r="T42" s="195" t="s">
        <v>203</v>
      </c>
      <c r="U42" s="194">
        <v>5.25</v>
      </c>
      <c r="V42" s="188">
        <v>1.2727272727272729E-2</v>
      </c>
      <c r="W42" s="187" t="s">
        <v>259</v>
      </c>
      <c r="X42" s="187" t="s">
        <v>259</v>
      </c>
      <c r="Y42" s="189" t="s">
        <v>260</v>
      </c>
      <c r="Z42" s="189" t="s">
        <v>260</v>
      </c>
      <c r="AA42" s="189" t="s">
        <v>260</v>
      </c>
      <c r="AB42" s="189" t="s">
        <v>260</v>
      </c>
      <c r="AC42" s="189" t="s">
        <v>260</v>
      </c>
      <c r="AD42" s="189" t="s">
        <v>260</v>
      </c>
      <c r="AE42" s="189" t="s">
        <v>260</v>
      </c>
      <c r="AF42" s="189" t="s">
        <v>260</v>
      </c>
      <c r="AG42" s="189" t="s">
        <v>260</v>
      </c>
      <c r="AH42" s="189" t="s">
        <v>260</v>
      </c>
      <c r="AI42" s="189" t="s">
        <v>30</v>
      </c>
      <c r="AJ42" s="184"/>
      <c r="AL42" s="210" t="s">
        <v>202</v>
      </c>
      <c r="AM42" s="209">
        <v>5.9</v>
      </c>
      <c r="AN42" s="203">
        <v>4.3749999999999997E-2</v>
      </c>
      <c r="AO42" s="202" t="s">
        <v>259</v>
      </c>
      <c r="AP42" s="202" t="s">
        <v>259</v>
      </c>
      <c r="AQ42" s="204" t="s">
        <v>260</v>
      </c>
      <c r="AR42" s="204" t="s">
        <v>260</v>
      </c>
      <c r="AS42" s="204" t="s">
        <v>260</v>
      </c>
      <c r="AT42" s="204" t="s">
        <v>260</v>
      </c>
      <c r="AU42" s="204" t="s">
        <v>260</v>
      </c>
      <c r="AV42" s="204" t="s">
        <v>260</v>
      </c>
      <c r="AW42" s="204" t="s">
        <v>260</v>
      </c>
      <c r="AX42" s="204" t="s">
        <v>260</v>
      </c>
      <c r="AY42" s="204" t="s">
        <v>260</v>
      </c>
      <c r="AZ42" s="204" t="s">
        <v>260</v>
      </c>
      <c r="BA42" s="204" t="s">
        <v>30</v>
      </c>
      <c r="BB42" s="199"/>
    </row>
    <row r="43" spans="1:54" x14ac:dyDescent="0.25">
      <c r="A43" s="155" t="s">
        <v>202</v>
      </c>
      <c r="B43" s="140">
        <v>5.5</v>
      </c>
      <c r="C43" s="143">
        <v>0.05</v>
      </c>
      <c r="D43" s="145" t="s">
        <v>259</v>
      </c>
      <c r="E43" s="145" t="s">
        <v>259</v>
      </c>
      <c r="F43" s="146" t="s">
        <v>260</v>
      </c>
      <c r="G43" s="146" t="s">
        <v>260</v>
      </c>
      <c r="H43" s="146" t="s">
        <v>260</v>
      </c>
      <c r="I43" s="146" t="s">
        <v>260</v>
      </c>
      <c r="J43" s="146" t="s">
        <v>260</v>
      </c>
      <c r="K43" s="146" t="s">
        <v>260</v>
      </c>
      <c r="L43" s="146" t="s">
        <v>260</v>
      </c>
      <c r="M43" s="146" t="s">
        <v>260</v>
      </c>
      <c r="N43" s="146" t="s">
        <v>260</v>
      </c>
      <c r="O43" s="146" t="s">
        <v>260</v>
      </c>
      <c r="P43" s="146" t="s">
        <v>30</v>
      </c>
      <c r="Q43" s="136"/>
      <c r="R43" s="136"/>
      <c r="S43" s="136"/>
      <c r="T43" s="195" t="s">
        <v>203</v>
      </c>
      <c r="U43" s="194">
        <v>6.25</v>
      </c>
      <c r="V43" s="188">
        <v>1.2727272727272729E-2</v>
      </c>
      <c r="W43" s="187" t="s">
        <v>259</v>
      </c>
      <c r="X43" s="187" t="s">
        <v>259</v>
      </c>
      <c r="Y43" s="189" t="s">
        <v>260</v>
      </c>
      <c r="Z43" s="189" t="s">
        <v>260</v>
      </c>
      <c r="AA43" s="189" t="s">
        <v>260</v>
      </c>
      <c r="AB43" s="189" t="s">
        <v>260</v>
      </c>
      <c r="AC43" s="189" t="s">
        <v>260</v>
      </c>
      <c r="AD43" s="189" t="s">
        <v>260</v>
      </c>
      <c r="AE43" s="189" t="s">
        <v>260</v>
      </c>
      <c r="AF43" s="189" t="s">
        <v>260</v>
      </c>
      <c r="AG43" s="189" t="s">
        <v>260</v>
      </c>
      <c r="AH43" s="190" t="s">
        <v>31</v>
      </c>
      <c r="AI43" s="190" t="s">
        <v>31</v>
      </c>
      <c r="AJ43" s="184"/>
      <c r="AL43" s="210" t="s">
        <v>202</v>
      </c>
      <c r="AM43" s="209">
        <v>6.4</v>
      </c>
      <c r="AN43" s="203">
        <v>4.3749999999999997E-2</v>
      </c>
      <c r="AO43" s="202" t="s">
        <v>259</v>
      </c>
      <c r="AP43" s="202" t="s">
        <v>259</v>
      </c>
      <c r="AQ43" s="204" t="s">
        <v>260</v>
      </c>
      <c r="AR43" s="204" t="s">
        <v>260</v>
      </c>
      <c r="AS43" s="204" t="s">
        <v>260</v>
      </c>
      <c r="AT43" s="204" t="s">
        <v>260</v>
      </c>
      <c r="AU43" s="204" t="s">
        <v>260</v>
      </c>
      <c r="AV43" s="204" t="s">
        <v>260</v>
      </c>
      <c r="AW43" s="204" t="s">
        <v>260</v>
      </c>
      <c r="AX43" s="204" t="s">
        <v>260</v>
      </c>
      <c r="AY43" s="204" t="s">
        <v>260</v>
      </c>
      <c r="AZ43" s="205" t="s">
        <v>31</v>
      </c>
      <c r="BA43" s="205" t="s">
        <v>31</v>
      </c>
      <c r="BB43" s="199"/>
    </row>
    <row r="44" spans="1:54" x14ac:dyDescent="0.25">
      <c r="A44" s="155" t="s">
        <v>202</v>
      </c>
      <c r="B44" s="140">
        <v>6</v>
      </c>
      <c r="C44" s="143">
        <v>0.05</v>
      </c>
      <c r="D44" s="145" t="s">
        <v>259</v>
      </c>
      <c r="E44" s="145" t="s">
        <v>259</v>
      </c>
      <c r="F44" s="146" t="s">
        <v>260</v>
      </c>
      <c r="G44" s="146" t="s">
        <v>260</v>
      </c>
      <c r="H44" s="146" t="s">
        <v>260</v>
      </c>
      <c r="I44" s="146" t="s">
        <v>260</v>
      </c>
      <c r="J44" s="146" t="s">
        <v>260</v>
      </c>
      <c r="K44" s="146" t="s">
        <v>260</v>
      </c>
      <c r="L44" s="146" t="s">
        <v>260</v>
      </c>
      <c r="M44" s="146" t="s">
        <v>260</v>
      </c>
      <c r="N44" s="146" t="s">
        <v>260</v>
      </c>
      <c r="O44" s="146" t="s">
        <v>260</v>
      </c>
      <c r="P44" s="146" t="s">
        <v>30</v>
      </c>
      <c r="Q44" s="136"/>
      <c r="R44" s="136"/>
      <c r="S44" s="136"/>
      <c r="T44" s="195" t="s">
        <v>203</v>
      </c>
      <c r="U44" s="194">
        <v>7.25</v>
      </c>
      <c r="V44" s="188">
        <v>1.2727272727272729E-2</v>
      </c>
      <c r="W44" s="187" t="s">
        <v>259</v>
      </c>
      <c r="X44" s="187" t="s">
        <v>259</v>
      </c>
      <c r="Y44" s="189" t="s">
        <v>260</v>
      </c>
      <c r="Z44" s="189" t="s">
        <v>260</v>
      </c>
      <c r="AA44" s="189" t="s">
        <v>260</v>
      </c>
      <c r="AB44" s="189" t="s">
        <v>260</v>
      </c>
      <c r="AC44" s="189" t="s">
        <v>260</v>
      </c>
      <c r="AD44" s="189" t="s">
        <v>260</v>
      </c>
      <c r="AE44" s="189" t="s">
        <v>260</v>
      </c>
      <c r="AF44" s="189" t="s">
        <v>260</v>
      </c>
      <c r="AG44" s="190" t="s">
        <v>31</v>
      </c>
      <c r="AH44" s="190" t="s">
        <v>31</v>
      </c>
      <c r="AI44" s="190" t="s">
        <v>31</v>
      </c>
      <c r="AJ44" s="184"/>
      <c r="AL44" s="210" t="s">
        <v>202</v>
      </c>
      <c r="AM44" s="209">
        <v>6.9</v>
      </c>
      <c r="AN44" s="203">
        <v>4.3749999999999997E-2</v>
      </c>
      <c r="AO44" s="202" t="s">
        <v>259</v>
      </c>
      <c r="AP44" s="202" t="s">
        <v>259</v>
      </c>
      <c r="AQ44" s="204" t="s">
        <v>260</v>
      </c>
      <c r="AR44" s="204" t="s">
        <v>260</v>
      </c>
      <c r="AS44" s="204" t="s">
        <v>260</v>
      </c>
      <c r="AT44" s="204" t="s">
        <v>260</v>
      </c>
      <c r="AU44" s="204" t="s">
        <v>260</v>
      </c>
      <c r="AV44" s="204" t="s">
        <v>260</v>
      </c>
      <c r="AW44" s="204" t="s">
        <v>260</v>
      </c>
      <c r="AX44" s="204" t="s">
        <v>260</v>
      </c>
      <c r="AY44" s="205" t="s">
        <v>31</v>
      </c>
      <c r="AZ44" s="205" t="s">
        <v>31</v>
      </c>
      <c r="BA44" s="205" t="s">
        <v>31</v>
      </c>
      <c r="BB44" s="199"/>
    </row>
    <row r="45" spans="1:54" x14ac:dyDescent="0.25">
      <c r="A45" s="155" t="s">
        <v>203</v>
      </c>
      <c r="B45" s="140">
        <v>7.5</v>
      </c>
      <c r="C45" s="143">
        <v>1.2500000000000001E-2</v>
      </c>
      <c r="D45" s="145" t="s">
        <v>259</v>
      </c>
      <c r="E45" s="146" t="s">
        <v>260</v>
      </c>
      <c r="F45" s="146" t="s">
        <v>260</v>
      </c>
      <c r="G45" s="146" t="s">
        <v>260</v>
      </c>
      <c r="H45" s="146" t="s">
        <v>260</v>
      </c>
      <c r="I45" s="146" t="s">
        <v>260</v>
      </c>
      <c r="J45" s="146" t="s">
        <v>260</v>
      </c>
      <c r="K45" s="146" t="s">
        <v>260</v>
      </c>
      <c r="L45" s="146" t="s">
        <v>260</v>
      </c>
      <c r="M45" s="147" t="s">
        <v>31</v>
      </c>
      <c r="N45" s="147" t="s">
        <v>31</v>
      </c>
      <c r="O45" s="147" t="s">
        <v>31</v>
      </c>
      <c r="P45" s="147" t="s">
        <v>31</v>
      </c>
      <c r="Q45" s="136"/>
      <c r="R45" s="136"/>
      <c r="S45" s="136"/>
      <c r="T45" s="195" t="s">
        <v>203</v>
      </c>
      <c r="U45" s="194">
        <v>8.25</v>
      </c>
      <c r="V45" s="188">
        <v>1.2727272727272729E-2</v>
      </c>
      <c r="W45" s="187" t="s">
        <v>259</v>
      </c>
      <c r="X45" s="189" t="s">
        <v>260</v>
      </c>
      <c r="Y45" s="189" t="s">
        <v>260</v>
      </c>
      <c r="Z45" s="189" t="s">
        <v>260</v>
      </c>
      <c r="AA45" s="189" t="s">
        <v>260</v>
      </c>
      <c r="AB45" s="189" t="s">
        <v>260</v>
      </c>
      <c r="AC45" s="189" t="s">
        <v>260</v>
      </c>
      <c r="AD45" s="189" t="s">
        <v>260</v>
      </c>
      <c r="AE45" s="189" t="s">
        <v>260</v>
      </c>
      <c r="AF45" s="190" t="s">
        <v>31</v>
      </c>
      <c r="AG45" s="190" t="s">
        <v>31</v>
      </c>
      <c r="AH45" s="190" t="s">
        <v>31</v>
      </c>
      <c r="AI45" s="190" t="s">
        <v>31</v>
      </c>
      <c r="AJ45" s="184"/>
      <c r="AL45" s="210" t="s">
        <v>202</v>
      </c>
      <c r="AM45" s="209">
        <v>7.4</v>
      </c>
      <c r="AN45" s="203">
        <v>4.3749999999999997E-2</v>
      </c>
      <c r="AO45" s="202" t="s">
        <v>259</v>
      </c>
      <c r="AP45" s="202" t="s">
        <v>259</v>
      </c>
      <c r="AQ45" s="204" t="s">
        <v>260</v>
      </c>
      <c r="AR45" s="204" t="s">
        <v>260</v>
      </c>
      <c r="AS45" s="204" t="s">
        <v>260</v>
      </c>
      <c r="AT45" s="204" t="s">
        <v>260</v>
      </c>
      <c r="AU45" s="204" t="s">
        <v>260</v>
      </c>
      <c r="AV45" s="204" t="s">
        <v>260</v>
      </c>
      <c r="AW45" s="204" t="s">
        <v>260</v>
      </c>
      <c r="AX45" s="204" t="s">
        <v>260</v>
      </c>
      <c r="AY45" s="205" t="s">
        <v>31</v>
      </c>
      <c r="AZ45" s="205" t="s">
        <v>31</v>
      </c>
      <c r="BA45" s="205" t="s">
        <v>31</v>
      </c>
      <c r="BB45" s="199"/>
    </row>
    <row r="46" spans="1:54" x14ac:dyDescent="0.25">
      <c r="A46" s="155" t="s">
        <v>203</v>
      </c>
      <c r="B46" s="140">
        <v>9</v>
      </c>
      <c r="C46" s="143">
        <v>1.2500000000000001E-2</v>
      </c>
      <c r="D46" s="145" t="s">
        <v>259</v>
      </c>
      <c r="E46" s="146" t="s">
        <v>260</v>
      </c>
      <c r="F46" s="146" t="s">
        <v>260</v>
      </c>
      <c r="G46" s="146" t="s">
        <v>260</v>
      </c>
      <c r="H46" s="146" t="s">
        <v>260</v>
      </c>
      <c r="I46" s="146" t="s">
        <v>260</v>
      </c>
      <c r="J46" s="146" t="s">
        <v>260</v>
      </c>
      <c r="K46" s="146" t="s">
        <v>260</v>
      </c>
      <c r="L46" s="147" t="s">
        <v>31</v>
      </c>
      <c r="M46" s="147" t="s">
        <v>31</v>
      </c>
      <c r="N46" s="147" t="s">
        <v>31</v>
      </c>
      <c r="O46" s="147" t="s">
        <v>31</v>
      </c>
      <c r="P46" s="147" t="s">
        <v>31</v>
      </c>
      <c r="Q46" s="136"/>
      <c r="R46" s="136"/>
      <c r="S46" s="136"/>
      <c r="T46" s="195" t="s">
        <v>203</v>
      </c>
      <c r="U46" s="194">
        <v>9.25</v>
      </c>
      <c r="V46" s="188">
        <v>1.2727272727272729E-2</v>
      </c>
      <c r="W46" s="187" t="s">
        <v>259</v>
      </c>
      <c r="X46" s="189" t="s">
        <v>260</v>
      </c>
      <c r="Y46" s="189" t="s">
        <v>260</v>
      </c>
      <c r="Z46" s="189" t="s">
        <v>260</v>
      </c>
      <c r="AA46" s="189" t="s">
        <v>260</v>
      </c>
      <c r="AB46" s="189" t="s">
        <v>260</v>
      </c>
      <c r="AC46" s="189" t="s">
        <v>260</v>
      </c>
      <c r="AD46" s="189" t="s">
        <v>260</v>
      </c>
      <c r="AE46" s="190" t="s">
        <v>31</v>
      </c>
      <c r="AF46" s="190" t="s">
        <v>31</v>
      </c>
      <c r="AG46" s="190" t="s">
        <v>31</v>
      </c>
      <c r="AH46" s="190" t="s">
        <v>31</v>
      </c>
      <c r="AI46" s="190" t="s">
        <v>31</v>
      </c>
      <c r="AJ46" s="184"/>
      <c r="AL46" s="210" t="s">
        <v>203</v>
      </c>
      <c r="AM46" s="209">
        <v>9.75</v>
      </c>
      <c r="AN46" s="203">
        <v>1.2999999999999999E-2</v>
      </c>
      <c r="AO46" s="202" t="s">
        <v>259</v>
      </c>
      <c r="AP46" s="204" t="s">
        <v>260</v>
      </c>
      <c r="AQ46" s="204" t="s">
        <v>260</v>
      </c>
      <c r="AR46" s="204" t="s">
        <v>260</v>
      </c>
      <c r="AS46" s="204" t="s">
        <v>260</v>
      </c>
      <c r="AT46" s="204" t="s">
        <v>260</v>
      </c>
      <c r="AU46" s="204" t="s">
        <v>260</v>
      </c>
      <c r="AV46" s="205" t="s">
        <v>31</v>
      </c>
      <c r="AW46" s="205" t="s">
        <v>31</v>
      </c>
      <c r="AX46" s="205" t="s">
        <v>31</v>
      </c>
      <c r="AY46" s="205" t="s">
        <v>31</v>
      </c>
      <c r="AZ46" s="205" t="s">
        <v>31</v>
      </c>
      <c r="BA46" s="205" t="s">
        <v>31</v>
      </c>
      <c r="BB46" s="199"/>
    </row>
    <row r="47" spans="1:54" x14ac:dyDescent="0.25">
      <c r="A47" s="155" t="s">
        <v>203</v>
      </c>
      <c r="B47" s="140">
        <v>10.5</v>
      </c>
      <c r="C47" s="143">
        <v>1.2500000000000001E-2</v>
      </c>
      <c r="D47" s="145" t="s">
        <v>259</v>
      </c>
      <c r="E47" s="146" t="s">
        <v>260</v>
      </c>
      <c r="F47" s="146" t="s">
        <v>260</v>
      </c>
      <c r="G47" s="146" t="s">
        <v>260</v>
      </c>
      <c r="H47" s="146" t="s">
        <v>260</v>
      </c>
      <c r="I47" s="146" t="s">
        <v>260</v>
      </c>
      <c r="J47" s="146" t="s">
        <v>260</v>
      </c>
      <c r="K47" s="147" t="s">
        <v>31</v>
      </c>
      <c r="L47" s="147" t="s">
        <v>31</v>
      </c>
      <c r="M47" s="147" t="s">
        <v>31</v>
      </c>
      <c r="N47" s="147" t="s">
        <v>31</v>
      </c>
      <c r="O47" s="147" t="s">
        <v>31</v>
      </c>
      <c r="P47" s="147" t="s">
        <v>31</v>
      </c>
      <c r="Q47" s="136"/>
      <c r="R47" s="136"/>
      <c r="S47" s="136"/>
      <c r="T47" s="195" t="s">
        <v>203</v>
      </c>
      <c r="U47" s="194">
        <v>10.25</v>
      </c>
      <c r="V47" s="188">
        <v>1.2727272727272729E-2</v>
      </c>
      <c r="W47" s="187" t="s">
        <v>259</v>
      </c>
      <c r="X47" s="189" t="s">
        <v>260</v>
      </c>
      <c r="Y47" s="189" t="s">
        <v>260</v>
      </c>
      <c r="Z47" s="189" t="s">
        <v>260</v>
      </c>
      <c r="AA47" s="189" t="s">
        <v>260</v>
      </c>
      <c r="AB47" s="189" t="s">
        <v>260</v>
      </c>
      <c r="AC47" s="189" t="s">
        <v>260</v>
      </c>
      <c r="AD47" s="190" t="s">
        <v>31</v>
      </c>
      <c r="AE47" s="190" t="s">
        <v>31</v>
      </c>
      <c r="AF47" s="190" t="s">
        <v>31</v>
      </c>
      <c r="AG47" s="190" t="s">
        <v>31</v>
      </c>
      <c r="AH47" s="190" t="s">
        <v>31</v>
      </c>
      <c r="AI47" s="190" t="s">
        <v>31</v>
      </c>
      <c r="AJ47" s="184"/>
      <c r="AL47" s="210" t="s">
        <v>203</v>
      </c>
      <c r="AM47" s="209">
        <v>11.75</v>
      </c>
      <c r="AN47" s="203">
        <v>1.2999999999999999E-2</v>
      </c>
      <c r="AO47" s="202" t="s">
        <v>259</v>
      </c>
      <c r="AP47" s="204" t="s">
        <v>260</v>
      </c>
      <c r="AQ47" s="204" t="s">
        <v>260</v>
      </c>
      <c r="AR47" s="204" t="s">
        <v>260</v>
      </c>
      <c r="AS47" s="204" t="s">
        <v>260</v>
      </c>
      <c r="AT47" s="204" t="s">
        <v>260</v>
      </c>
      <c r="AU47" s="205" t="s">
        <v>31</v>
      </c>
      <c r="AV47" s="205" t="s">
        <v>31</v>
      </c>
      <c r="AW47" s="205" t="s">
        <v>31</v>
      </c>
      <c r="AX47" s="205" t="s">
        <v>31</v>
      </c>
      <c r="AY47" s="205" t="s">
        <v>31</v>
      </c>
      <c r="AZ47" s="205" t="s">
        <v>31</v>
      </c>
      <c r="BA47" s="205" t="s">
        <v>31</v>
      </c>
      <c r="BB47" s="199"/>
    </row>
    <row r="48" spans="1:54" x14ac:dyDescent="0.25">
      <c r="A48" s="155" t="s">
        <v>203</v>
      </c>
      <c r="B48" s="140">
        <v>12</v>
      </c>
      <c r="C48" s="143">
        <v>1.2500000000000001E-2</v>
      </c>
      <c r="D48" s="145" t="s">
        <v>259</v>
      </c>
      <c r="E48" s="146" t="s">
        <v>260</v>
      </c>
      <c r="F48" s="146" t="s">
        <v>260</v>
      </c>
      <c r="G48" s="146" t="s">
        <v>260</v>
      </c>
      <c r="H48" s="146" t="s">
        <v>260</v>
      </c>
      <c r="I48" s="146" t="s">
        <v>260</v>
      </c>
      <c r="J48" s="147" t="s">
        <v>31</v>
      </c>
      <c r="K48" s="147" t="s">
        <v>31</v>
      </c>
      <c r="L48" s="147" t="s">
        <v>31</v>
      </c>
      <c r="M48" s="147" t="s">
        <v>31</v>
      </c>
      <c r="N48" s="147" t="s">
        <v>31</v>
      </c>
      <c r="O48" s="147" t="s">
        <v>31</v>
      </c>
      <c r="P48" s="147" t="s">
        <v>31</v>
      </c>
      <c r="Q48" s="136"/>
      <c r="R48" s="136"/>
      <c r="S48" s="136"/>
      <c r="T48" s="195" t="s">
        <v>204</v>
      </c>
      <c r="U48" s="197">
        <v>15</v>
      </c>
      <c r="V48" s="196">
        <v>9.0322580645161297E-4</v>
      </c>
      <c r="W48" s="189" t="s">
        <v>260</v>
      </c>
      <c r="X48" s="189" t="s">
        <v>260</v>
      </c>
      <c r="Y48" s="189" t="s">
        <v>260</v>
      </c>
      <c r="Z48" s="189" t="s">
        <v>260</v>
      </c>
      <c r="AA48" s="190" t="s">
        <v>31</v>
      </c>
      <c r="AB48" s="190" t="s">
        <v>31</v>
      </c>
      <c r="AC48" s="190" t="s">
        <v>31</v>
      </c>
      <c r="AD48" s="190" t="s">
        <v>31</v>
      </c>
      <c r="AE48" s="190" t="s">
        <v>31</v>
      </c>
      <c r="AF48" s="191" t="s">
        <v>261</v>
      </c>
      <c r="AG48" s="191" t="s">
        <v>261</v>
      </c>
      <c r="AH48" s="191" t="s">
        <v>261</v>
      </c>
      <c r="AI48" s="191" t="s">
        <v>33</v>
      </c>
      <c r="AJ48" s="184"/>
      <c r="AL48" s="210" t="s">
        <v>203</v>
      </c>
      <c r="AM48" s="209">
        <v>13.75</v>
      </c>
      <c r="AN48" s="203">
        <v>1.2999999999999999E-2</v>
      </c>
      <c r="AO48" s="202" t="s">
        <v>259</v>
      </c>
      <c r="AP48" s="204" t="s">
        <v>260</v>
      </c>
      <c r="AQ48" s="204" t="s">
        <v>260</v>
      </c>
      <c r="AR48" s="204" t="s">
        <v>260</v>
      </c>
      <c r="AS48" s="204" t="s">
        <v>260</v>
      </c>
      <c r="AT48" s="205" t="s">
        <v>31</v>
      </c>
      <c r="AU48" s="205" t="s">
        <v>31</v>
      </c>
      <c r="AV48" s="205" t="s">
        <v>31</v>
      </c>
      <c r="AW48" s="205" t="s">
        <v>31</v>
      </c>
      <c r="AX48" s="205" t="s">
        <v>31</v>
      </c>
      <c r="AY48" s="206" t="s">
        <v>261</v>
      </c>
      <c r="AZ48" s="206" t="s">
        <v>261</v>
      </c>
      <c r="BA48" s="206" t="s">
        <v>33</v>
      </c>
      <c r="BB48" s="199"/>
    </row>
    <row r="49" spans="1:54" x14ac:dyDescent="0.25">
      <c r="A49" s="155" t="s">
        <v>203</v>
      </c>
      <c r="B49" s="140">
        <v>13.5</v>
      </c>
      <c r="C49" s="143">
        <v>1.2500000000000001E-2</v>
      </c>
      <c r="D49" s="145" t="s">
        <v>259</v>
      </c>
      <c r="E49" s="146" t="s">
        <v>260</v>
      </c>
      <c r="F49" s="146" t="s">
        <v>260</v>
      </c>
      <c r="G49" s="146" t="s">
        <v>260</v>
      </c>
      <c r="H49" s="146" t="s">
        <v>260</v>
      </c>
      <c r="I49" s="147" t="s">
        <v>31</v>
      </c>
      <c r="J49" s="147" t="s">
        <v>31</v>
      </c>
      <c r="K49" s="147" t="s">
        <v>31</v>
      </c>
      <c r="L49" s="147" t="s">
        <v>31</v>
      </c>
      <c r="M49" s="147" t="s">
        <v>31</v>
      </c>
      <c r="N49" s="147" t="s">
        <v>31</v>
      </c>
      <c r="O49" s="148" t="s">
        <v>261</v>
      </c>
      <c r="P49" s="148" t="s">
        <v>33</v>
      </c>
      <c r="Q49" s="136"/>
      <c r="R49" s="136"/>
      <c r="S49" s="136"/>
      <c r="T49" s="195" t="s">
        <v>204</v>
      </c>
      <c r="U49" s="197">
        <v>20</v>
      </c>
      <c r="V49" s="196">
        <v>9.0322580645161297E-4</v>
      </c>
      <c r="W49" s="189" t="s">
        <v>260</v>
      </c>
      <c r="X49" s="189" t="s">
        <v>260</v>
      </c>
      <c r="Y49" s="189" t="s">
        <v>260</v>
      </c>
      <c r="Z49" s="190" t="s">
        <v>31</v>
      </c>
      <c r="AA49" s="190" t="s">
        <v>31</v>
      </c>
      <c r="AB49" s="190" t="s">
        <v>31</v>
      </c>
      <c r="AC49" s="190" t="s">
        <v>31</v>
      </c>
      <c r="AD49" s="191" t="s">
        <v>261</v>
      </c>
      <c r="AE49" s="191" t="s">
        <v>261</v>
      </c>
      <c r="AF49" s="191" t="s">
        <v>261</v>
      </c>
      <c r="AG49" s="191" t="s">
        <v>261</v>
      </c>
      <c r="AH49" s="191" t="s">
        <v>261</v>
      </c>
      <c r="AI49" s="191" t="s">
        <v>33</v>
      </c>
      <c r="AJ49" s="184"/>
      <c r="AL49" s="210" t="s">
        <v>203</v>
      </c>
      <c r="AM49" s="209">
        <v>15.75</v>
      </c>
      <c r="AN49" s="203">
        <v>1.2999999999999999E-2</v>
      </c>
      <c r="AO49" s="204" t="s">
        <v>260</v>
      </c>
      <c r="AP49" s="204" t="s">
        <v>260</v>
      </c>
      <c r="AQ49" s="204" t="s">
        <v>260</v>
      </c>
      <c r="AR49" s="204" t="s">
        <v>260</v>
      </c>
      <c r="AS49" s="205" t="s">
        <v>31</v>
      </c>
      <c r="AT49" s="205" t="s">
        <v>31</v>
      </c>
      <c r="AU49" s="205" t="s">
        <v>31</v>
      </c>
      <c r="AV49" s="205" t="s">
        <v>31</v>
      </c>
      <c r="AW49" s="205" t="s">
        <v>31</v>
      </c>
      <c r="AX49" s="206" t="s">
        <v>261</v>
      </c>
      <c r="AY49" s="206" t="s">
        <v>261</v>
      </c>
      <c r="AZ49" s="206" t="s">
        <v>261</v>
      </c>
      <c r="BA49" s="206" t="s">
        <v>33</v>
      </c>
      <c r="BB49" s="199"/>
    </row>
    <row r="50" spans="1:54" x14ac:dyDescent="0.25">
      <c r="A50" s="155" t="s">
        <v>203</v>
      </c>
      <c r="B50" s="140">
        <v>15</v>
      </c>
      <c r="C50" s="143">
        <v>1.2500000000000001E-2</v>
      </c>
      <c r="D50" s="146" t="s">
        <v>260</v>
      </c>
      <c r="E50" s="146" t="s">
        <v>260</v>
      </c>
      <c r="F50" s="146" t="s">
        <v>260</v>
      </c>
      <c r="G50" s="146" t="s">
        <v>260</v>
      </c>
      <c r="H50" s="147" t="s">
        <v>31</v>
      </c>
      <c r="I50" s="147" t="s">
        <v>31</v>
      </c>
      <c r="J50" s="147" t="s">
        <v>31</v>
      </c>
      <c r="K50" s="147" t="s">
        <v>31</v>
      </c>
      <c r="L50" s="147" t="s">
        <v>31</v>
      </c>
      <c r="M50" s="148" t="s">
        <v>261</v>
      </c>
      <c r="N50" s="148" t="s">
        <v>261</v>
      </c>
      <c r="O50" s="148" t="s">
        <v>261</v>
      </c>
      <c r="P50" s="148" t="s">
        <v>33</v>
      </c>
      <c r="Q50" s="136"/>
      <c r="R50" s="136"/>
      <c r="S50" s="136"/>
      <c r="T50" s="195" t="s">
        <v>204</v>
      </c>
      <c r="U50" s="197">
        <v>25</v>
      </c>
      <c r="V50" s="196">
        <v>9.0322580645161297E-4</v>
      </c>
      <c r="W50" s="189" t="s">
        <v>260</v>
      </c>
      <c r="X50" s="189" t="s">
        <v>260</v>
      </c>
      <c r="Y50" s="190" t="s">
        <v>31</v>
      </c>
      <c r="Z50" s="190" t="s">
        <v>31</v>
      </c>
      <c r="AA50" s="190" t="s">
        <v>31</v>
      </c>
      <c r="AB50" s="191" t="s">
        <v>261</v>
      </c>
      <c r="AC50" s="191" t="s">
        <v>261</v>
      </c>
      <c r="AD50" s="191" t="s">
        <v>261</v>
      </c>
      <c r="AE50" s="191" t="s">
        <v>261</v>
      </c>
      <c r="AF50" s="191" t="s">
        <v>261</v>
      </c>
      <c r="AG50" s="191" t="s">
        <v>261</v>
      </c>
      <c r="AH50" s="191" t="s">
        <v>261</v>
      </c>
      <c r="AI50" s="191" t="s">
        <v>33</v>
      </c>
      <c r="AJ50" s="184"/>
      <c r="AL50" s="210" t="s">
        <v>203</v>
      </c>
      <c r="AM50" s="209">
        <v>17.75</v>
      </c>
      <c r="AN50" s="203">
        <v>1.2999999999999999E-2</v>
      </c>
      <c r="AO50" s="204" t="s">
        <v>260</v>
      </c>
      <c r="AP50" s="204" t="s">
        <v>260</v>
      </c>
      <c r="AQ50" s="204" t="s">
        <v>260</v>
      </c>
      <c r="AR50" s="204" t="s">
        <v>260</v>
      </c>
      <c r="AS50" s="205" t="s">
        <v>31</v>
      </c>
      <c r="AT50" s="205" t="s">
        <v>31</v>
      </c>
      <c r="AU50" s="205" t="s">
        <v>31</v>
      </c>
      <c r="AV50" s="205" t="s">
        <v>31</v>
      </c>
      <c r="AW50" s="206" t="s">
        <v>261</v>
      </c>
      <c r="AX50" s="206" t="s">
        <v>261</v>
      </c>
      <c r="AY50" s="206" t="s">
        <v>261</v>
      </c>
      <c r="AZ50" s="206" t="s">
        <v>261</v>
      </c>
      <c r="BA50" s="206" t="s">
        <v>33</v>
      </c>
      <c r="BB50" s="199"/>
    </row>
    <row r="51" spans="1:54" x14ac:dyDescent="0.25">
      <c r="A51" s="155" t="s">
        <v>204</v>
      </c>
      <c r="B51" s="140">
        <v>15</v>
      </c>
      <c r="C51" s="143">
        <v>1.2903225806451611E-3</v>
      </c>
      <c r="D51" s="146" t="s">
        <v>260</v>
      </c>
      <c r="E51" s="146" t="s">
        <v>260</v>
      </c>
      <c r="F51" s="146" t="s">
        <v>260</v>
      </c>
      <c r="G51" s="146" t="s">
        <v>260</v>
      </c>
      <c r="H51" s="147" t="s">
        <v>31</v>
      </c>
      <c r="I51" s="147" t="s">
        <v>31</v>
      </c>
      <c r="J51" s="147" t="s">
        <v>31</v>
      </c>
      <c r="K51" s="147" t="s">
        <v>31</v>
      </c>
      <c r="L51" s="147" t="s">
        <v>31</v>
      </c>
      <c r="M51" s="148" t="s">
        <v>261</v>
      </c>
      <c r="N51" s="148" t="s">
        <v>261</v>
      </c>
      <c r="O51" s="148" t="s">
        <v>261</v>
      </c>
      <c r="P51" s="148" t="s">
        <v>33</v>
      </c>
      <c r="Q51" s="136"/>
      <c r="R51" s="136"/>
      <c r="S51" s="136"/>
      <c r="T51" s="195" t="s">
        <v>204</v>
      </c>
      <c r="U51" s="197">
        <v>30</v>
      </c>
      <c r="V51" s="196">
        <v>9.0322580645161297E-4</v>
      </c>
      <c r="W51" s="189" t="s">
        <v>260</v>
      </c>
      <c r="X51" s="189" t="s">
        <v>260</v>
      </c>
      <c r="Y51" s="190" t="s">
        <v>31</v>
      </c>
      <c r="Z51" s="190" t="s">
        <v>31</v>
      </c>
      <c r="AA51" s="191" t="s">
        <v>261</v>
      </c>
      <c r="AB51" s="191" t="s">
        <v>261</v>
      </c>
      <c r="AC51" s="191" t="s">
        <v>261</v>
      </c>
      <c r="AD51" s="191" t="s">
        <v>261</v>
      </c>
      <c r="AE51" s="191" t="s">
        <v>261</v>
      </c>
      <c r="AF51" s="191" t="s">
        <v>261</v>
      </c>
      <c r="AG51" s="191" t="s">
        <v>261</v>
      </c>
      <c r="AH51" s="191" t="s">
        <v>261</v>
      </c>
      <c r="AI51" s="191" t="s">
        <v>33</v>
      </c>
      <c r="AJ51" s="184"/>
      <c r="AL51" s="210" t="s">
        <v>203</v>
      </c>
      <c r="AM51" s="209">
        <v>19.25</v>
      </c>
      <c r="AN51" s="203">
        <v>1.2999999999999999E-2</v>
      </c>
      <c r="AO51" s="204" t="s">
        <v>260</v>
      </c>
      <c r="AP51" s="204" t="s">
        <v>260</v>
      </c>
      <c r="AQ51" s="204" t="s">
        <v>260</v>
      </c>
      <c r="AR51" s="205" t="s">
        <v>31</v>
      </c>
      <c r="AS51" s="205" t="s">
        <v>31</v>
      </c>
      <c r="AT51" s="205" t="s">
        <v>31</v>
      </c>
      <c r="AU51" s="205" t="s">
        <v>31</v>
      </c>
      <c r="AV51" s="206" t="s">
        <v>261</v>
      </c>
      <c r="AW51" s="206" t="s">
        <v>261</v>
      </c>
      <c r="AX51" s="206" t="s">
        <v>261</v>
      </c>
      <c r="AY51" s="206" t="s">
        <v>261</v>
      </c>
      <c r="AZ51" s="206" t="s">
        <v>261</v>
      </c>
      <c r="BA51" s="206" t="s">
        <v>33</v>
      </c>
      <c r="BB51" s="199"/>
    </row>
    <row r="52" spans="1:54" x14ac:dyDescent="0.25">
      <c r="A52" s="155" t="s">
        <v>204</v>
      </c>
      <c r="B52" s="140">
        <v>20</v>
      </c>
      <c r="C52" s="143">
        <v>1.2903225806451611E-3</v>
      </c>
      <c r="D52" s="146" t="s">
        <v>260</v>
      </c>
      <c r="E52" s="146" t="s">
        <v>260</v>
      </c>
      <c r="F52" s="146" t="s">
        <v>260</v>
      </c>
      <c r="G52" s="147" t="s">
        <v>31</v>
      </c>
      <c r="H52" s="147" t="s">
        <v>31</v>
      </c>
      <c r="I52" s="147" t="s">
        <v>31</v>
      </c>
      <c r="J52" s="147" t="s">
        <v>31</v>
      </c>
      <c r="K52" s="148" t="s">
        <v>261</v>
      </c>
      <c r="L52" s="148" t="s">
        <v>261</v>
      </c>
      <c r="M52" s="148" t="s">
        <v>261</v>
      </c>
      <c r="N52" s="148" t="s">
        <v>261</v>
      </c>
      <c r="O52" s="148" t="s">
        <v>261</v>
      </c>
      <c r="P52" s="148" t="s">
        <v>33</v>
      </c>
      <c r="Q52" s="136"/>
      <c r="R52" s="136"/>
      <c r="S52" s="136"/>
      <c r="T52" s="195" t="s">
        <v>205</v>
      </c>
      <c r="U52" s="197">
        <v>50</v>
      </c>
      <c r="V52" s="196">
        <v>6.9306930693069301E-5</v>
      </c>
      <c r="W52" s="189" t="s">
        <v>260</v>
      </c>
      <c r="X52" s="190" t="s">
        <v>31</v>
      </c>
      <c r="Y52" s="191" t="s">
        <v>261</v>
      </c>
      <c r="Z52" s="191" t="s">
        <v>261</v>
      </c>
      <c r="AA52" s="191" t="s">
        <v>261</v>
      </c>
      <c r="AB52" s="191" t="s">
        <v>261</v>
      </c>
      <c r="AC52" s="191" t="s">
        <v>261</v>
      </c>
      <c r="AD52" s="191" t="s">
        <v>261</v>
      </c>
      <c r="AE52" s="191" t="s">
        <v>261</v>
      </c>
      <c r="AF52" s="191" t="s">
        <v>261</v>
      </c>
      <c r="AG52" s="191" t="s">
        <v>261</v>
      </c>
      <c r="AH52" s="191" t="s">
        <v>261</v>
      </c>
      <c r="AI52" s="191" t="s">
        <v>33</v>
      </c>
      <c r="AJ52" s="184"/>
      <c r="AL52" s="210" t="s">
        <v>204</v>
      </c>
      <c r="AM52" s="212">
        <v>15</v>
      </c>
      <c r="AN52" s="211">
        <v>1.6774193548387099E-3</v>
      </c>
      <c r="AO52" s="204" t="s">
        <v>260</v>
      </c>
      <c r="AP52" s="204" t="s">
        <v>260</v>
      </c>
      <c r="AQ52" s="204" t="s">
        <v>260</v>
      </c>
      <c r="AR52" s="204" t="s">
        <v>260</v>
      </c>
      <c r="AS52" s="205" t="s">
        <v>31</v>
      </c>
      <c r="AT52" s="205" t="s">
        <v>31</v>
      </c>
      <c r="AU52" s="205" t="s">
        <v>31</v>
      </c>
      <c r="AV52" s="205" t="s">
        <v>31</v>
      </c>
      <c r="AW52" s="205" t="s">
        <v>31</v>
      </c>
      <c r="AX52" s="206" t="s">
        <v>261</v>
      </c>
      <c r="AY52" s="206" t="s">
        <v>261</v>
      </c>
      <c r="AZ52" s="206" t="s">
        <v>261</v>
      </c>
      <c r="BA52" s="206" t="s">
        <v>33</v>
      </c>
      <c r="BB52" s="199"/>
    </row>
    <row r="53" spans="1:54" x14ac:dyDescent="0.25">
      <c r="A53" s="155" t="s">
        <v>204</v>
      </c>
      <c r="B53" s="140">
        <v>25</v>
      </c>
      <c r="C53" s="143">
        <v>1.2903225806451611E-3</v>
      </c>
      <c r="D53" s="146" t="s">
        <v>260</v>
      </c>
      <c r="E53" s="146" t="s">
        <v>260</v>
      </c>
      <c r="F53" s="147" t="s">
        <v>31</v>
      </c>
      <c r="G53" s="147" t="s">
        <v>31</v>
      </c>
      <c r="H53" s="147" t="s">
        <v>31</v>
      </c>
      <c r="I53" s="148" t="s">
        <v>261</v>
      </c>
      <c r="J53" s="148" t="s">
        <v>261</v>
      </c>
      <c r="K53" s="148" t="s">
        <v>261</v>
      </c>
      <c r="L53" s="148" t="s">
        <v>261</v>
      </c>
      <c r="M53" s="148" t="s">
        <v>261</v>
      </c>
      <c r="N53" s="148" t="s">
        <v>261</v>
      </c>
      <c r="O53" s="148" t="s">
        <v>261</v>
      </c>
      <c r="P53" s="148" t="s">
        <v>33</v>
      </c>
      <c r="Q53" s="136"/>
      <c r="R53" s="136"/>
      <c r="S53" s="136"/>
      <c r="T53" s="195" t="s">
        <v>205</v>
      </c>
      <c r="U53" s="197">
        <v>75</v>
      </c>
      <c r="V53" s="196">
        <v>6.9306930693069301E-5</v>
      </c>
      <c r="W53" s="190" t="s">
        <v>31</v>
      </c>
      <c r="X53" s="191" t="s">
        <v>261</v>
      </c>
      <c r="Y53" s="191" t="s">
        <v>261</v>
      </c>
      <c r="Z53" s="191" t="s">
        <v>261</v>
      </c>
      <c r="AA53" s="191" t="s">
        <v>261</v>
      </c>
      <c r="AB53" s="191" t="s">
        <v>261</v>
      </c>
      <c r="AC53" s="191" t="s">
        <v>261</v>
      </c>
      <c r="AD53" s="191" t="s">
        <v>261</v>
      </c>
      <c r="AE53" s="191" t="s">
        <v>261</v>
      </c>
      <c r="AF53" s="191" t="s">
        <v>261</v>
      </c>
      <c r="AG53" s="191" t="s">
        <v>261</v>
      </c>
      <c r="AH53" s="191" t="s">
        <v>261</v>
      </c>
      <c r="AI53" s="191" t="s">
        <v>33</v>
      </c>
      <c r="AJ53" s="184"/>
      <c r="AL53" s="210" t="s">
        <v>204</v>
      </c>
      <c r="AM53" s="212">
        <v>20</v>
      </c>
      <c r="AN53" s="211">
        <v>1.6774193548387099E-3</v>
      </c>
      <c r="AO53" s="204" t="s">
        <v>260</v>
      </c>
      <c r="AP53" s="204" t="s">
        <v>260</v>
      </c>
      <c r="AQ53" s="204" t="s">
        <v>260</v>
      </c>
      <c r="AR53" s="205" t="s">
        <v>31</v>
      </c>
      <c r="AS53" s="205" t="s">
        <v>31</v>
      </c>
      <c r="AT53" s="205" t="s">
        <v>31</v>
      </c>
      <c r="AU53" s="205" t="s">
        <v>31</v>
      </c>
      <c r="AV53" s="206" t="s">
        <v>261</v>
      </c>
      <c r="AW53" s="206" t="s">
        <v>261</v>
      </c>
      <c r="AX53" s="206" t="s">
        <v>261</v>
      </c>
      <c r="AY53" s="206" t="s">
        <v>261</v>
      </c>
      <c r="AZ53" s="206" t="s">
        <v>261</v>
      </c>
      <c r="BA53" s="206" t="s">
        <v>33</v>
      </c>
      <c r="BB53" s="199"/>
    </row>
    <row r="54" spans="1:54" x14ac:dyDescent="0.25">
      <c r="A54" s="155" t="s">
        <v>204</v>
      </c>
      <c r="B54" s="140">
        <v>30</v>
      </c>
      <c r="C54" s="143">
        <v>1.2903225806451611E-3</v>
      </c>
      <c r="D54" s="146" t="s">
        <v>260</v>
      </c>
      <c r="E54" s="146" t="s">
        <v>260</v>
      </c>
      <c r="F54" s="147" t="s">
        <v>31</v>
      </c>
      <c r="G54" s="147" t="s">
        <v>31</v>
      </c>
      <c r="H54" s="148" t="s">
        <v>261</v>
      </c>
      <c r="I54" s="148" t="s">
        <v>261</v>
      </c>
      <c r="J54" s="148" t="s">
        <v>261</v>
      </c>
      <c r="K54" s="148" t="s">
        <v>261</v>
      </c>
      <c r="L54" s="148" t="s">
        <v>261</v>
      </c>
      <c r="M54" s="148" t="s">
        <v>261</v>
      </c>
      <c r="N54" s="148" t="s">
        <v>261</v>
      </c>
      <c r="O54" s="148" t="s">
        <v>261</v>
      </c>
      <c r="P54" s="148" t="s">
        <v>33</v>
      </c>
      <c r="Q54" s="136"/>
      <c r="R54" s="136"/>
      <c r="S54" s="136"/>
      <c r="T54" s="195" t="s">
        <v>205</v>
      </c>
      <c r="U54" s="197">
        <v>100</v>
      </c>
      <c r="V54" s="196">
        <v>6.9306930693069301E-5</v>
      </c>
      <c r="W54" s="190" t="s">
        <v>31</v>
      </c>
      <c r="X54" s="191" t="s">
        <v>261</v>
      </c>
      <c r="Y54" s="191" t="s">
        <v>261</v>
      </c>
      <c r="Z54" s="191" t="s">
        <v>261</v>
      </c>
      <c r="AA54" s="191" t="s">
        <v>261</v>
      </c>
      <c r="AB54" s="191" t="s">
        <v>261</v>
      </c>
      <c r="AC54" s="191" t="s">
        <v>261</v>
      </c>
      <c r="AD54" s="191" t="s">
        <v>261</v>
      </c>
      <c r="AE54" s="191" t="s">
        <v>261</v>
      </c>
      <c r="AF54" s="191" t="s">
        <v>261</v>
      </c>
      <c r="AG54" s="191" t="s">
        <v>261</v>
      </c>
      <c r="AH54" s="191" t="s">
        <v>261</v>
      </c>
      <c r="AI54" s="191" t="s">
        <v>33</v>
      </c>
      <c r="AJ54" s="184"/>
      <c r="AL54" s="210" t="s">
        <v>204</v>
      </c>
      <c r="AM54" s="212">
        <v>25</v>
      </c>
      <c r="AN54" s="211">
        <v>1.6774193548387099E-3</v>
      </c>
      <c r="AO54" s="204" t="s">
        <v>260</v>
      </c>
      <c r="AP54" s="204" t="s">
        <v>260</v>
      </c>
      <c r="AQ54" s="205" t="s">
        <v>31</v>
      </c>
      <c r="AR54" s="205" t="s">
        <v>31</v>
      </c>
      <c r="AS54" s="205" t="s">
        <v>31</v>
      </c>
      <c r="AT54" s="206" t="s">
        <v>261</v>
      </c>
      <c r="AU54" s="206" t="s">
        <v>261</v>
      </c>
      <c r="AV54" s="206" t="s">
        <v>261</v>
      </c>
      <c r="AW54" s="206" t="s">
        <v>261</v>
      </c>
      <c r="AX54" s="206" t="s">
        <v>261</v>
      </c>
      <c r="AY54" s="206" t="s">
        <v>261</v>
      </c>
      <c r="AZ54" s="206" t="s">
        <v>261</v>
      </c>
      <c r="BA54" s="206" t="s">
        <v>33</v>
      </c>
      <c r="BB54" s="199"/>
    </row>
    <row r="55" spans="1:54" x14ac:dyDescent="0.25">
      <c r="A55" s="155" t="s">
        <v>205</v>
      </c>
      <c r="B55" s="140">
        <v>50</v>
      </c>
      <c r="C55" s="143">
        <v>9.9009900990099017E-5</v>
      </c>
      <c r="D55" s="146" t="s">
        <v>260</v>
      </c>
      <c r="E55" s="147" t="s">
        <v>31</v>
      </c>
      <c r="F55" s="148" t="s">
        <v>261</v>
      </c>
      <c r="G55" s="148" t="s">
        <v>261</v>
      </c>
      <c r="H55" s="148" t="s">
        <v>261</v>
      </c>
      <c r="I55" s="148" t="s">
        <v>261</v>
      </c>
      <c r="J55" s="148" t="s">
        <v>261</v>
      </c>
      <c r="K55" s="148" t="s">
        <v>261</v>
      </c>
      <c r="L55" s="148" t="s">
        <v>261</v>
      </c>
      <c r="M55" s="148" t="s">
        <v>261</v>
      </c>
      <c r="N55" s="148" t="s">
        <v>261</v>
      </c>
      <c r="O55" s="148" t="s">
        <v>261</v>
      </c>
      <c r="P55" s="148" t="s">
        <v>33</v>
      </c>
      <c r="Q55" s="136"/>
      <c r="R55" s="136"/>
      <c r="S55" s="136"/>
      <c r="T55" s="184"/>
      <c r="U55" s="184"/>
      <c r="V55" s="184"/>
      <c r="W55" s="184"/>
      <c r="X55" s="184"/>
      <c r="Y55" s="184"/>
      <c r="Z55" s="184"/>
      <c r="AA55" s="184"/>
      <c r="AB55" s="184"/>
      <c r="AC55" s="184"/>
      <c r="AD55" s="184"/>
      <c r="AE55" s="184"/>
      <c r="AF55" s="184"/>
      <c r="AG55" s="184"/>
      <c r="AH55" s="184"/>
      <c r="AI55" s="184"/>
      <c r="AJ55" s="184"/>
      <c r="AL55" s="210" t="s">
        <v>204</v>
      </c>
      <c r="AM55" s="212">
        <v>30</v>
      </c>
      <c r="AN55" s="211">
        <v>1.6774193548387099E-3</v>
      </c>
      <c r="AO55" s="204" t="s">
        <v>260</v>
      </c>
      <c r="AP55" s="204" t="s">
        <v>260</v>
      </c>
      <c r="AQ55" s="205" t="s">
        <v>31</v>
      </c>
      <c r="AR55" s="205" t="s">
        <v>31</v>
      </c>
      <c r="AS55" s="206" t="s">
        <v>261</v>
      </c>
      <c r="AT55" s="206" t="s">
        <v>261</v>
      </c>
      <c r="AU55" s="206" t="s">
        <v>261</v>
      </c>
      <c r="AV55" s="206" t="s">
        <v>261</v>
      </c>
      <c r="AW55" s="206" t="s">
        <v>261</v>
      </c>
      <c r="AX55" s="206" t="s">
        <v>261</v>
      </c>
      <c r="AY55" s="206" t="s">
        <v>261</v>
      </c>
      <c r="AZ55" s="206" t="s">
        <v>261</v>
      </c>
      <c r="BA55" s="206" t="s">
        <v>33</v>
      </c>
      <c r="BB55" s="199"/>
    </row>
    <row r="56" spans="1:54" x14ac:dyDescent="0.25">
      <c r="A56" s="155" t="s">
        <v>205</v>
      </c>
      <c r="B56" s="140">
        <v>75</v>
      </c>
      <c r="C56" s="143">
        <v>9.9009900990099017E-5</v>
      </c>
      <c r="D56" s="147" t="s">
        <v>31</v>
      </c>
      <c r="E56" s="148" t="s">
        <v>261</v>
      </c>
      <c r="F56" s="148" t="s">
        <v>261</v>
      </c>
      <c r="G56" s="148" t="s">
        <v>261</v>
      </c>
      <c r="H56" s="148" t="s">
        <v>261</v>
      </c>
      <c r="I56" s="148" t="s">
        <v>261</v>
      </c>
      <c r="J56" s="148" t="s">
        <v>261</v>
      </c>
      <c r="K56" s="148" t="s">
        <v>261</v>
      </c>
      <c r="L56" s="148" t="s">
        <v>261</v>
      </c>
      <c r="M56" s="148" t="s">
        <v>261</v>
      </c>
      <c r="N56" s="148" t="s">
        <v>261</v>
      </c>
      <c r="O56" s="148" t="s">
        <v>261</v>
      </c>
      <c r="P56" s="148" t="s">
        <v>33</v>
      </c>
      <c r="Q56" s="136"/>
      <c r="R56" s="136"/>
      <c r="S56" s="136"/>
      <c r="T56" s="184"/>
      <c r="U56" s="184"/>
      <c r="V56" s="184"/>
      <c r="W56" s="184"/>
      <c r="X56" s="184"/>
      <c r="Y56" s="184"/>
      <c r="Z56" s="184"/>
      <c r="AA56" s="184"/>
      <c r="AB56" s="184"/>
      <c r="AC56" s="184"/>
      <c r="AD56" s="184"/>
      <c r="AE56" s="184"/>
      <c r="AF56" s="184"/>
      <c r="AG56" s="184"/>
      <c r="AH56" s="184"/>
      <c r="AI56" s="184"/>
      <c r="AJ56" s="184"/>
      <c r="AL56" s="210" t="s">
        <v>205</v>
      </c>
      <c r="AM56" s="212">
        <v>50</v>
      </c>
      <c r="AN56" s="211">
        <v>1.2871287128712869E-4</v>
      </c>
      <c r="AO56" s="204" t="s">
        <v>260</v>
      </c>
      <c r="AP56" s="205" t="s">
        <v>31</v>
      </c>
      <c r="AQ56" s="206" t="s">
        <v>261</v>
      </c>
      <c r="AR56" s="206" t="s">
        <v>261</v>
      </c>
      <c r="AS56" s="206" t="s">
        <v>261</v>
      </c>
      <c r="AT56" s="206" t="s">
        <v>261</v>
      </c>
      <c r="AU56" s="206" t="s">
        <v>261</v>
      </c>
      <c r="AV56" s="206" t="s">
        <v>261</v>
      </c>
      <c r="AW56" s="206" t="s">
        <v>261</v>
      </c>
      <c r="AX56" s="206" t="s">
        <v>261</v>
      </c>
      <c r="AY56" s="206" t="s">
        <v>261</v>
      </c>
      <c r="AZ56" s="206" t="s">
        <v>261</v>
      </c>
      <c r="BA56" s="206" t="s">
        <v>33</v>
      </c>
      <c r="BB56" s="199"/>
    </row>
    <row r="57" spans="1:54" x14ac:dyDescent="0.25">
      <c r="A57" s="155" t="s">
        <v>205</v>
      </c>
      <c r="B57" s="140">
        <v>100</v>
      </c>
      <c r="C57" s="143">
        <v>9.9009900990099017E-5</v>
      </c>
      <c r="D57" s="147" t="s">
        <v>31</v>
      </c>
      <c r="E57" s="148" t="s">
        <v>261</v>
      </c>
      <c r="F57" s="148" t="s">
        <v>261</v>
      </c>
      <c r="G57" s="148" t="s">
        <v>261</v>
      </c>
      <c r="H57" s="148" t="s">
        <v>261</v>
      </c>
      <c r="I57" s="148" t="s">
        <v>261</v>
      </c>
      <c r="J57" s="148" t="s">
        <v>261</v>
      </c>
      <c r="K57" s="148" t="s">
        <v>261</v>
      </c>
      <c r="L57" s="148" t="s">
        <v>261</v>
      </c>
      <c r="M57" s="148" t="s">
        <v>261</v>
      </c>
      <c r="N57" s="148" t="s">
        <v>261</v>
      </c>
      <c r="O57" s="148" t="s">
        <v>261</v>
      </c>
      <c r="P57" s="148" t="s">
        <v>33</v>
      </c>
      <c r="Q57" s="136"/>
      <c r="R57" s="136"/>
      <c r="S57" s="136"/>
      <c r="T57" s="185" t="s">
        <v>262</v>
      </c>
      <c r="U57" s="184"/>
      <c r="V57" s="184"/>
      <c r="W57" s="184"/>
      <c r="X57" s="184"/>
      <c r="Y57" s="184"/>
      <c r="Z57" s="184"/>
      <c r="AA57" s="184"/>
      <c r="AB57" s="184"/>
      <c r="AC57" s="184"/>
      <c r="AD57" s="184"/>
      <c r="AE57" s="184"/>
      <c r="AF57" s="184"/>
      <c r="AG57" s="184"/>
      <c r="AH57" s="184"/>
      <c r="AI57" s="184"/>
      <c r="AJ57" s="184"/>
      <c r="AL57" s="210" t="s">
        <v>205</v>
      </c>
      <c r="AM57" s="212">
        <v>75</v>
      </c>
      <c r="AN57" s="211">
        <v>1.2871287128712869E-4</v>
      </c>
      <c r="AO57" s="205" t="s">
        <v>31</v>
      </c>
      <c r="AP57" s="206" t="s">
        <v>261</v>
      </c>
      <c r="AQ57" s="206" t="s">
        <v>261</v>
      </c>
      <c r="AR57" s="206" t="s">
        <v>261</v>
      </c>
      <c r="AS57" s="206" t="s">
        <v>261</v>
      </c>
      <c r="AT57" s="206" t="s">
        <v>261</v>
      </c>
      <c r="AU57" s="206" t="s">
        <v>261</v>
      </c>
      <c r="AV57" s="206" t="s">
        <v>261</v>
      </c>
      <c r="AW57" s="206" t="s">
        <v>261</v>
      </c>
      <c r="AX57" s="206" t="s">
        <v>261</v>
      </c>
      <c r="AY57" s="206" t="s">
        <v>261</v>
      </c>
      <c r="AZ57" s="206" t="s">
        <v>261</v>
      </c>
      <c r="BA57" s="206" t="s">
        <v>33</v>
      </c>
      <c r="BB57" s="199"/>
    </row>
    <row r="58" spans="1:54" x14ac:dyDescent="0.25">
      <c r="A58" s="152"/>
      <c r="B58" s="136"/>
      <c r="C58" s="138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86" t="s">
        <v>211</v>
      </c>
      <c r="U58" s="186" t="s">
        <v>263</v>
      </c>
      <c r="V58" s="186" t="s">
        <v>264</v>
      </c>
      <c r="W58" s="184"/>
      <c r="X58" s="184"/>
      <c r="Y58" s="184"/>
      <c r="Z58" s="184"/>
      <c r="AA58" s="184"/>
      <c r="AB58" s="184"/>
      <c r="AC58" s="184"/>
      <c r="AD58" s="184"/>
      <c r="AE58" s="184"/>
      <c r="AF58" s="184"/>
      <c r="AG58" s="184"/>
      <c r="AH58" s="184"/>
      <c r="AI58" s="184"/>
      <c r="AJ58" s="184"/>
      <c r="AL58" s="210" t="s">
        <v>205</v>
      </c>
      <c r="AM58" s="212">
        <v>100</v>
      </c>
      <c r="AN58" s="211">
        <v>1.2871287128712869E-4</v>
      </c>
      <c r="AO58" s="205" t="s">
        <v>31</v>
      </c>
      <c r="AP58" s="206" t="s">
        <v>261</v>
      </c>
      <c r="AQ58" s="206" t="s">
        <v>261</v>
      </c>
      <c r="AR58" s="206" t="s">
        <v>261</v>
      </c>
      <c r="AS58" s="206" t="s">
        <v>261</v>
      </c>
      <c r="AT58" s="206" t="s">
        <v>261</v>
      </c>
      <c r="AU58" s="206" t="s">
        <v>261</v>
      </c>
      <c r="AV58" s="206" t="s">
        <v>261</v>
      </c>
      <c r="AW58" s="206" t="s">
        <v>261</v>
      </c>
      <c r="AX58" s="206" t="s">
        <v>261</v>
      </c>
      <c r="AY58" s="206" t="s">
        <v>261</v>
      </c>
      <c r="AZ58" s="206" t="s">
        <v>261</v>
      </c>
      <c r="BA58" s="206" t="s">
        <v>33</v>
      </c>
      <c r="BB58" s="199"/>
    </row>
    <row r="59" spans="1:54" x14ac:dyDescent="0.25">
      <c r="A59" s="152"/>
      <c r="B59" s="136"/>
      <c r="C59" s="138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87" t="s">
        <v>26</v>
      </c>
      <c r="U59" s="195" t="s">
        <v>265</v>
      </c>
      <c r="V59" s="188">
        <v>0.47499999999999998</v>
      </c>
      <c r="W59" s="184"/>
      <c r="X59" s="184"/>
      <c r="Y59" s="184"/>
      <c r="Z59" s="184"/>
      <c r="AA59" s="184"/>
      <c r="AB59" s="184"/>
      <c r="AC59" s="184"/>
      <c r="AD59" s="184"/>
      <c r="AE59" s="184"/>
      <c r="AF59" s="184"/>
      <c r="AG59" s="184"/>
      <c r="AH59" s="184"/>
      <c r="AI59" s="184"/>
      <c r="AJ59" s="184"/>
      <c r="AL59" s="199"/>
      <c r="AM59" s="199"/>
      <c r="AN59" s="199"/>
      <c r="AO59" s="199"/>
      <c r="AP59" s="199"/>
      <c r="AQ59" s="199"/>
      <c r="AR59" s="199"/>
      <c r="AS59" s="199"/>
      <c r="AT59" s="199"/>
      <c r="AU59" s="199"/>
      <c r="AV59" s="199"/>
      <c r="AW59" s="199"/>
      <c r="AX59" s="199"/>
      <c r="AY59" s="199"/>
      <c r="AZ59" s="199"/>
      <c r="BA59" s="199"/>
      <c r="BB59" s="199"/>
    </row>
    <row r="60" spans="1:54" x14ac:dyDescent="0.25">
      <c r="A60" s="153" t="s">
        <v>262</v>
      </c>
      <c r="B60" s="136"/>
      <c r="C60" s="138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89" t="s">
        <v>30</v>
      </c>
      <c r="U60" s="195" t="s">
        <v>266</v>
      </c>
      <c r="V60" s="188">
        <v>0.37545454545454549</v>
      </c>
      <c r="W60" s="184"/>
      <c r="X60" s="184"/>
      <c r="Y60" s="184"/>
      <c r="Z60" s="184"/>
      <c r="AA60" s="184"/>
      <c r="AB60" s="184"/>
      <c r="AC60" s="184"/>
      <c r="AD60" s="184"/>
      <c r="AE60" s="184"/>
      <c r="AF60" s="184"/>
      <c r="AG60" s="184"/>
      <c r="AH60" s="184"/>
      <c r="AI60" s="184"/>
      <c r="AJ60" s="184"/>
      <c r="AL60" s="199"/>
      <c r="AM60" s="199"/>
      <c r="AN60" s="199"/>
      <c r="AO60" s="199"/>
      <c r="AP60" s="199"/>
      <c r="AQ60" s="199"/>
      <c r="AR60" s="199"/>
      <c r="AS60" s="199"/>
      <c r="AT60" s="199"/>
      <c r="AU60" s="199"/>
      <c r="AV60" s="199"/>
      <c r="AW60" s="199"/>
      <c r="AX60" s="199"/>
      <c r="AY60" s="199"/>
      <c r="AZ60" s="199"/>
      <c r="BA60" s="199"/>
      <c r="BB60" s="199"/>
    </row>
    <row r="61" spans="1:54" x14ac:dyDescent="0.25">
      <c r="A61" s="154" t="s">
        <v>211</v>
      </c>
      <c r="B61" s="139" t="s">
        <v>263</v>
      </c>
      <c r="C61" s="149" t="s">
        <v>264</v>
      </c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90" t="s">
        <v>31</v>
      </c>
      <c r="U61" s="195" t="s">
        <v>267</v>
      </c>
      <c r="V61" s="188">
        <v>0.11454545454545451</v>
      </c>
      <c r="W61" s="184"/>
      <c r="X61" s="184"/>
      <c r="Y61" s="184"/>
      <c r="Z61" s="184"/>
      <c r="AA61" s="184"/>
      <c r="AB61" s="184"/>
      <c r="AC61" s="184"/>
      <c r="AD61" s="184"/>
      <c r="AE61" s="184"/>
      <c r="AF61" s="184"/>
      <c r="AG61" s="184"/>
      <c r="AH61" s="184"/>
      <c r="AI61" s="184"/>
      <c r="AJ61" s="184"/>
      <c r="AL61" s="200" t="s">
        <v>262</v>
      </c>
      <c r="AM61" s="199"/>
      <c r="AN61" s="199"/>
      <c r="AO61" s="199"/>
      <c r="AP61" s="199"/>
      <c r="AQ61" s="199"/>
      <c r="AR61" s="199"/>
      <c r="AS61" s="199"/>
      <c r="AT61" s="199"/>
      <c r="AU61" s="199"/>
      <c r="AV61" s="199"/>
      <c r="AW61" s="199"/>
      <c r="AX61" s="199"/>
      <c r="AY61" s="199"/>
      <c r="AZ61" s="199"/>
      <c r="BA61" s="199"/>
      <c r="BB61" s="199"/>
    </row>
    <row r="62" spans="1:54" x14ac:dyDescent="0.25">
      <c r="A62" s="156" t="s">
        <v>26</v>
      </c>
      <c r="B62" s="140" t="s">
        <v>268</v>
      </c>
      <c r="C62" s="141">
        <v>0.3</v>
      </c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91" t="s">
        <v>33</v>
      </c>
      <c r="U62" s="195" t="s">
        <v>269</v>
      </c>
      <c r="V62" s="188">
        <v>3.5000000000000017E-2</v>
      </c>
      <c r="W62" s="184"/>
      <c r="X62" s="184"/>
      <c r="Y62" s="184"/>
      <c r="Z62" s="184"/>
      <c r="AA62" s="184"/>
      <c r="AB62" s="184"/>
      <c r="AC62" s="184"/>
      <c r="AD62" s="184"/>
      <c r="AE62" s="184"/>
      <c r="AF62" s="184"/>
      <c r="AG62" s="184"/>
      <c r="AH62" s="184"/>
      <c r="AI62" s="184"/>
      <c r="AJ62" s="184"/>
      <c r="AL62" s="201" t="s">
        <v>211</v>
      </c>
      <c r="AM62" s="201" t="s">
        <v>263</v>
      </c>
      <c r="AN62" s="201" t="s">
        <v>264</v>
      </c>
      <c r="AO62" s="199"/>
      <c r="AP62" s="199"/>
      <c r="AQ62" s="199"/>
      <c r="AR62" s="199"/>
      <c r="AS62" s="199"/>
      <c r="AT62" s="199"/>
      <c r="AU62" s="199"/>
      <c r="AV62" s="199"/>
      <c r="AW62" s="199"/>
      <c r="AX62" s="199"/>
      <c r="AY62" s="199"/>
      <c r="AZ62" s="199"/>
      <c r="BA62" s="199"/>
      <c r="BB62" s="199"/>
    </row>
    <row r="63" spans="1:54" x14ac:dyDescent="0.25">
      <c r="A63" s="157" t="s">
        <v>30</v>
      </c>
      <c r="B63" s="140" t="s">
        <v>270</v>
      </c>
      <c r="C63" s="141">
        <v>0.45</v>
      </c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84"/>
      <c r="U63" s="184"/>
      <c r="V63" s="184"/>
      <c r="W63" s="184"/>
      <c r="X63" s="184"/>
      <c r="Y63" s="184"/>
      <c r="Z63" s="184"/>
      <c r="AA63" s="184"/>
      <c r="AB63" s="184"/>
      <c r="AC63" s="184"/>
      <c r="AD63" s="184"/>
      <c r="AE63" s="184"/>
      <c r="AF63" s="184"/>
      <c r="AG63" s="184"/>
      <c r="AH63" s="184"/>
      <c r="AI63" s="184"/>
      <c r="AJ63" s="184"/>
      <c r="AL63" s="202" t="s">
        <v>26</v>
      </c>
      <c r="AM63" s="210" t="s">
        <v>265</v>
      </c>
      <c r="AN63" s="203">
        <v>0.24374999999999999</v>
      </c>
      <c r="AO63" s="199"/>
      <c r="AP63" s="199"/>
      <c r="AQ63" s="199"/>
      <c r="AR63" s="199"/>
      <c r="AS63" s="199"/>
      <c r="AT63" s="199"/>
      <c r="AU63" s="199"/>
      <c r="AV63" s="199"/>
      <c r="AW63" s="199"/>
      <c r="AX63" s="199"/>
      <c r="AY63" s="199"/>
      <c r="AZ63" s="199"/>
      <c r="BA63" s="199"/>
      <c r="BB63" s="199"/>
    </row>
    <row r="64" spans="1:54" x14ac:dyDescent="0.25">
      <c r="A64" s="158" t="s">
        <v>31</v>
      </c>
      <c r="B64" s="140" t="s">
        <v>267</v>
      </c>
      <c r="C64" s="141">
        <v>0.125</v>
      </c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84"/>
      <c r="U64" s="184"/>
      <c r="V64" s="184"/>
      <c r="W64" s="184"/>
      <c r="X64" s="184"/>
      <c r="Y64" s="184"/>
      <c r="Z64" s="184"/>
      <c r="AA64" s="184"/>
      <c r="AB64" s="184"/>
      <c r="AC64" s="184"/>
      <c r="AD64" s="184"/>
      <c r="AE64" s="184"/>
      <c r="AF64" s="184"/>
      <c r="AG64" s="184"/>
      <c r="AH64" s="184"/>
      <c r="AI64" s="184"/>
      <c r="AJ64" s="184"/>
      <c r="AL64" s="204" t="s">
        <v>30</v>
      </c>
      <c r="AM64" s="210" t="s">
        <v>266</v>
      </c>
      <c r="AN64" s="203">
        <v>0.3</v>
      </c>
      <c r="AO64" s="199"/>
      <c r="AP64" s="199"/>
      <c r="AQ64" s="199"/>
      <c r="AR64" s="199"/>
      <c r="AS64" s="199"/>
      <c r="AT64" s="199"/>
      <c r="AU64" s="199"/>
      <c r="AV64" s="199"/>
      <c r="AW64" s="199"/>
      <c r="AX64" s="199"/>
      <c r="AY64" s="199"/>
      <c r="AZ64" s="199"/>
      <c r="BA64" s="199"/>
      <c r="BB64" s="199"/>
    </row>
    <row r="65" spans="1:54" x14ac:dyDescent="0.25">
      <c r="A65" s="159" t="s">
        <v>33</v>
      </c>
      <c r="B65" s="140" t="s">
        <v>269</v>
      </c>
      <c r="C65" s="141">
        <v>0.125</v>
      </c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84"/>
      <c r="U65" s="184"/>
      <c r="V65" s="184"/>
      <c r="W65" s="184"/>
      <c r="X65" s="184"/>
      <c r="Y65" s="184"/>
      <c r="Z65" s="184"/>
      <c r="AA65" s="184"/>
      <c r="AB65" s="184"/>
      <c r="AC65" s="184"/>
      <c r="AD65" s="184"/>
      <c r="AE65" s="184"/>
      <c r="AF65" s="184"/>
      <c r="AG65" s="184"/>
      <c r="AH65" s="184"/>
      <c r="AI65" s="184"/>
      <c r="AJ65" s="184"/>
      <c r="AL65" s="205" t="s">
        <v>31</v>
      </c>
      <c r="AM65" s="210" t="s">
        <v>267</v>
      </c>
      <c r="AN65" s="203">
        <v>0.20924999999999999</v>
      </c>
      <c r="AO65" s="199"/>
      <c r="AP65" s="199"/>
      <c r="AQ65" s="199"/>
      <c r="AR65" s="199"/>
      <c r="AS65" s="199"/>
      <c r="AT65" s="199"/>
      <c r="AU65" s="199"/>
      <c r="AV65" s="199"/>
      <c r="AW65" s="199"/>
      <c r="AX65" s="199"/>
      <c r="AY65" s="199"/>
      <c r="AZ65" s="199"/>
      <c r="BA65" s="199"/>
      <c r="BB65" s="199"/>
    </row>
    <row r="66" spans="1:54" x14ac:dyDescent="0.25">
      <c r="A66" s="152"/>
      <c r="B66" s="136"/>
      <c r="C66" s="138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84"/>
      <c r="U66" s="184"/>
      <c r="V66" s="184"/>
      <c r="W66" s="184"/>
      <c r="X66" s="184"/>
      <c r="Y66" s="184"/>
      <c r="Z66" s="184"/>
      <c r="AA66" s="184"/>
      <c r="AB66" s="184"/>
      <c r="AC66" s="184"/>
      <c r="AD66" s="184"/>
      <c r="AE66" s="184"/>
      <c r="AF66" s="184"/>
      <c r="AG66" s="184"/>
      <c r="AH66" s="184"/>
      <c r="AI66" s="184"/>
      <c r="AJ66" s="184"/>
      <c r="AL66" s="206" t="s">
        <v>33</v>
      </c>
      <c r="AM66" s="210" t="s">
        <v>269</v>
      </c>
      <c r="AN66" s="203">
        <v>0.24699999999999969</v>
      </c>
      <c r="AO66" s="199"/>
      <c r="AP66" s="199"/>
      <c r="AQ66" s="199"/>
      <c r="AR66" s="199"/>
      <c r="AS66" s="199"/>
      <c r="AT66" s="199"/>
      <c r="AU66" s="199"/>
      <c r="AV66" s="199"/>
      <c r="AW66" s="199"/>
      <c r="AX66" s="199"/>
      <c r="AY66" s="199"/>
      <c r="AZ66" s="199"/>
      <c r="BA66" s="199"/>
      <c r="BB66" s="199"/>
    </row>
    <row r="67" spans="1:54" x14ac:dyDescent="0.25">
      <c r="A67" s="152"/>
      <c r="B67" s="136"/>
      <c r="C67" s="138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84"/>
      <c r="U67" s="184"/>
      <c r="V67" s="184"/>
      <c r="W67" s="184"/>
      <c r="X67" s="184"/>
      <c r="Y67" s="184"/>
      <c r="Z67" s="184"/>
      <c r="AA67" s="184"/>
      <c r="AB67" s="184"/>
      <c r="AC67" s="184"/>
      <c r="AD67" s="184"/>
      <c r="AE67" s="184"/>
      <c r="AF67" s="184"/>
      <c r="AG67" s="184"/>
      <c r="AH67" s="184"/>
      <c r="AI67" s="184"/>
      <c r="AJ67" s="184"/>
      <c r="AL67" s="199"/>
      <c r="AM67" s="199"/>
      <c r="AN67" s="199"/>
      <c r="AO67" s="199"/>
      <c r="AP67" s="199"/>
      <c r="AQ67" s="199"/>
      <c r="AR67" s="199"/>
      <c r="AS67" s="199"/>
      <c r="AT67" s="199"/>
      <c r="AU67" s="199"/>
      <c r="AV67" s="199"/>
      <c r="AW67" s="199"/>
      <c r="AX67" s="199"/>
      <c r="AY67" s="199"/>
      <c r="AZ67" s="199"/>
      <c r="BA67" s="199"/>
      <c r="BB67" s="199"/>
    </row>
    <row r="68" spans="1:54" x14ac:dyDescent="0.25">
      <c r="A68" s="152"/>
      <c r="B68" s="136"/>
      <c r="C68" s="138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84"/>
      <c r="U68" s="184"/>
      <c r="V68" s="184"/>
      <c r="W68" s="184"/>
      <c r="X68" s="184"/>
      <c r="Y68" s="184"/>
      <c r="Z68" s="184"/>
      <c r="AA68" s="184"/>
      <c r="AB68" s="184"/>
      <c r="AC68" s="184"/>
      <c r="AD68" s="184"/>
      <c r="AE68" s="184"/>
      <c r="AF68" s="184"/>
      <c r="AG68" s="184"/>
      <c r="AH68" s="184"/>
      <c r="AI68" s="184"/>
      <c r="AJ68" s="184"/>
      <c r="AL68" s="199"/>
      <c r="AM68" s="199"/>
      <c r="AN68" s="199"/>
      <c r="AO68" s="199"/>
      <c r="AP68" s="199"/>
      <c r="AQ68" s="199"/>
      <c r="AR68" s="199"/>
      <c r="AS68" s="199"/>
      <c r="AT68" s="199"/>
      <c r="AU68" s="199"/>
      <c r="AV68" s="199"/>
      <c r="AW68" s="199"/>
      <c r="AX68" s="199"/>
      <c r="AY68" s="199"/>
      <c r="AZ68" s="199"/>
      <c r="BA68" s="199"/>
      <c r="BB68" s="199"/>
    </row>
    <row r="69" spans="1:54" x14ac:dyDescent="0.25">
      <c r="A69" s="152"/>
      <c r="B69" s="136"/>
      <c r="C69" s="138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84"/>
      <c r="U69" s="184"/>
      <c r="V69" s="184"/>
      <c r="W69" s="184"/>
      <c r="X69" s="184"/>
      <c r="Y69" s="184"/>
      <c r="Z69" s="184"/>
      <c r="AA69" s="184"/>
      <c r="AB69" s="184"/>
      <c r="AC69" s="184"/>
      <c r="AD69" s="184"/>
      <c r="AE69" s="184"/>
      <c r="AF69" s="184"/>
      <c r="AG69" s="184"/>
      <c r="AH69" s="184"/>
      <c r="AI69" s="184"/>
      <c r="AJ69" s="184"/>
      <c r="AL69" s="199"/>
      <c r="AM69" s="199"/>
      <c r="AN69" s="199"/>
      <c r="AO69" s="199"/>
      <c r="AP69" s="199"/>
      <c r="AQ69" s="199"/>
      <c r="AR69" s="199"/>
      <c r="AS69" s="199"/>
      <c r="AT69" s="199"/>
      <c r="AU69" s="199"/>
      <c r="AV69" s="199"/>
      <c r="AW69" s="199"/>
      <c r="AX69" s="199"/>
      <c r="AY69" s="199"/>
      <c r="AZ69" s="199"/>
      <c r="BA69" s="199"/>
      <c r="BB69" s="199"/>
    </row>
    <row r="70" spans="1:54" x14ac:dyDescent="0.25">
      <c r="A70" s="169" t="s">
        <v>271</v>
      </c>
      <c r="B70" s="136"/>
      <c r="C70" s="138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85" t="s">
        <v>272</v>
      </c>
      <c r="U70" s="184"/>
      <c r="V70" s="184"/>
      <c r="W70" s="184"/>
      <c r="X70" s="184"/>
      <c r="Y70" s="184"/>
      <c r="Z70" s="184"/>
      <c r="AA70" s="184"/>
      <c r="AB70" s="184"/>
      <c r="AC70" s="184"/>
      <c r="AD70" s="184"/>
      <c r="AE70" s="184"/>
      <c r="AF70" s="184"/>
      <c r="AG70" s="184"/>
      <c r="AH70" s="184"/>
      <c r="AI70" s="184"/>
      <c r="AJ70" s="184"/>
      <c r="AL70" s="200" t="s">
        <v>272</v>
      </c>
      <c r="AM70" s="199"/>
      <c r="AN70" s="199"/>
      <c r="AO70" s="199"/>
      <c r="AP70" s="199"/>
      <c r="AQ70" s="199"/>
      <c r="AR70" s="199"/>
      <c r="AS70" s="199"/>
      <c r="AT70" s="199"/>
      <c r="AU70" s="199"/>
      <c r="AV70" s="199"/>
      <c r="AW70" s="199"/>
      <c r="AX70" s="199"/>
      <c r="AY70" s="199"/>
      <c r="AZ70" s="199"/>
      <c r="BA70" s="199"/>
      <c r="BB70" s="199"/>
    </row>
    <row r="71" spans="1:54" x14ac:dyDescent="0.25">
      <c r="A71" s="152"/>
      <c r="B71" s="136"/>
      <c r="C71" s="138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84"/>
      <c r="U71" s="184"/>
      <c r="V71" s="184"/>
      <c r="W71" s="184"/>
      <c r="X71" s="184"/>
      <c r="Y71" s="184"/>
      <c r="Z71" s="184"/>
      <c r="AA71" s="184"/>
      <c r="AB71" s="184"/>
      <c r="AC71" s="184"/>
      <c r="AD71" s="184"/>
      <c r="AE71" s="184"/>
      <c r="AF71" s="184"/>
      <c r="AG71" s="184"/>
      <c r="AH71" s="184"/>
      <c r="AI71" s="184"/>
      <c r="AJ71" s="184"/>
      <c r="AL71" s="199"/>
      <c r="AM71" s="199"/>
      <c r="AN71" s="199"/>
      <c r="AO71" s="199"/>
      <c r="AP71" s="199"/>
      <c r="AQ71" s="199"/>
      <c r="AR71" s="199"/>
      <c r="AS71" s="199"/>
      <c r="AT71" s="199"/>
      <c r="AU71" s="199"/>
      <c r="AV71" s="199"/>
      <c r="AW71" s="199"/>
      <c r="AX71" s="199"/>
      <c r="AY71" s="199"/>
      <c r="AZ71" s="199"/>
      <c r="BA71" s="199"/>
      <c r="BB71" s="199"/>
    </row>
    <row r="72" spans="1:54" x14ac:dyDescent="0.25">
      <c r="A72" s="168" t="s">
        <v>211</v>
      </c>
      <c r="B72" s="168" t="s">
        <v>222</v>
      </c>
      <c r="C72" s="170" t="s">
        <v>79</v>
      </c>
      <c r="D72" s="168" t="s">
        <v>223</v>
      </c>
      <c r="E72" s="168" t="s">
        <v>81</v>
      </c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86" t="s">
        <v>211</v>
      </c>
      <c r="U72" s="186" t="s">
        <v>222</v>
      </c>
      <c r="V72" s="186" t="s">
        <v>79</v>
      </c>
      <c r="W72" s="186" t="s">
        <v>223</v>
      </c>
      <c r="X72" s="186" t="s">
        <v>81</v>
      </c>
      <c r="Y72" s="184"/>
      <c r="Z72" s="184"/>
      <c r="AA72" s="184"/>
      <c r="AB72" s="184"/>
      <c r="AC72" s="184"/>
      <c r="AD72" s="184"/>
      <c r="AE72" s="184"/>
      <c r="AF72" s="184"/>
      <c r="AG72" s="184"/>
      <c r="AH72" s="184"/>
      <c r="AI72" s="184"/>
      <c r="AJ72" s="184"/>
      <c r="AL72" s="201" t="s">
        <v>211</v>
      </c>
      <c r="AM72" s="201" t="s">
        <v>222</v>
      </c>
      <c r="AN72" s="201" t="s">
        <v>79</v>
      </c>
      <c r="AO72" s="201" t="s">
        <v>223</v>
      </c>
      <c r="AP72" s="201" t="s">
        <v>81</v>
      </c>
      <c r="AQ72" s="199"/>
      <c r="AR72" s="199"/>
      <c r="AS72" s="199"/>
      <c r="AT72" s="199"/>
      <c r="AU72" s="199"/>
      <c r="AV72" s="199"/>
      <c r="AW72" s="199"/>
      <c r="AX72" s="199"/>
      <c r="AY72" s="199"/>
      <c r="AZ72" s="199"/>
      <c r="BA72" s="199"/>
      <c r="BB72" s="199"/>
    </row>
    <row r="73" spans="1:54" x14ac:dyDescent="0.25">
      <c r="A73" s="171" t="s">
        <v>26</v>
      </c>
      <c r="B73" s="172" t="s">
        <v>87</v>
      </c>
      <c r="C73" s="179">
        <v>10</v>
      </c>
      <c r="D73" s="172" t="s">
        <v>88</v>
      </c>
      <c r="E73" s="213">
        <v>0.48</v>
      </c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87" t="s">
        <v>26</v>
      </c>
      <c r="U73" s="195" t="s">
        <v>87</v>
      </c>
      <c r="V73" s="195">
        <v>10</v>
      </c>
      <c r="W73" s="195" t="s">
        <v>88</v>
      </c>
      <c r="X73" s="193">
        <v>0.34</v>
      </c>
      <c r="Y73" s="184"/>
      <c r="Z73" s="184"/>
      <c r="AA73" s="184"/>
      <c r="AB73" s="184"/>
      <c r="AC73" s="184"/>
      <c r="AD73" s="184"/>
      <c r="AE73" s="184"/>
      <c r="AF73" s="184"/>
      <c r="AG73" s="184"/>
      <c r="AH73" s="184"/>
      <c r="AI73" s="184"/>
      <c r="AJ73" s="184"/>
      <c r="AL73" s="202" t="s">
        <v>26</v>
      </c>
      <c r="AM73" s="210" t="s">
        <v>87</v>
      </c>
      <c r="AN73" s="210">
        <v>10</v>
      </c>
      <c r="AO73" s="210" t="s">
        <v>88</v>
      </c>
      <c r="AP73" s="208">
        <v>0.62</v>
      </c>
      <c r="AQ73" s="199"/>
      <c r="AR73" s="199"/>
      <c r="AS73" s="199"/>
      <c r="AT73" s="199"/>
      <c r="AU73" s="199"/>
      <c r="AV73" s="199"/>
      <c r="AW73" s="199"/>
      <c r="AX73" s="199"/>
      <c r="AY73" s="199"/>
      <c r="AZ73" s="199"/>
      <c r="BA73" s="199"/>
      <c r="BB73" s="199"/>
    </row>
    <row r="74" spans="1:54" x14ac:dyDescent="0.25">
      <c r="A74" s="173" t="s">
        <v>30</v>
      </c>
      <c r="B74" s="172" t="s">
        <v>87</v>
      </c>
      <c r="C74" s="179">
        <v>15</v>
      </c>
      <c r="D74" s="172" t="s">
        <v>94</v>
      </c>
      <c r="E74" s="213">
        <v>0.25</v>
      </c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89" t="s">
        <v>30</v>
      </c>
      <c r="U74" s="195" t="s">
        <v>87</v>
      </c>
      <c r="V74" s="195">
        <v>15</v>
      </c>
      <c r="W74" s="195" t="s">
        <v>94</v>
      </c>
      <c r="X74" s="193">
        <v>0.15</v>
      </c>
      <c r="Y74" s="184"/>
      <c r="Z74" s="184"/>
      <c r="AA74" s="184"/>
      <c r="AB74" s="184"/>
      <c r="AC74" s="184"/>
      <c r="AD74" s="184"/>
      <c r="AE74" s="184"/>
      <c r="AF74" s="184"/>
      <c r="AG74" s="184"/>
      <c r="AH74" s="184"/>
      <c r="AI74" s="184"/>
      <c r="AJ74" s="184"/>
      <c r="AL74" s="204" t="s">
        <v>30</v>
      </c>
      <c r="AM74" s="210" t="s">
        <v>87</v>
      </c>
      <c r="AN74" s="210">
        <v>15</v>
      </c>
      <c r="AO74" s="210" t="s">
        <v>94</v>
      </c>
      <c r="AP74" s="208">
        <v>0.35</v>
      </c>
      <c r="AQ74" s="199"/>
      <c r="AR74" s="199"/>
      <c r="AS74" s="199"/>
      <c r="AT74" s="199"/>
      <c r="AU74" s="199"/>
      <c r="AV74" s="199"/>
      <c r="AW74" s="199"/>
      <c r="AX74" s="199"/>
      <c r="AY74" s="199"/>
      <c r="AZ74" s="199"/>
      <c r="BA74" s="199"/>
      <c r="BB74" s="199"/>
    </row>
    <row r="75" spans="1:54" x14ac:dyDescent="0.25">
      <c r="A75" s="174" t="s">
        <v>31</v>
      </c>
      <c r="B75" s="172" t="s">
        <v>87</v>
      </c>
      <c r="C75" s="179">
        <v>50</v>
      </c>
      <c r="D75" s="172" t="s">
        <v>94</v>
      </c>
      <c r="E75" s="213">
        <v>0.2</v>
      </c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90" t="s">
        <v>31</v>
      </c>
      <c r="U75" s="195" t="s">
        <v>87</v>
      </c>
      <c r="V75" s="195">
        <v>50</v>
      </c>
      <c r="W75" s="195" t="s">
        <v>94</v>
      </c>
      <c r="X75" s="193">
        <v>0.11</v>
      </c>
      <c r="Y75" s="184"/>
      <c r="Z75" s="184"/>
      <c r="AA75" s="184"/>
      <c r="AB75" s="184"/>
      <c r="AC75" s="184"/>
      <c r="AD75" s="184"/>
      <c r="AE75" s="184"/>
      <c r="AF75" s="184"/>
      <c r="AG75" s="184"/>
      <c r="AH75" s="184"/>
      <c r="AI75" s="184"/>
      <c r="AJ75" s="184"/>
      <c r="AL75" s="205" t="s">
        <v>31</v>
      </c>
      <c r="AM75" s="210" t="s">
        <v>87</v>
      </c>
      <c r="AN75" s="210">
        <v>50</v>
      </c>
      <c r="AO75" s="210" t="s">
        <v>94</v>
      </c>
      <c r="AP75" s="208">
        <v>0.22</v>
      </c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</row>
    <row r="76" spans="1:54" x14ac:dyDescent="0.25">
      <c r="A76" s="175" t="s">
        <v>33</v>
      </c>
      <c r="B76" s="172" t="s">
        <v>87</v>
      </c>
      <c r="C76" s="179">
        <v>100</v>
      </c>
      <c r="D76" s="172" t="s">
        <v>94</v>
      </c>
      <c r="E76" s="213">
        <v>0.21</v>
      </c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91" t="s">
        <v>33</v>
      </c>
      <c r="U76" s="195" t="s">
        <v>87</v>
      </c>
      <c r="V76" s="195">
        <v>100</v>
      </c>
      <c r="W76" s="195" t="s">
        <v>94</v>
      </c>
      <c r="X76" s="193">
        <v>0.23</v>
      </c>
      <c r="Y76" s="184"/>
      <c r="Z76" s="184"/>
      <c r="AA76" s="184"/>
      <c r="AB76" s="184"/>
      <c r="AC76" s="184"/>
      <c r="AD76" s="184"/>
      <c r="AE76" s="184"/>
      <c r="AF76" s="184"/>
      <c r="AG76" s="184"/>
      <c r="AH76" s="184"/>
      <c r="AI76" s="184"/>
      <c r="AJ76" s="184"/>
      <c r="AL76" s="206" t="s">
        <v>33</v>
      </c>
      <c r="AM76" s="210" t="s">
        <v>87</v>
      </c>
      <c r="AN76" s="210">
        <v>100</v>
      </c>
      <c r="AO76" s="210" t="s">
        <v>94</v>
      </c>
      <c r="AP76" s="208">
        <v>0.27</v>
      </c>
      <c r="AQ76" s="199"/>
      <c r="AR76" s="199"/>
      <c r="AS76" s="199"/>
      <c r="AT76" s="199"/>
      <c r="AU76" s="199"/>
      <c r="AV76" s="199"/>
      <c r="AW76" s="199"/>
      <c r="AX76" s="199"/>
      <c r="AY76" s="199"/>
      <c r="AZ76" s="199"/>
      <c r="BA76" s="199"/>
      <c r="BB76" s="199"/>
    </row>
    <row r="77" spans="1:54" x14ac:dyDescent="0.25">
      <c r="A77" s="152"/>
      <c r="B77" s="136"/>
      <c r="C77" s="138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84"/>
      <c r="U77" s="184"/>
      <c r="V77" s="184"/>
      <c r="W77" s="184"/>
      <c r="X77" s="184"/>
      <c r="Y77" s="184"/>
      <c r="Z77" s="184"/>
      <c r="AA77" s="184"/>
      <c r="AB77" s="184"/>
      <c r="AC77" s="184"/>
      <c r="AD77" s="184"/>
      <c r="AE77" s="184"/>
      <c r="AF77" s="184"/>
      <c r="AG77" s="184"/>
      <c r="AH77" s="184"/>
      <c r="AI77" s="184"/>
      <c r="AJ77" s="184"/>
      <c r="AL77" s="199"/>
      <c r="AM77" s="199"/>
      <c r="AN77" s="199"/>
      <c r="AO77" s="199"/>
      <c r="AP77" s="199"/>
      <c r="AQ77" s="199"/>
      <c r="AR77" s="199"/>
      <c r="AS77" s="199"/>
      <c r="AT77" s="199"/>
      <c r="AU77" s="199"/>
      <c r="AV77" s="199"/>
      <c r="AW77" s="199"/>
      <c r="AX77" s="199"/>
      <c r="AY77" s="199"/>
      <c r="AZ77" s="199"/>
      <c r="BA77" s="199"/>
      <c r="BB77" s="199"/>
    </row>
    <row r="78" spans="1:54" x14ac:dyDescent="0.25">
      <c r="A78" s="152"/>
      <c r="B78" s="136"/>
      <c r="C78" s="138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84"/>
      <c r="U78" s="184"/>
      <c r="V78" s="184"/>
      <c r="W78" s="184"/>
      <c r="X78" s="184"/>
      <c r="Y78" s="184"/>
      <c r="Z78" s="184"/>
      <c r="AA78" s="184"/>
      <c r="AB78" s="184"/>
      <c r="AC78" s="184"/>
      <c r="AD78" s="184"/>
      <c r="AE78" s="184"/>
      <c r="AF78" s="184"/>
      <c r="AG78" s="184"/>
      <c r="AH78" s="184"/>
      <c r="AI78" s="184"/>
      <c r="AJ78" s="184"/>
      <c r="AL78" s="199"/>
      <c r="AM78" s="199"/>
      <c r="AN78" s="199"/>
      <c r="AO78" s="199"/>
      <c r="AP78" s="199"/>
      <c r="AQ78" s="199"/>
      <c r="AR78" s="199"/>
      <c r="AS78" s="199"/>
      <c r="AT78" s="199"/>
      <c r="AU78" s="199"/>
      <c r="AV78" s="199"/>
      <c r="AW78" s="199"/>
      <c r="AX78" s="199"/>
      <c r="AY78" s="199"/>
      <c r="AZ78" s="199"/>
      <c r="BA78" s="199"/>
      <c r="BB78" s="199"/>
    </row>
    <row r="79" spans="1:54" x14ac:dyDescent="0.25">
      <c r="A79" s="152"/>
      <c r="B79" s="136"/>
      <c r="C79" s="138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84"/>
      <c r="U79" s="184"/>
      <c r="V79" s="184"/>
      <c r="W79" s="184"/>
      <c r="X79" s="184"/>
      <c r="Y79" s="184"/>
      <c r="Z79" s="184"/>
      <c r="AA79" s="184"/>
      <c r="AB79" s="184"/>
      <c r="AC79" s="184"/>
      <c r="AD79" s="184"/>
      <c r="AE79" s="184"/>
      <c r="AF79" s="184"/>
      <c r="AG79" s="184"/>
      <c r="AH79" s="184"/>
      <c r="AI79" s="184"/>
      <c r="AJ79" s="184"/>
      <c r="AL79" s="199"/>
      <c r="AM79" s="199"/>
      <c r="AN79" s="199"/>
      <c r="AO79" s="199"/>
      <c r="AP79" s="199"/>
      <c r="AQ79" s="199"/>
      <c r="AR79" s="199"/>
      <c r="AS79" s="199"/>
      <c r="AT79" s="199"/>
      <c r="AU79" s="199"/>
      <c r="AV79" s="199"/>
      <c r="AW79" s="199"/>
      <c r="AX79" s="199"/>
      <c r="AY79" s="199"/>
      <c r="AZ79" s="199"/>
      <c r="BA79" s="199"/>
      <c r="BB79" s="199"/>
    </row>
    <row r="80" spans="1:54" x14ac:dyDescent="0.25">
      <c r="A80" s="152"/>
      <c r="B80" s="136"/>
      <c r="C80" s="138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</row>
    <row r="81" spans="1:19" x14ac:dyDescent="0.25">
      <c r="A81" s="152"/>
      <c r="B81" s="136"/>
      <c r="C81" s="138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</row>
    <row r="82" spans="1:19" x14ac:dyDescent="0.25">
      <c r="A82" s="152"/>
      <c r="B82" s="136"/>
      <c r="C82" s="138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</row>
    <row r="83" spans="1:19" x14ac:dyDescent="0.25">
      <c r="A83" s="152"/>
      <c r="B83" s="136"/>
      <c r="C83" s="138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</row>
    <row r="84" spans="1:19" x14ac:dyDescent="0.25">
      <c r="A84" s="152"/>
      <c r="B84" s="136"/>
      <c r="C84" s="138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</row>
    <row r="85" spans="1:19" x14ac:dyDescent="0.25">
      <c r="A85" s="152"/>
      <c r="B85" s="136"/>
      <c r="C85" s="138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</row>
    <row r="86" spans="1:19" x14ac:dyDescent="0.25">
      <c r="A86" s="152"/>
      <c r="B86" s="136"/>
      <c r="C86" s="138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</row>
    <row r="87" spans="1:19" x14ac:dyDescent="0.25">
      <c r="A87" s="152"/>
      <c r="B87" s="136"/>
      <c r="C87" s="138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</row>
    <row r="88" spans="1:19" x14ac:dyDescent="0.25">
      <c r="A88" s="152"/>
      <c r="B88" s="136"/>
      <c r="C88" s="138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</row>
    <row r="89" spans="1:19" x14ac:dyDescent="0.25">
      <c r="A89" s="152"/>
      <c r="B89" s="136"/>
      <c r="C89" s="138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</row>
    <row r="90" spans="1:19" x14ac:dyDescent="0.25">
      <c r="A90" s="152"/>
      <c r="B90" s="136"/>
      <c r="C90" s="138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</row>
    <row r="91" spans="1:19" x14ac:dyDescent="0.25">
      <c r="A91" s="152"/>
      <c r="B91" s="136"/>
      <c r="C91" s="138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</row>
    <row r="92" spans="1:19" x14ac:dyDescent="0.25">
      <c r="A92" s="152"/>
      <c r="B92" s="136"/>
      <c r="C92" s="138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</row>
    <row r="93" spans="1:19" x14ac:dyDescent="0.25">
      <c r="A93" s="152"/>
      <c r="B93" s="136"/>
      <c r="C93" s="138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</row>
    <row r="94" spans="1:19" x14ac:dyDescent="0.25">
      <c r="A94" s="152"/>
      <c r="B94" s="136"/>
      <c r="C94" s="138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</row>
    <row r="95" spans="1:19" x14ac:dyDescent="0.25">
      <c r="A95" s="152"/>
      <c r="B95" s="136"/>
      <c r="C95" s="138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</row>
    <row r="96" spans="1:19" x14ac:dyDescent="0.25">
      <c r="A96" s="152"/>
      <c r="B96" s="136"/>
      <c r="C96" s="138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</row>
    <row r="97" spans="1:19" x14ac:dyDescent="0.25">
      <c r="A97" s="152"/>
      <c r="B97" s="136"/>
      <c r="C97" s="138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</row>
    <row r="98" spans="1:19" x14ac:dyDescent="0.25">
      <c r="A98" s="152"/>
      <c r="B98" s="136"/>
      <c r="C98" s="138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</row>
    <row r="99" spans="1:19" x14ac:dyDescent="0.25">
      <c r="A99" s="152"/>
      <c r="B99" s="136"/>
      <c r="C99" s="138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</row>
    <row r="100" spans="1:19" x14ac:dyDescent="0.25">
      <c r="A100" s="152"/>
      <c r="B100" s="136"/>
      <c r="C100" s="138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</row>
    <row r="101" spans="1:19" x14ac:dyDescent="0.25">
      <c r="A101" s="152"/>
      <c r="B101" s="136"/>
      <c r="C101" s="138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</row>
    <row r="102" spans="1:19" x14ac:dyDescent="0.25">
      <c r="A102" s="152"/>
      <c r="B102" s="136"/>
      <c r="C102" s="138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</row>
    <row r="103" spans="1:19" x14ac:dyDescent="0.25">
      <c r="A103" s="152"/>
      <c r="B103" s="136"/>
      <c r="C103" s="138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</row>
    <row r="104" spans="1:19" x14ac:dyDescent="0.25">
      <c r="A104" s="152"/>
      <c r="B104" s="136"/>
      <c r="C104" s="138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</row>
    <row r="105" spans="1:19" x14ac:dyDescent="0.25">
      <c r="A105" s="152"/>
      <c r="B105" s="136"/>
      <c r="C105" s="138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</row>
    <row r="106" spans="1:19" x14ac:dyDescent="0.25">
      <c r="A106" s="152"/>
      <c r="B106" s="136"/>
      <c r="C106" s="138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</row>
    <row r="107" spans="1:19" x14ac:dyDescent="0.25">
      <c r="A107" s="152"/>
      <c r="B107" s="136"/>
      <c r="C107" s="138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</row>
    <row r="108" spans="1:19" x14ac:dyDescent="0.25">
      <c r="A108" s="152"/>
      <c r="B108" s="136"/>
      <c r="C108" s="138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</row>
    <row r="109" spans="1:19" x14ac:dyDescent="0.25">
      <c r="A109" s="152"/>
      <c r="B109" s="136"/>
      <c r="C109" s="138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</row>
    <row r="110" spans="1:19" x14ac:dyDescent="0.25">
      <c r="A110" s="152"/>
      <c r="B110" s="136"/>
      <c r="C110" s="138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</row>
    <row r="111" spans="1:19" x14ac:dyDescent="0.25">
      <c r="A111" s="152"/>
      <c r="B111" s="136"/>
      <c r="C111" s="138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</row>
    <row r="112" spans="1:19" x14ac:dyDescent="0.25">
      <c r="A112" s="152"/>
      <c r="B112" s="136"/>
      <c r="C112" s="138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</row>
    <row r="113" spans="1:19" x14ac:dyDescent="0.25">
      <c r="A113" s="152"/>
      <c r="B113" s="136"/>
      <c r="C113" s="138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</row>
    <row r="114" spans="1:19" x14ac:dyDescent="0.25">
      <c r="A114" s="152"/>
      <c r="B114" s="136"/>
      <c r="C114" s="138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</row>
    <row r="115" spans="1:19" x14ac:dyDescent="0.25">
      <c r="A115" s="152"/>
      <c r="B115" s="136"/>
      <c r="C115" s="138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</row>
    <row r="116" spans="1:19" x14ac:dyDescent="0.25">
      <c r="A116" s="152"/>
      <c r="B116" s="136"/>
      <c r="C116" s="138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</row>
    <row r="117" spans="1:19" x14ac:dyDescent="0.25">
      <c r="A117" s="152"/>
      <c r="B117" s="136"/>
      <c r="C117" s="138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  <c r="R117" s="136"/>
      <c r="S117" s="136"/>
    </row>
    <row r="118" spans="1:19" x14ac:dyDescent="0.25">
      <c r="A118" s="152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  <c r="R118" s="136"/>
      <c r="S118" s="136"/>
    </row>
    <row r="119" spans="1:19" x14ac:dyDescent="0.25">
      <c r="A119" s="152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Inputs</vt:lpstr>
      <vt:lpstr>VIP Levels</vt:lpstr>
      <vt:lpstr>Missions</vt:lpstr>
      <vt:lpstr>Affiliate Projection</vt:lpstr>
      <vt:lpstr>Revenue</vt:lpstr>
      <vt:lpstr>Costs</vt:lpstr>
      <vt:lpstr>Summary</vt:lpstr>
      <vt:lpstr>Scenarios (Sc)</vt:lpstr>
      <vt:lpstr>Sc.Planning</vt:lpstr>
      <vt:lpstr>Sc.Calc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2025-12-21T15:00:35Z</dcterms:modified>
</cp:coreProperties>
</file>