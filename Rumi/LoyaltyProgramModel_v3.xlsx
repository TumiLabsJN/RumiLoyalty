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4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VIP Levels" sheetId="2" state="visible" r:id="rId2"/>
    <sheet xmlns:r="http://schemas.openxmlformats.org/officeDocument/2006/relationships" name="Missions" sheetId="3" state="visible" r:id="rId3"/>
    <sheet xmlns:r="http://schemas.openxmlformats.org/officeDocument/2006/relationships" name="Affiliate Projection" sheetId="4" state="visible" r:id="rId4"/>
    <sheet xmlns:r="http://schemas.openxmlformats.org/officeDocument/2006/relationships" name="Revenue" sheetId="5" state="visible" r:id="rId5"/>
    <sheet xmlns:r="http://schemas.openxmlformats.org/officeDocument/2006/relationships" name="Costs" sheetId="6" state="visible" r:id="rId6"/>
    <sheet xmlns:r="http://schemas.openxmlformats.org/officeDocument/2006/relationships" name="Summary" sheetId="7" state="visible" r:id="rId7"/>
  </sheets>
  <definedNames>
    <definedName name="AffAttrition">Inputs!$B$10</definedName>
    <definedName name="SampleAffConv">Inputs!$B$7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\$#,##0.00"/>
    <numFmt numFmtId="165" formatCode="\$#,##0"/>
    <numFmt numFmtId="166" formatCode="0.0%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rgb="FF4472C4"/>
      <sz val="16"/>
    </font>
    <font>
      <name val="Calibri"/>
      <family val="2"/>
      <b val="1"/>
      <color rgb="FF4472C4"/>
      <sz val="14"/>
    </font>
    <font>
      <name val="Calibri"/>
      <family val="2"/>
      <b val="1"/>
      <color rgb="FFFFFFFF"/>
      <sz val="12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2"/>
    </font>
    <font>
      <name val="Calibri"/>
      <family val="2"/>
      <b val="1"/>
      <sz val="11"/>
    </font>
    <font>
      <name val="Calibri"/>
      <b val="1"/>
      <sz val="12"/>
    </font>
    <font>
      <name val="Calibri"/>
      <i val="1"/>
      <color rgb="FF666666"/>
      <sz val="11"/>
    </font>
    <font>
      <name val="Calibri"/>
      <b val="1"/>
      <color rgb="FFFFFFFF"/>
      <sz val="11"/>
    </font>
    <font>
      <name val="Calibri"/>
      <b val="1"/>
      <sz val="11"/>
    </font>
  </fonts>
  <fills count="9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D6DCE5"/>
        <bgColor rgb="FFD6DCE5"/>
      </patternFill>
    </fill>
    <fill>
      <patternFill patternType="solid">
        <fgColor rgb="FFFFC000"/>
        <bgColor rgb="FFFFC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9" fontId="0" fillId="3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9" fontId="0" fillId="4" borderId="1" applyAlignment="1" pivotButton="0" quotePrefix="0" xfId="0">
      <alignment horizontal="center"/>
    </xf>
    <xf numFmtId="0" fontId="0" fillId="3" borderId="0" pivotButton="0" quotePrefix="0" xfId="0"/>
    <xf numFmtId="165" fontId="0" fillId="3" borderId="1" applyAlignment="1" pivotButton="0" quotePrefix="0" xfId="0">
      <alignment horizontal="center"/>
    </xf>
    <xf numFmtId="166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5" fillId="0" borderId="1" pivotButton="0" quotePrefix="0" xfId="0"/>
    <xf numFmtId="165" fontId="0" fillId="4" borderId="1" applyAlignment="1" pivotButton="0" quotePrefix="0" xfId="0">
      <alignment horizontal="center"/>
    </xf>
    <xf numFmtId="165" fontId="4" fillId="4" borderId="1" applyAlignment="1" pivotButton="0" quotePrefix="0" xfId="0">
      <alignment horizontal="center"/>
    </xf>
    <xf numFmtId="0" fontId="6" fillId="0" borderId="0" pivotButton="0" quotePrefix="0" xfId="0"/>
    <xf numFmtId="0" fontId="0" fillId="5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pivotButton="0" quotePrefix="0" xfId="0"/>
    <xf numFmtId="2" fontId="0" fillId="3" borderId="1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6" borderId="2" applyAlignment="1" pivotButton="0" quotePrefix="0" xfId="0">
      <alignment horizontal="center"/>
    </xf>
    <xf numFmtId="0" fontId="0" fillId="7" borderId="2" pivotButton="0" quotePrefix="0" xfId="0"/>
    <xf numFmtId="9" fontId="0" fillId="7" borderId="2" applyAlignment="1" pivotButton="0" quotePrefix="0" xfId="0">
      <alignment horizontal="center"/>
    </xf>
    <xf numFmtId="0" fontId="12" fillId="8" borderId="2" pivotButton="0" quotePrefix="0" xfId="0"/>
    <xf numFmtId="9" fontId="12" fillId="8" borderId="2" applyAlignment="1" pivotButton="0" quotePrefix="0" xfId="0">
      <alignment horizontal="center"/>
    </xf>
    <xf numFmtId="0" fontId="0" fillId="7" borderId="2" applyAlignment="1" pivotButton="0" quotePrefix="0" xfId="0">
      <alignment horizontal="center"/>
    </xf>
    <xf numFmtId="0" fontId="8" fillId="0" borderId="2" pivotButton="0" quotePrefix="0" xfId="0"/>
    <xf numFmtId="165" fontId="0" fillId="4" borderId="2" applyAlignment="1" pivotButton="0" quotePrefix="0" xfId="0">
      <alignment horizontal="center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topLeftCell="A6" workbookViewId="0">
      <selection activeCell="A37" sqref="A37"/>
    </sheetView>
  </sheetViews>
  <sheetFormatPr baseColWidth="8" defaultRowHeight="15"/>
  <cols>
    <col width="40" customWidth="1" style="32" min="1" max="1"/>
    <col width="18" customWidth="1" style="32" min="2" max="2"/>
    <col width="12" customWidth="1" style="32" min="3" max="4"/>
    <col width="45" customWidth="1" style="32" min="5" max="5"/>
    <col width="32.7109375" customWidth="1" style="32" min="7" max="7"/>
  </cols>
  <sheetData>
    <row r="1" ht="21" customHeight="1" s="32">
      <c r="A1" s="31" t="inlineStr">
        <is>
          <t>LOYALTY PROGRAM FINANCIAL MODEL - INPUTS DASHBOARD</t>
        </is>
      </c>
    </row>
    <row r="3" ht="18.75" customHeight="1" s="32">
      <c r="A3" s="1" t="inlineStr">
        <is>
          <t>ACQUISITION INPUTS</t>
        </is>
      </c>
    </row>
    <row r="4" ht="15.75" customHeight="1" s="32">
      <c r="A4" s="2" t="inlineStr">
        <is>
          <t>Parameter</t>
        </is>
      </c>
      <c r="B4" s="2" t="inlineStr">
        <is>
          <t>Value</t>
        </is>
      </c>
      <c r="C4" s="2" t="inlineStr">
        <is>
          <t>Unit</t>
        </is>
      </c>
      <c r="D4" s="18" t="inlineStr">
        <is>
          <t>Name</t>
        </is>
      </c>
      <c r="E4" s="2" t="inlineStr">
        <is>
          <t>Description</t>
        </is>
      </c>
      <c r="G4" s="16" t="inlineStr">
        <is>
          <t>Used by</t>
        </is>
      </c>
    </row>
    <row r="5">
      <c r="A5" s="3" t="inlineStr">
        <is>
          <t>Samples Sent - Month 1</t>
        </is>
      </c>
      <c r="B5" s="4" t="n">
        <v>150</v>
      </c>
      <c r="C5" s="3" t="inlineStr">
        <is>
          <t>samples</t>
        </is>
      </c>
      <c r="D5" s="3" t="n"/>
      <c r="E5" s="3" t="inlineStr">
        <is>
          <t>Initial month sample distribution</t>
        </is>
      </c>
      <c r="G5" t="inlineStr">
        <is>
          <t>Affiliate Projection | Cell B4</t>
        </is>
      </c>
    </row>
    <row r="6">
      <c r="A6" s="3" t="inlineStr">
        <is>
          <t>Samples Sent - Month 2+</t>
        </is>
      </c>
      <c r="B6" s="4" t="n">
        <v>100</v>
      </c>
      <c r="C6" s="3" t="inlineStr">
        <is>
          <t>samples</t>
        </is>
      </c>
      <c r="D6" s="3" t="n"/>
      <c r="E6" s="3" t="inlineStr">
        <is>
          <t>Ongoing monthly sample distribution</t>
        </is>
      </c>
      <c r="G6" t="inlineStr">
        <is>
          <t>Affiliate Projection | Row 4</t>
        </is>
      </c>
    </row>
    <row r="7">
      <c r="A7" s="3" t="inlineStr">
        <is>
          <t>Sample-to-Affiliate Conversion Rate</t>
        </is>
      </c>
      <c r="B7" s="5" t="n">
        <v>0.7</v>
      </c>
      <c r="C7" s="3" t="inlineStr">
        <is>
          <t>%</t>
        </is>
      </c>
      <c r="D7" s="3" t="inlineStr">
        <is>
          <t>SampleAffConv</t>
        </is>
      </c>
      <c r="E7" s="3" t="inlineStr">
        <is>
          <t>Percentage of samples that convert to affiliates</t>
        </is>
      </c>
      <c r="G7" t="inlineStr">
        <is>
          <t>Affiliate Projection | Row 5</t>
        </is>
      </c>
    </row>
    <row r="9" ht="18.75" customHeight="1" s="32">
      <c r="A9" s="1" t="inlineStr">
        <is>
          <t>PERFORMANCE INPUTS</t>
        </is>
      </c>
    </row>
    <row r="10" ht="15.75" customHeight="1" s="32">
      <c r="A10" s="2" t="inlineStr">
        <is>
          <t>Parameter</t>
        </is>
      </c>
      <c r="B10" s="2" t="inlineStr">
        <is>
          <t>Value</t>
        </is>
      </c>
      <c r="C10" s="2" t="inlineStr">
        <is>
          <t>Unit</t>
        </is>
      </c>
      <c r="D10" s="2" t="n"/>
      <c r="E10" s="2" t="inlineStr">
        <is>
          <t>Description</t>
        </is>
      </c>
    </row>
    <row r="11" ht="18.75" customHeight="1" s="32">
      <c r="A11" s="3" t="inlineStr">
        <is>
          <t>Gross AOV</t>
        </is>
      </c>
      <c r="B11" s="6" t="n">
        <v>100</v>
      </c>
      <c r="C11" s="3" t="inlineStr">
        <is>
          <t>$</t>
        </is>
      </c>
      <c r="D11" s="3" t="n"/>
      <c r="E11" s="3" t="inlineStr">
        <is>
          <t>Average order value before discounts</t>
        </is>
      </c>
      <c r="G11" t="inlineStr">
        <is>
          <t>Revenue | Row 5 &amp; Missions | Col J</t>
        </is>
      </c>
    </row>
    <row r="12" ht="15.75" customHeight="1" s="32">
      <c r="A12" s="3" t="inlineStr">
        <is>
          <t>Rolling Window Duration</t>
        </is>
      </c>
      <c r="B12" s="4" t="n">
        <v>30</v>
      </c>
      <c r="C12" s="3" t="inlineStr">
        <is>
          <t>days</t>
        </is>
      </c>
      <c r="D12" s="3" t="n"/>
      <c r="E12" s="3" t="inlineStr">
        <is>
          <t>Time period for VIP level qualification</t>
        </is>
      </c>
      <c r="G12" s="17" t="inlineStr">
        <is>
          <t>Placeholder..</t>
        </is>
      </c>
    </row>
    <row r="14" ht="18.75" customHeight="1" s="32">
      <c r="A14" s="1" t="inlineStr">
        <is>
          <t>REDEMPTION &amp; BEHAVIOR INPUTS</t>
        </is>
      </c>
    </row>
    <row r="15" ht="15.75" customHeight="1" s="32">
      <c r="A15" s="2" t="inlineStr">
        <is>
          <t>Parameter</t>
        </is>
      </c>
      <c r="B15" s="2" t="inlineStr">
        <is>
          <t>Value</t>
        </is>
      </c>
      <c r="C15" s="2" t="inlineStr">
        <is>
          <t>Unit</t>
        </is>
      </c>
      <c r="D15" s="2" t="n"/>
      <c r="E15" s="2" t="inlineStr">
        <is>
          <t>Description</t>
        </is>
      </c>
    </row>
    <row r="16" ht="18.75" customHeight="1" s="32">
      <c r="A16" s="3" t="inlineStr">
        <is>
          <t>Discount Redemption Rate</t>
        </is>
      </c>
      <c r="B16" s="5" t="n">
        <v>0.3</v>
      </c>
      <c r="C16" s="3" t="inlineStr">
        <is>
          <t>%</t>
        </is>
      </c>
      <c r="D16" s="3" t="n"/>
      <c r="E16" s="3" t="inlineStr">
        <is>
          <t>Percentage of discount coupons redeemed</t>
        </is>
      </c>
      <c r="G16" t="inlineStr">
        <is>
          <t>Revenue | Row 8</t>
        </is>
      </c>
    </row>
    <row r="17" ht="18.75" customHeight="1" s="32">
      <c r="A17" s="3" t="inlineStr">
        <is>
          <t>Default Mission Completion Rate</t>
        </is>
      </c>
      <c r="B17" s="5" t="n">
        <v>0.25</v>
      </c>
      <c r="C17" s="3" t="inlineStr">
        <is>
          <t>%</t>
        </is>
      </c>
      <c r="D17" s="3" t="n"/>
      <c r="E17" s="3" t="inlineStr">
        <is>
          <t>Default completion rate for missions</t>
        </is>
      </c>
      <c r="G17" s="17" t="inlineStr">
        <is>
          <t>Overriden by mission sheet… delete?</t>
        </is>
      </c>
    </row>
    <row r="19" ht="18.75" customHeight="1" s="32">
      <c r="A19" s="1" t="inlineStr">
        <is>
          <t>COST INPUTS</t>
        </is>
      </c>
    </row>
    <row r="20" ht="15.75" customHeight="1" s="32">
      <c r="A20" s="2" t="inlineStr">
        <is>
          <t>Parameter</t>
        </is>
      </c>
      <c r="B20" s="2" t="inlineStr">
        <is>
          <t>Value</t>
        </is>
      </c>
      <c r="C20" s="2" t="inlineStr">
        <is>
          <t>Unit</t>
        </is>
      </c>
      <c r="D20" s="2" t="n"/>
      <c r="E20" s="2" t="inlineStr">
        <is>
          <t>Description</t>
        </is>
      </c>
    </row>
    <row r="21" ht="18.75" customHeight="1" s="32">
      <c r="A21" s="3" t="inlineStr">
        <is>
          <t>Cost per Sample</t>
        </is>
      </c>
      <c r="B21" s="6" t="n">
        <v>15</v>
      </c>
      <c r="C21" s="3" t="inlineStr">
        <is>
          <t>$</t>
        </is>
      </c>
      <c r="D21" s="3" t="n"/>
      <c r="E21" s="3" t="inlineStr">
        <is>
          <t>Cost of each sample sent (product + shipping)</t>
        </is>
      </c>
      <c r="G21" t="inlineStr">
        <is>
          <t>Costs row 22</t>
        </is>
      </c>
    </row>
    <row r="23" ht="15.75" customHeight="1" s="32">
      <c r="A23" s="21" t="inlineStr">
        <is>
          <t>MONTHLY LEVEL DISTRIBUTION</t>
        </is>
      </c>
    </row>
    <row r="24" ht="18.75" customHeight="1" s="32">
      <c r="A24" s="22" t="inlineStr">
        <is>
          <t>(% of affiliates at each level per month)</t>
        </is>
      </c>
      <c r="B24" s="8" t="n"/>
    </row>
    <row r="25" ht="15.75" customHeight="1" s="32">
      <c r="A25" s="23" t="inlineStr">
        <is>
          <t>Level</t>
        </is>
      </c>
      <c r="B25" s="23" t="inlineStr">
        <is>
          <t>Month 1</t>
        </is>
      </c>
      <c r="C25" s="23" t="inlineStr">
        <is>
          <t>Month 2</t>
        </is>
      </c>
      <c r="D25" s="23" t="inlineStr">
        <is>
          <t>Month 3</t>
        </is>
      </c>
      <c r="E25" s="23" t="inlineStr">
        <is>
          <t>Month 4</t>
        </is>
      </c>
      <c r="F25" s="23" t="inlineStr">
        <is>
          <t>Month 5</t>
        </is>
      </c>
      <c r="G25" s="23" t="inlineStr">
        <is>
          <t>Month 6</t>
        </is>
      </c>
      <c r="H25" s="23" t="inlineStr">
        <is>
          <t>Month 7</t>
        </is>
      </c>
      <c r="I25" s="23" t="inlineStr">
        <is>
          <t>Month 8</t>
        </is>
      </c>
      <c r="J25" s="23" t="inlineStr">
        <is>
          <t>Month 9</t>
        </is>
      </c>
      <c r="K25" s="23" t="inlineStr">
        <is>
          <t>Month 10</t>
        </is>
      </c>
      <c r="L25" s="23" t="inlineStr">
        <is>
          <t>Month 11</t>
        </is>
      </c>
      <c r="M25" s="23" t="inlineStr">
        <is>
          <t>Month 12</t>
        </is>
      </c>
    </row>
    <row r="26" ht="31.5" customHeight="1" s="32">
      <c r="A26" s="24" t="inlineStr">
        <is>
          <t>Bronze</t>
        </is>
      </c>
      <c r="B26" s="25" t="n">
        <v>0.9</v>
      </c>
      <c r="C26" s="25" t="n">
        <v>0.8</v>
      </c>
      <c r="D26" s="25" t="n">
        <v>0.7</v>
      </c>
      <c r="E26" s="25" t="n">
        <v>0.62</v>
      </c>
      <c r="F26" s="25" t="n">
        <v>0.55</v>
      </c>
      <c r="G26" s="25" t="n">
        <v>0.5</v>
      </c>
      <c r="H26" s="25" t="n">
        <v>0.47</v>
      </c>
      <c r="I26" s="25" t="n">
        <v>0.44</v>
      </c>
      <c r="J26" s="25" t="n">
        <v>0.42</v>
      </c>
      <c r="K26" s="25" t="n">
        <v>0.4</v>
      </c>
      <c r="L26" s="25" t="n">
        <v>0.38</v>
      </c>
      <c r="M26" s="25" t="n">
        <v>0.36</v>
      </c>
    </row>
    <row r="27">
      <c r="A27" s="24" t="inlineStr">
        <is>
          <t>Silver</t>
        </is>
      </c>
      <c r="B27" s="25" t="n">
        <v>0.1</v>
      </c>
      <c r="C27" s="25" t="n">
        <v>0.15</v>
      </c>
      <c r="D27" s="25" t="n">
        <v>0.2</v>
      </c>
      <c r="E27" s="25" t="n">
        <v>0.23</v>
      </c>
      <c r="F27" s="25" t="n">
        <v>0.26</v>
      </c>
      <c r="G27" s="25" t="n">
        <v>0.28</v>
      </c>
      <c r="H27" s="25" t="n">
        <v>0.29</v>
      </c>
      <c r="I27" s="25" t="n">
        <v>0.3</v>
      </c>
      <c r="J27" s="25" t="n">
        <v>0.3</v>
      </c>
      <c r="K27" s="25" t="n">
        <v>0.3</v>
      </c>
      <c r="L27" s="25" t="n">
        <v>0.3</v>
      </c>
      <c r="M27" s="25" t="n">
        <v>0.3</v>
      </c>
    </row>
    <row r="28">
      <c r="A28" s="24" t="inlineStr">
        <is>
          <t>Gold</t>
        </is>
      </c>
      <c r="B28" s="25" t="n">
        <v>0</v>
      </c>
      <c r="C28" s="25" t="n">
        <v>0.05</v>
      </c>
      <c r="D28" s="25" t="n">
        <v>0.08</v>
      </c>
      <c r="E28" s="25" t="n">
        <v>0.1</v>
      </c>
      <c r="F28" s="25" t="n">
        <v>0.12</v>
      </c>
      <c r="G28" s="25" t="n">
        <v>0.14</v>
      </c>
      <c r="H28" s="25" t="n">
        <v>0.15</v>
      </c>
      <c r="I28" s="25" t="n">
        <v>0.16</v>
      </c>
      <c r="J28" s="25" t="n">
        <v>0.17</v>
      </c>
      <c r="K28" s="25" t="n">
        <v>0.18</v>
      </c>
      <c r="L28" s="25" t="n">
        <v>0.19</v>
      </c>
      <c r="M28" s="25" t="n">
        <v>0.2</v>
      </c>
    </row>
    <row r="29">
      <c r="A29" s="24" t="inlineStr">
        <is>
          <t>Platinum</t>
        </is>
      </c>
      <c r="B29" s="25" t="n">
        <v>0</v>
      </c>
      <c r="C29" s="25" t="n">
        <v>0</v>
      </c>
      <c r="D29" s="25" t="n">
        <v>0.02</v>
      </c>
      <c r="E29" s="25" t="n">
        <v>0.05</v>
      </c>
      <c r="F29" s="25" t="n">
        <v>0.07000000000000001</v>
      </c>
      <c r="G29" s="25" t="n">
        <v>0.08</v>
      </c>
      <c r="H29" s="25" t="n">
        <v>0.09</v>
      </c>
      <c r="I29" s="25" t="n">
        <v>0.1</v>
      </c>
      <c r="J29" s="25" t="n">
        <v>0.11</v>
      </c>
      <c r="K29" s="25" t="n">
        <v>0.12</v>
      </c>
      <c r="L29" s="25" t="n">
        <v>0.13</v>
      </c>
      <c r="M29" s="25" t="n">
        <v>0.14</v>
      </c>
    </row>
    <row r="30">
      <c r="A30" s="24" t="inlineStr">
        <is>
          <t>Diamond</t>
        </is>
      </c>
      <c r="B30" s="25" t="n">
        <v>0</v>
      </c>
      <c r="C30" s="25" t="n">
        <v>0</v>
      </c>
      <c r="D30" s="25" t="n">
        <v>0</v>
      </c>
      <c r="E30" s="25" t="n">
        <v>0</v>
      </c>
      <c r="F30" s="25" t="n">
        <v>0</v>
      </c>
      <c r="G30" s="25" t="n">
        <v>0</v>
      </c>
      <c r="H30" s="25" t="n">
        <v>0</v>
      </c>
      <c r="I30" s="25" t="n">
        <v>0</v>
      </c>
      <c r="J30" s="25" t="n">
        <v>0</v>
      </c>
      <c r="K30" s="25" t="n">
        <v>0</v>
      </c>
      <c r="L30" s="25" t="n">
        <v>0</v>
      </c>
      <c r="M30" s="25" t="n">
        <v>0</v>
      </c>
    </row>
    <row r="31">
      <c r="A31" s="26" t="inlineStr">
        <is>
          <t>Total (must = 100%)</t>
        </is>
      </c>
      <c r="B31" s="27">
        <f>SUM(B26:B30)</f>
        <v/>
      </c>
      <c r="C31" s="27">
        <f>SUM(C26:C30)</f>
        <v/>
      </c>
      <c r="D31" s="27">
        <f>SUM(D26:D30)</f>
        <v/>
      </c>
      <c r="E31" s="27">
        <f>SUM(E26:E30)</f>
        <v/>
      </c>
      <c r="F31" s="27">
        <f>SUM(F26:F30)</f>
        <v/>
      </c>
      <c r="G31" s="27">
        <f>SUM(G26:G30)</f>
        <v/>
      </c>
      <c r="H31" s="27">
        <f>SUM(H26:H30)</f>
        <v/>
      </c>
      <c r="I31" s="27">
        <f>SUM(I26:I30)</f>
        <v/>
      </c>
      <c r="J31" s="27">
        <f>SUM(J26:J30)</f>
        <v/>
      </c>
      <c r="K31" s="27">
        <f>SUM(K26:K30)</f>
        <v/>
      </c>
      <c r="L31" s="27">
        <f>SUM(L26:L30)</f>
        <v/>
      </c>
      <c r="M31" s="27">
        <f>SUM(M26:M30)</f>
        <v/>
      </c>
    </row>
    <row r="33" ht="15.75" customHeight="1" s="32">
      <c r="A33" s="21" t="inlineStr">
        <is>
          <t>MONTHLY FLYWHEEL AFFILIATES</t>
        </is>
      </c>
    </row>
    <row r="34">
      <c r="A34" s="22" t="inlineStr">
        <is>
          <t>(Organic inbound affiliates per month)</t>
        </is>
      </c>
    </row>
    <row r="35" ht="18.75" customHeight="1" s="32">
      <c r="A35" s="23" t="inlineStr">
        <is>
          <t>Flywheel</t>
        </is>
      </c>
      <c r="B35" s="23" t="inlineStr">
        <is>
          <t>Month 1</t>
        </is>
      </c>
      <c r="C35" s="23" t="inlineStr">
        <is>
          <t>Month 2</t>
        </is>
      </c>
      <c r="D35" s="23" t="inlineStr">
        <is>
          <t>Month 3</t>
        </is>
      </c>
      <c r="E35" s="23" t="inlineStr">
        <is>
          <t>Month 4</t>
        </is>
      </c>
      <c r="F35" s="23" t="inlineStr">
        <is>
          <t>Month 5</t>
        </is>
      </c>
      <c r="G35" s="23" t="inlineStr">
        <is>
          <t>Month 6</t>
        </is>
      </c>
      <c r="H35" s="23" t="inlineStr">
        <is>
          <t>Month 7</t>
        </is>
      </c>
      <c r="I35" s="23" t="inlineStr">
        <is>
          <t>Month 8</t>
        </is>
      </c>
      <c r="J35" s="23" t="inlineStr">
        <is>
          <t>Month 9</t>
        </is>
      </c>
      <c r="K35" s="23" t="inlineStr">
        <is>
          <t>Month 10</t>
        </is>
      </c>
      <c r="L35" s="23" t="inlineStr">
        <is>
          <t>Month 11</t>
        </is>
      </c>
      <c r="M35" s="23" t="inlineStr">
        <is>
          <t>Month 12</t>
        </is>
      </c>
    </row>
    <row r="36">
      <c r="A36" s="24" t="inlineStr">
        <is>
          <t>Affiliates</t>
        </is>
      </c>
      <c r="B36" s="28" t="n">
        <v>5</v>
      </c>
      <c r="C36" s="28" t="n">
        <v>8</v>
      </c>
      <c r="D36" s="28" t="n">
        <v>10</v>
      </c>
      <c r="E36" s="28" t="n">
        <v>12</v>
      </c>
      <c r="F36" s="28" t="n">
        <v>15</v>
      </c>
      <c r="G36" s="28" t="n">
        <v>18</v>
      </c>
      <c r="H36" s="28" t="n">
        <v>20</v>
      </c>
      <c r="I36" s="28" t="n">
        <v>22</v>
      </c>
      <c r="J36" s="28" t="n">
        <v>25</v>
      </c>
      <c r="K36" s="28" t="n">
        <v>28</v>
      </c>
      <c r="L36" s="28" t="n">
        <v>30</v>
      </c>
      <c r="M36" s="28" t="n">
        <v>35</v>
      </c>
    </row>
    <row r="52" ht="18.75" customHeight="1" s="32"/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2" sqref="A12"/>
    </sheetView>
  </sheetViews>
  <sheetFormatPr baseColWidth="8" defaultRowHeight="15"/>
  <cols>
    <col width="45" customWidth="1" style="32" min="1" max="1"/>
    <col width="13" customWidth="1" style="32" min="2" max="4"/>
    <col width="17.28515625" customWidth="1" style="32" min="5" max="5"/>
    <col width="13" customWidth="1" style="32" min="6" max="14"/>
  </cols>
  <sheetData>
    <row r="1" ht="21" customHeight="1" s="32">
      <c r="A1" s="31" t="inlineStr">
        <is>
          <t>VIP LEVEL CONFIGURATION</t>
        </is>
      </c>
    </row>
    <row r="3" ht="18.75" customHeight="1" s="32">
      <c r="A3" s="1" t="inlineStr">
        <is>
          <t>LEVEL THRESHOLDS &amp; COMMISSION</t>
        </is>
      </c>
    </row>
    <row r="4" ht="47.25" customHeight="1" s="32">
      <c r="A4" s="2" t="inlineStr">
        <is>
          <t>Level #</t>
        </is>
      </c>
      <c r="B4" s="2" t="inlineStr">
        <is>
          <t>Name</t>
        </is>
      </c>
      <c r="C4" s="2" t="inlineStr">
        <is>
          <t>Sales Threshold</t>
        </is>
      </c>
      <c r="D4" s="2" t="inlineStr">
        <is>
          <t>Base Commission %</t>
        </is>
      </c>
      <c r="E4" s="2" t="inlineStr">
        <is>
          <t>Avg Sales/Month</t>
        </is>
      </c>
    </row>
    <row r="5">
      <c r="A5" s="3" t="n">
        <v>1</v>
      </c>
      <c r="B5" s="4" t="inlineStr">
        <is>
          <t>Bronze</t>
        </is>
      </c>
      <c r="C5" s="4" t="n">
        <v>0</v>
      </c>
      <c r="D5" s="5" t="n">
        <v>0.2</v>
      </c>
      <c r="E5" s="20" t="n">
        <v>2</v>
      </c>
    </row>
    <row r="6">
      <c r="A6" s="3" t="n">
        <v>2</v>
      </c>
      <c r="B6" s="4" t="inlineStr">
        <is>
          <t>Silver</t>
        </is>
      </c>
      <c r="C6" s="4" t="n">
        <v>15</v>
      </c>
      <c r="D6" s="5" t="n">
        <v>0.2</v>
      </c>
      <c r="E6" s="20" t="n">
        <v>6</v>
      </c>
    </row>
    <row r="7">
      <c r="A7" s="3" t="n">
        <v>3</v>
      </c>
      <c r="B7" s="4" t="inlineStr">
        <is>
          <t>Gold</t>
        </is>
      </c>
      <c r="C7" s="4" t="n">
        <v>75</v>
      </c>
      <c r="D7" s="5" t="n">
        <v>0.2</v>
      </c>
      <c r="E7" s="20" t="n">
        <v>12</v>
      </c>
    </row>
    <row r="8">
      <c r="A8" s="3" t="n">
        <v>4</v>
      </c>
      <c r="B8" s="4" t="inlineStr">
        <is>
          <t>Platinum</t>
        </is>
      </c>
      <c r="C8" s="4" t="n">
        <v>150</v>
      </c>
      <c r="D8" s="5" t="n">
        <v>0.2</v>
      </c>
      <c r="E8" s="20" t="n">
        <v>25</v>
      </c>
    </row>
    <row r="9">
      <c r="A9" s="3" t="n">
        <v>5</v>
      </c>
      <c r="B9" s="4" t="inlineStr">
        <is>
          <t>Diamond</t>
        </is>
      </c>
      <c r="C9" s="4" t="n">
        <v>0</v>
      </c>
      <c r="D9" s="5" t="n">
        <v>0</v>
      </c>
      <c r="E9" s="20" t="n">
        <v>0</v>
      </c>
    </row>
    <row r="12" ht="18.75" customHeight="1" s="32">
      <c r="A12" s="1" t="inlineStr">
        <is>
          <t>WELCOME REWARDS (Per Level)</t>
        </is>
      </c>
    </row>
    <row r="13" ht="31.5" customHeight="1" s="32">
      <c r="A13" s="2" t="inlineStr">
        <is>
          <t>Level</t>
        </is>
      </c>
      <c r="B13" s="2" t="inlineStr">
        <is>
          <t>Comm Boost Qty</t>
        </is>
      </c>
      <c r="C13" s="2" t="inlineStr">
        <is>
          <t>Comm Boost %</t>
        </is>
      </c>
      <c r="D13" s="2" t="inlineStr">
        <is>
          <t>Comm Boost Days</t>
        </is>
      </c>
      <c r="E13" s="2" t="inlineStr">
        <is>
          <t>Gift Card Qty</t>
        </is>
      </c>
      <c r="F13" s="2" t="inlineStr">
        <is>
          <t>Gift Card $</t>
        </is>
      </c>
      <c r="G13" s="2" t="inlineStr">
        <is>
          <t>Discount Qty</t>
        </is>
      </c>
      <c r="H13" s="2" t="inlineStr">
        <is>
          <t>Discount %</t>
        </is>
      </c>
      <c r="I13" s="2" t="inlineStr">
        <is>
          <t>Discount Days</t>
        </is>
      </c>
      <c r="J13" s="2" t="inlineStr">
        <is>
          <t>Spark Ads Qty</t>
        </is>
      </c>
      <c r="K13" s="2" t="inlineStr">
        <is>
          <t>Spark Ads $</t>
        </is>
      </c>
      <c r="L13" s="2" t="inlineStr">
        <is>
          <t>Phys Gift Qty</t>
        </is>
      </c>
      <c r="M13" s="2" t="inlineStr">
        <is>
          <t>Phys Gift $</t>
        </is>
      </c>
      <c r="N13" s="2" t="inlineStr">
        <is>
          <t>Experience Qty</t>
        </is>
      </c>
      <c r="O13" s="2" t="inlineStr">
        <is>
          <t>Experience $</t>
        </is>
      </c>
    </row>
    <row r="14">
      <c r="A14" s="3" t="inlineStr">
        <is>
          <t>Bronze</t>
        </is>
      </c>
      <c r="B14" s="4" t="n">
        <v>0</v>
      </c>
      <c r="C14" s="5" t="n">
        <v>0.1</v>
      </c>
      <c r="D14" s="4" t="n">
        <v>0</v>
      </c>
      <c r="E14" s="4" t="n">
        <v>0</v>
      </c>
      <c r="F14" s="9" t="n">
        <v>0</v>
      </c>
      <c r="G14" s="4" t="n">
        <v>1</v>
      </c>
      <c r="H14" s="5" t="n">
        <v>0.15</v>
      </c>
      <c r="I14" s="4" t="n">
        <v>7</v>
      </c>
      <c r="J14" s="4" t="n">
        <v>0</v>
      </c>
      <c r="K14" s="9" t="n">
        <v>0</v>
      </c>
      <c r="L14" s="4" t="n">
        <v>0</v>
      </c>
      <c r="M14" s="9" t="n">
        <v>0</v>
      </c>
      <c r="N14" s="4" t="n">
        <v>0</v>
      </c>
      <c r="O14" s="9" t="n">
        <v>0</v>
      </c>
    </row>
    <row r="15">
      <c r="A15" s="3" t="inlineStr">
        <is>
          <t>Silver</t>
        </is>
      </c>
      <c r="B15" s="4" t="n">
        <v>1</v>
      </c>
      <c r="C15" s="5" t="n">
        <v>0.1</v>
      </c>
      <c r="D15" s="4" t="n">
        <v>4</v>
      </c>
      <c r="E15" s="4" t="n">
        <v>1</v>
      </c>
      <c r="F15" s="9" t="n">
        <v>50</v>
      </c>
      <c r="G15" s="4" t="n">
        <v>1</v>
      </c>
      <c r="H15" s="5" t="n">
        <v>0.15</v>
      </c>
      <c r="I15" s="4" t="n">
        <v>7</v>
      </c>
      <c r="J15" s="4" t="n">
        <v>0</v>
      </c>
      <c r="K15" s="9" t="n">
        <v>0</v>
      </c>
      <c r="L15" s="4" t="n">
        <v>0</v>
      </c>
      <c r="M15" s="9" t="n">
        <v>0</v>
      </c>
      <c r="N15" s="4" t="n">
        <v>0</v>
      </c>
      <c r="O15" s="9" t="n">
        <v>0</v>
      </c>
    </row>
    <row r="16">
      <c r="A16" s="3" t="inlineStr">
        <is>
          <t>Gold</t>
        </is>
      </c>
      <c r="B16" s="4" t="n">
        <v>1</v>
      </c>
      <c r="C16" s="5" t="n">
        <v>0.2</v>
      </c>
      <c r="D16" s="4" t="n">
        <v>7</v>
      </c>
      <c r="E16" s="4" t="n">
        <v>1</v>
      </c>
      <c r="F16" s="9" t="n">
        <v>100</v>
      </c>
      <c r="G16" s="4" t="n">
        <v>1</v>
      </c>
      <c r="H16" s="5" t="n">
        <v>0.2</v>
      </c>
      <c r="I16" s="4" t="n">
        <v>7</v>
      </c>
      <c r="J16" s="4" t="n">
        <v>0</v>
      </c>
      <c r="K16" s="9" t="n">
        <v>0</v>
      </c>
      <c r="L16" s="4" t="n">
        <v>0</v>
      </c>
      <c r="M16" s="9" t="n">
        <v>0</v>
      </c>
      <c r="N16" s="4" t="n">
        <v>0</v>
      </c>
      <c r="O16" s="9" t="n">
        <v>0</v>
      </c>
    </row>
    <row r="17">
      <c r="A17" s="3" t="inlineStr">
        <is>
          <t>Platinum</t>
        </is>
      </c>
      <c r="B17" s="4" t="n">
        <v>2</v>
      </c>
      <c r="C17" s="5" t="n">
        <v>0.25</v>
      </c>
      <c r="D17" s="4" t="n">
        <v>7</v>
      </c>
      <c r="E17" s="4" t="n">
        <v>2</v>
      </c>
      <c r="F17" s="9" t="n">
        <v>150</v>
      </c>
      <c r="G17" s="4" t="n">
        <v>1</v>
      </c>
      <c r="H17" s="5" t="n">
        <v>0.2</v>
      </c>
      <c r="I17" s="4" t="n">
        <v>7</v>
      </c>
      <c r="J17" s="4" t="n">
        <v>0</v>
      </c>
      <c r="K17" s="9" t="n">
        <v>0</v>
      </c>
      <c r="L17" s="4" t="n">
        <v>0</v>
      </c>
      <c r="M17" s="9" t="n">
        <v>0</v>
      </c>
      <c r="N17" s="4" t="n">
        <v>0</v>
      </c>
      <c r="O17" s="9" t="n">
        <v>0</v>
      </c>
    </row>
    <row r="18">
      <c r="A18" s="3" t="inlineStr">
        <is>
          <t>Diamond</t>
        </is>
      </c>
      <c r="B18" s="4" t="n">
        <v>0</v>
      </c>
      <c r="C18" s="5" t="n">
        <v>0</v>
      </c>
      <c r="D18" s="4" t="n">
        <v>0</v>
      </c>
      <c r="E18" s="4" t="n">
        <v>0</v>
      </c>
      <c r="F18" s="9" t="n">
        <v>0</v>
      </c>
      <c r="G18" s="4" t="n">
        <v>0</v>
      </c>
      <c r="H18" s="5" t="n">
        <v>0</v>
      </c>
      <c r="I18" s="4" t="n">
        <v>0</v>
      </c>
      <c r="J18" s="4" t="n">
        <v>0</v>
      </c>
      <c r="K18" s="9" t="n">
        <v>0</v>
      </c>
      <c r="L18" s="4" t="n">
        <v>0</v>
      </c>
      <c r="M18" s="9" t="n">
        <v>0</v>
      </c>
      <c r="N18" s="4" t="n">
        <v>0</v>
      </c>
      <c r="O18" s="9" t="n">
        <v>0</v>
      </c>
    </row>
    <row r="21" ht="18.75" customHeight="1" s="32"/>
  </sheetData>
  <mergeCells count="1">
    <mergeCell ref="A1:O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zoomScale="85" zoomScaleNormal="85" workbookViewId="0">
      <selection activeCell="F32" sqref="F32"/>
    </sheetView>
  </sheetViews>
  <sheetFormatPr baseColWidth="8" defaultRowHeight="15"/>
  <cols>
    <col width="18" customWidth="1" style="32" min="1" max="10"/>
  </cols>
  <sheetData>
    <row r="1" ht="21" customHeight="1" s="32">
      <c r="A1" s="31" t="inlineStr">
        <is>
          <t>MISSION CONFIGURATION</t>
        </is>
      </c>
    </row>
    <row r="3" ht="18.75" customHeight="1" s="32">
      <c r="A3" s="1" t="inlineStr">
        <is>
          <t>MISSIONS BY VIP LEVEL</t>
        </is>
      </c>
    </row>
    <row r="4" ht="31.5" customHeight="1" s="32">
      <c r="A4" s="2" t="inlineStr">
        <is>
          <t>VIP Level</t>
        </is>
      </c>
      <c r="B4" s="2" t="inlineStr">
        <is>
          <t>Mission Type</t>
        </is>
      </c>
      <c r="C4" s="2" t="inlineStr">
        <is>
          <t>Target</t>
        </is>
      </c>
      <c r="D4" s="2" t="inlineStr">
        <is>
          <t>Repeatability</t>
        </is>
      </c>
      <c r="E4" s="2" t="inlineStr">
        <is>
          <t>Completion Rate</t>
        </is>
      </c>
      <c r="F4" s="2" t="inlineStr">
        <is>
          <t>Reward Type</t>
        </is>
      </c>
      <c r="G4" s="2" t="inlineStr">
        <is>
          <t>Reward Value</t>
        </is>
      </c>
      <c r="H4" s="2" t="inlineStr">
        <is>
          <t>Reward Duration</t>
        </is>
      </c>
      <c r="I4" s="2" t="inlineStr">
        <is>
          <t>Active?</t>
        </is>
      </c>
      <c r="J4" s="2" t="inlineStr">
        <is>
          <t>Cost per Completion</t>
        </is>
      </c>
    </row>
    <row r="5">
      <c r="A5" s="4" t="inlineStr">
        <is>
          <t>Bronze</t>
        </is>
      </c>
      <c r="B5" s="4" t="inlineStr">
        <is>
          <t>Sales</t>
        </is>
      </c>
      <c r="C5" s="4" t="n">
        <v>10</v>
      </c>
      <c r="D5" s="4" t="inlineStr">
        <is>
          <t>One-time</t>
        </is>
      </c>
      <c r="E5" s="5" t="n">
        <v>0.5</v>
      </c>
      <c r="F5" s="4" t="inlineStr">
        <is>
          <t>Gift Card</t>
        </is>
      </c>
      <c r="G5" s="9" t="n">
        <v>25</v>
      </c>
      <c r="H5" s="4" t="n">
        <v>0</v>
      </c>
      <c r="I5" s="4" t="inlineStr">
        <is>
          <t>Yes</t>
        </is>
      </c>
      <c r="J5" s="11">
        <f>IF(D5="Weekly",(Inputs!$B$12/30)*4,IF(D5="Monthly",Inputs!$B$12/30,1))*IF(F5="Gift Card",G5,IF(F5="Spark Ads",G5,IF(F5="Commission Boost",G5*(INDEX('VIP Levels'!$E$5:$E$9,MATCH(A5,'VIP Levels'!$B$5:$B$9,0))/30*H5)*Revenue!$B$10,IF(F5="Discount",G5*(INDEX('VIP Levels'!$E$5:$E$9,MATCH(A5,'VIP Levels'!$B$5:$B$9,0))/30*H5)*Inputs!$B$11*Inputs!$B$16,0))))</f>
        <v/>
      </c>
    </row>
    <row r="6">
      <c r="A6" s="4" t="inlineStr">
        <is>
          <t>Bronze</t>
        </is>
      </c>
      <c r="B6" s="4" t="inlineStr">
        <is>
          <t>Videos</t>
        </is>
      </c>
      <c r="C6" s="4" t="n">
        <v>5</v>
      </c>
      <c r="D6" s="4" t="inlineStr">
        <is>
          <t>One-time</t>
        </is>
      </c>
      <c r="E6" s="5" t="n">
        <v>0.8</v>
      </c>
      <c r="F6" s="4" t="inlineStr">
        <is>
          <t>Gift Card</t>
        </is>
      </c>
      <c r="G6" s="9" t="n">
        <v>25</v>
      </c>
      <c r="H6" s="4" t="n">
        <v>0</v>
      </c>
      <c r="I6" s="4" t="inlineStr">
        <is>
          <t>Yes</t>
        </is>
      </c>
      <c r="J6" s="11">
        <f>IF(D6="Weekly",(Inputs!$B$12/30)*4,IF(D6="Monthly",Inputs!$B$12/30,1))*IF(F6="Gift Card",G6,IF(F6="Spark Ads",G6,IF(F6="Commission Boost",G6*(INDEX('VIP Levels'!$E$5:$E$9,MATCH(A6,'VIP Levels'!$B$5:$B$9,0))/30*H6)*Revenue!$B$10,IF(F6="Discount",G6*(INDEX('VIP Levels'!$E$5:$E$9,MATCH(A6,'VIP Levels'!$B$5:$B$9,0))/30*H6)*Inputs!$B$11*Inputs!$B$16,0))))</f>
        <v/>
      </c>
    </row>
    <row r="7">
      <c r="A7" s="4" t="inlineStr">
        <is>
          <t>Bronze</t>
        </is>
      </c>
      <c r="B7" s="4" t="inlineStr">
        <is>
          <t>Views</t>
        </is>
      </c>
      <c r="C7" s="4" t="n">
        <v>2000</v>
      </c>
      <c r="D7" s="4" t="inlineStr">
        <is>
          <t>One-time</t>
        </is>
      </c>
      <c r="E7" s="5" t="n">
        <v>0.9</v>
      </c>
      <c r="F7" s="4" t="inlineStr">
        <is>
          <t>Discount</t>
        </is>
      </c>
      <c r="G7" s="5" t="n">
        <v>0.15</v>
      </c>
      <c r="H7" s="4" t="n">
        <v>0</v>
      </c>
      <c r="I7" s="4" t="inlineStr">
        <is>
          <t>Yes</t>
        </is>
      </c>
      <c r="J7" s="11">
        <f>IF(D7="Weekly",(Inputs!$B$12/30)*4,IF(D7="Monthly",Inputs!$B$12/30,1))*IF(F7="Gift Card",G7,IF(F7="Spark Ads",G7,IF(F7="Commission Boost",G7*(INDEX('VIP Levels'!$E$5:$E$9,MATCH(A7,'VIP Levels'!$B$5:$B$9,0))/30*H7)*Revenue!$B$10,IF(F7="Discount",G7*(INDEX('VIP Levels'!$E$5:$E$9,MATCH(A7,'VIP Levels'!$B$5:$B$9,0))/30*H7)*Inputs!$B$11*Inputs!$B$16,0))))</f>
        <v/>
      </c>
    </row>
    <row r="8">
      <c r="A8" s="4" t="inlineStr">
        <is>
          <t>Silver</t>
        </is>
      </c>
      <c r="B8" s="4" t="inlineStr">
        <is>
          <t>Sales</t>
        </is>
      </c>
      <c r="C8" s="4" t="n">
        <v>15</v>
      </c>
      <c r="D8" s="4" t="inlineStr">
        <is>
          <t>Monthly</t>
        </is>
      </c>
      <c r="E8" s="5" t="n">
        <v>0.6</v>
      </c>
      <c r="F8" s="4" t="inlineStr">
        <is>
          <t>Gift Card</t>
        </is>
      </c>
      <c r="G8" s="9" t="n">
        <v>50</v>
      </c>
      <c r="H8" s="4" t="n">
        <v>0</v>
      </c>
      <c r="I8" s="4" t="inlineStr">
        <is>
          <t>Yes</t>
        </is>
      </c>
      <c r="J8" s="11">
        <f>IF(D8="Weekly",(Inputs!$B$12/30)*4,IF(D8="Monthly",Inputs!$B$12/30,1))*IF(F8="Gift Card",G8,IF(F8="Spark Ads",G8,IF(F8="Commission Boost",G8*(INDEX('VIP Levels'!$E$5:$E$9,MATCH(A8,'VIP Levels'!$B$5:$B$9,0))/30*H8)*Revenue!$B$10,IF(F8="Discount",G8*(INDEX('VIP Levels'!$E$5:$E$9,MATCH(A8,'VIP Levels'!$B$5:$B$9,0))/30*H8)*Inputs!$B$11*Inputs!$B$16,0))))</f>
        <v/>
      </c>
    </row>
    <row r="9">
      <c r="A9" s="4" t="inlineStr">
        <is>
          <t>Silver</t>
        </is>
      </c>
      <c r="B9" s="4" t="inlineStr">
        <is>
          <t>Videos</t>
        </is>
      </c>
      <c r="C9" s="4" t="n">
        <v>15</v>
      </c>
      <c r="D9" s="4" t="inlineStr">
        <is>
          <t>Monthly</t>
        </is>
      </c>
      <c r="E9" s="5" t="n">
        <v>0.6</v>
      </c>
      <c r="F9" s="4" t="inlineStr">
        <is>
          <t>Commission Boost</t>
        </is>
      </c>
      <c r="G9" s="5" t="n">
        <v>0.1</v>
      </c>
      <c r="H9" s="4" t="n">
        <v>7</v>
      </c>
      <c r="I9" s="4" t="inlineStr">
        <is>
          <t>Yes</t>
        </is>
      </c>
      <c r="J9" s="11">
        <f>IF(D9="Weekly",(Inputs!$B$12/30)*4,IF(D9="Monthly",Inputs!$B$12/30,1))*IF(F9="Gift Card",G9,IF(F9="Spark Ads",G9,IF(F9="Commission Boost",G9*(INDEX('VIP Levels'!$E$5:$E$9,MATCH(A9,'VIP Levels'!$B$5:$B$9,0))/30*H9)*Revenue!$B$10,IF(F9="Discount",G9*(INDEX('VIP Levels'!$E$5:$E$9,MATCH(A9,'VIP Levels'!$B$5:$B$9,0))/30*H9)*Inputs!$B$11*Inputs!$B$16,0))))</f>
        <v/>
      </c>
    </row>
    <row r="10">
      <c r="A10" s="4" t="inlineStr">
        <is>
          <t>Silver</t>
        </is>
      </c>
      <c r="B10" s="4" t="inlineStr">
        <is>
          <t>Views</t>
        </is>
      </c>
      <c r="C10" s="4" t="n">
        <v>10000</v>
      </c>
      <c r="D10" s="4" t="inlineStr">
        <is>
          <t>Monthly</t>
        </is>
      </c>
      <c r="E10" s="5" t="n">
        <v>0.8</v>
      </c>
      <c r="F10" s="4" t="inlineStr">
        <is>
          <t>Discount</t>
        </is>
      </c>
      <c r="G10" s="5" t="n">
        <v>0.1</v>
      </c>
      <c r="H10" s="4" t="n">
        <v>2</v>
      </c>
      <c r="I10" s="4" t="inlineStr">
        <is>
          <t>Yes</t>
        </is>
      </c>
      <c r="J10" s="11">
        <f>IF(D10="Weekly",(Inputs!$B$12/30)*4,IF(D10="Monthly",Inputs!$B$12/30,1))*IF(F10="Gift Card",G10,IF(F10="Spark Ads",G10,IF(F10="Commission Boost",G10*(INDEX('VIP Levels'!$E$5:$E$9,MATCH(A10,'VIP Levels'!$B$5:$B$9,0))/30*H10)*Revenue!$B$10,IF(F10="Discount",G10*(INDEX('VIP Levels'!$E$5:$E$9,MATCH(A10,'VIP Levels'!$B$5:$B$9,0))/30*H10)*Inputs!$B$11*Inputs!$B$16,0))))</f>
        <v/>
      </c>
    </row>
    <row r="11">
      <c r="A11" s="4" t="inlineStr">
        <is>
          <t>Gold</t>
        </is>
      </c>
      <c r="B11" s="4" t="inlineStr">
        <is>
          <t>Sales</t>
        </is>
      </c>
      <c r="C11" s="4" t="n">
        <v>40</v>
      </c>
      <c r="D11" s="4" t="inlineStr">
        <is>
          <t>Monthly</t>
        </is>
      </c>
      <c r="E11" s="5" t="n">
        <v>0.5</v>
      </c>
      <c r="F11" s="4" t="inlineStr">
        <is>
          <t>Gift Card</t>
        </is>
      </c>
      <c r="G11" s="9" t="n">
        <v>150</v>
      </c>
      <c r="H11" s="4" t="n">
        <v>0</v>
      </c>
      <c r="I11" s="4" t="inlineStr">
        <is>
          <t>Yes</t>
        </is>
      </c>
      <c r="J11" s="11">
        <f>IF(D11="Weekly",(Inputs!$B$12/30)*4,IF(D11="Monthly",Inputs!$B$12/30,1))*IF(F11="Gift Card",G11,IF(F11="Spark Ads",G11,IF(F11="Commission Boost",G11*(INDEX('VIP Levels'!$E$5:$E$9,MATCH(A11,'VIP Levels'!$B$5:$B$9,0))/30*H11)*Revenue!$B$10,IF(F11="Discount",G11*(INDEX('VIP Levels'!$E$5:$E$9,MATCH(A11,'VIP Levels'!$B$5:$B$9,0))/30*H11)*Inputs!$B$11*Inputs!$B$16,0))))</f>
        <v/>
      </c>
    </row>
    <row r="12">
      <c r="A12" s="4" t="inlineStr">
        <is>
          <t>Gold</t>
        </is>
      </c>
      <c r="B12" s="4" t="inlineStr">
        <is>
          <t>Views</t>
        </is>
      </c>
      <c r="C12" s="4" t="n">
        <v>20000</v>
      </c>
      <c r="D12" s="4" t="inlineStr">
        <is>
          <t>Weekly</t>
        </is>
      </c>
      <c r="E12" s="5" t="n">
        <v>0.7</v>
      </c>
      <c r="F12" s="4" t="inlineStr">
        <is>
          <t>Discount</t>
        </is>
      </c>
      <c r="G12" s="5" t="n">
        <v>0.1</v>
      </c>
      <c r="H12" s="4" t="n">
        <v>2</v>
      </c>
      <c r="I12" s="4" t="inlineStr">
        <is>
          <t>Yes</t>
        </is>
      </c>
      <c r="J12" s="11">
        <f>IF(D12="Weekly",(Inputs!$B$12/30)*4,IF(D12="Monthly",Inputs!$B$12/30,1))*IF(F12="Gift Card",G12,IF(F12="Spark Ads",G12,IF(F12="Commission Boost",G12*(INDEX('VIP Levels'!$E$5:$E$9,MATCH(A12,'VIP Levels'!$B$5:$B$9,0))/30*H12)*Revenue!$B$10,IF(F12="Discount",G12*(INDEX('VIP Levels'!$E$5:$E$9,MATCH(A12,'VIP Levels'!$B$5:$B$9,0))/30*H12)*Inputs!$B$11*Inputs!$B$16,0))))</f>
        <v/>
      </c>
    </row>
    <row r="13">
      <c r="A13" s="4" t="inlineStr">
        <is>
          <t>Gold</t>
        </is>
      </c>
      <c r="B13" s="4" t="inlineStr">
        <is>
          <t>Videos</t>
        </is>
      </c>
      <c r="C13" s="4" t="n">
        <v>20</v>
      </c>
      <c r="D13" s="4" t="inlineStr">
        <is>
          <t>Monthly</t>
        </is>
      </c>
      <c r="E13" s="5" t="n">
        <v>0.7</v>
      </c>
      <c r="F13" s="4" t="inlineStr">
        <is>
          <t>Commission Boost</t>
        </is>
      </c>
      <c r="G13" s="5" t="n">
        <v>0.1</v>
      </c>
      <c r="H13" s="4" t="n">
        <v>7</v>
      </c>
      <c r="I13" s="4" t="inlineStr">
        <is>
          <t>Yes</t>
        </is>
      </c>
      <c r="J13" s="11">
        <f>IF(D13="Weekly",(Inputs!$B$12/30)*4,IF(D13="Monthly",Inputs!$B$12/30,1))*IF(F13="Gift Card",G13,IF(F13="Spark Ads",G13,IF(F13="Commission Boost",G13*(INDEX('VIP Levels'!$E$5:$E$9,MATCH(A13,'VIP Levels'!$B$5:$B$9,0))/30*H13)*Revenue!$B$10,IF(F13="Discount",G13*(INDEX('VIP Levels'!$E$5:$E$9,MATCH(A13,'VIP Levels'!$B$5:$B$9,0))/30*H13)*Inputs!$B$11*Inputs!$B$16,0))))</f>
        <v/>
      </c>
    </row>
    <row r="14">
      <c r="A14" s="4" t="inlineStr">
        <is>
          <t>Platinum</t>
        </is>
      </c>
      <c r="B14" s="4" t="inlineStr">
        <is>
          <t>Sales</t>
        </is>
      </c>
      <c r="C14" s="4" t="n">
        <v>100</v>
      </c>
      <c r="D14" s="4" t="inlineStr">
        <is>
          <t>Monthly</t>
        </is>
      </c>
      <c r="E14" s="5" t="n">
        <v>0.4</v>
      </c>
      <c r="F14" s="4" t="inlineStr">
        <is>
          <t>Gift Card</t>
        </is>
      </c>
      <c r="G14" s="9" t="n">
        <v>400</v>
      </c>
      <c r="H14" s="4" t="n">
        <v>0</v>
      </c>
      <c r="I14" s="4" t="inlineStr">
        <is>
          <t>Yes</t>
        </is>
      </c>
      <c r="J14" s="11">
        <f>IF(D14="Weekly",(Inputs!$B$12/30)*4,IF(D14="Monthly",Inputs!$B$12/30,1))*IF(F14="Gift Card",G14,IF(F14="Spark Ads",G14,IF(F14="Commission Boost",G14*(INDEX('VIP Levels'!$E$5:$E$9,MATCH(A14,'VIP Levels'!$B$5:$B$9,0))/30*H14)*Revenue!$B$10,IF(F14="Discount",G14*(INDEX('VIP Levels'!$E$5:$E$9,MATCH(A14,'VIP Levels'!$B$5:$B$9,0))/30*H14)*Inputs!$B$11*Inputs!$B$16,0))))</f>
        <v/>
      </c>
    </row>
    <row r="15">
      <c r="A15" s="4" t="inlineStr">
        <is>
          <t>Platinum</t>
        </is>
      </c>
      <c r="B15" s="4" t="inlineStr">
        <is>
          <t>Videos</t>
        </is>
      </c>
      <c r="C15" s="4" t="n">
        <v>10</v>
      </c>
      <c r="D15" s="4" t="inlineStr">
        <is>
          <t>Weekly</t>
        </is>
      </c>
      <c r="E15" s="5" t="n">
        <v>0.7</v>
      </c>
      <c r="F15" s="4" t="inlineStr">
        <is>
          <t>Commission Boost</t>
        </is>
      </c>
      <c r="G15" s="5" t="n">
        <v>0.15</v>
      </c>
      <c r="H15" s="4" t="n">
        <v>7</v>
      </c>
      <c r="I15" s="4" t="inlineStr">
        <is>
          <t>Yes</t>
        </is>
      </c>
      <c r="J15" s="11">
        <f>IF(D15="Weekly",(Inputs!$B$12/30)*4,IF(D15="Monthly",Inputs!$B$12/30,1))*IF(F15="Gift Card",G15,IF(F15="Spark Ads",G15,IF(F15="Commission Boost",G15*(INDEX('VIP Levels'!$E$5:$E$9,MATCH(A15,'VIP Levels'!$B$5:$B$9,0))/30*H15)*Revenue!$B$10,IF(F15="Discount",G15*(INDEX('VIP Levels'!$E$5:$E$9,MATCH(A15,'VIP Levels'!$B$5:$B$9,0))/30*H15)*Inputs!$B$11*Inputs!$B$16,0))))</f>
        <v/>
      </c>
    </row>
    <row r="16">
      <c r="A16" s="4" t="inlineStr">
        <is>
          <t>Platinum</t>
        </is>
      </c>
      <c r="B16" s="4" t="inlineStr">
        <is>
          <t>Views</t>
        </is>
      </c>
      <c r="C16" s="4" t="n">
        <v>20000</v>
      </c>
      <c r="D16" s="4" t="inlineStr">
        <is>
          <t>Weekly</t>
        </is>
      </c>
      <c r="E16" s="5" t="n">
        <v>0.5</v>
      </c>
      <c r="F16" s="4" t="inlineStr">
        <is>
          <t>Discount</t>
        </is>
      </c>
      <c r="G16" s="5" t="n">
        <v>0.15</v>
      </c>
      <c r="H16" s="4" t="n">
        <v>2</v>
      </c>
      <c r="I16" s="4" t="inlineStr">
        <is>
          <t>Yes</t>
        </is>
      </c>
      <c r="J16" s="11">
        <f>IF(D16="Weekly",(Inputs!$B$12/30)*4,IF(D16="Monthly",Inputs!$B$12/30,1))*IF(F16="Gift Card",G16,IF(F16="Spark Ads",G16,IF(F16="Commission Boost",G16*(INDEX('VIP Levels'!$E$5:$E$9,MATCH(A16,'VIP Levels'!$B$5:$B$9,0))/30*H16)*Revenue!$B$10,IF(F16="Discount",G16*(INDEX('VIP Levels'!$E$5:$E$9,MATCH(A16,'VIP Levels'!$B$5:$B$9,0))/30*H16)*Inputs!$B$11*Inputs!$B$16,0))))</f>
        <v/>
      </c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12">
        <f>IF(F17="Gift Card",G17,IF(F17="Spark Ads",G17,IF(F17="Commission Boost",G17*(INDEX('VIP Levels'!$E$5:$E$9,MATCH(A17,'VIP Levels'!$B$5:$B$9,0))/30*H17)*Revenue!$B$10,IF(F17="Discount",G17*(INDEX('VIP Levels'!$E$5:$E$9,MATCH(A17,'VIP Levels'!$B$5:$B$9,0))/30*H17)*Inputs!$B$12*Inputs!$B$16,0))))</f>
        <v/>
      </c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12">
        <f>IF(F18="Gift Card",G18,IF(F18="Spark Ads",G18,IF(F18="Commission Boost",G18*(INDEX('VIP Levels'!$E$5:$E$9,MATCH(A18,'VIP Levels'!$B$5:$B$9,0))/30*H18)*Revenue!$B$10,IF(F18="Discount",G18*(INDEX('VIP Levels'!$E$5:$E$9,MATCH(A18,'VIP Levels'!$B$5:$B$9,0))/30*H18)*Inputs!$B$12*Inputs!$B$16,0))))</f>
        <v/>
      </c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12">
        <f>IF(F19="Gift Card",G19,IF(F19="Spark Ads",G19,IF(F19="Commission Boost",G19*(INDEX('VIP Levels'!$E$5:$E$9,MATCH(A19,'VIP Levels'!$B$5:$B$9,0))/30*H19)*Revenue!$B$10,IF(F19="Discount",G19*(INDEX('VIP Levels'!$E$5:$E$9,MATCH(A19,'VIP Levels'!$B$5:$B$9,0))/30*H19)*Inputs!$B$12*Inputs!$B$16,0))))</f>
        <v/>
      </c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12">
        <f>IF(F20="Gift Card",G20,IF(F20="Spark Ads",G20,IF(F20="Commission Boost",G20*(INDEX('VIP Levels'!$E$5:$E$9,MATCH(A20,'VIP Levels'!$B$5:$B$9,0))/30*H20)*Revenue!$B$10,IF(F20="Discount",G20*(INDEX('VIP Levels'!$E$5:$E$9,MATCH(A20,'VIP Levels'!$B$5:$B$9,0))/30*H20)*Inputs!$B$12*Inputs!$B$16,0))))</f>
        <v/>
      </c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12">
        <f>IF(F21="Gift Card",G21,IF(F21="Spark Ads",G21,IF(F21="Commission Boost",G21*(INDEX('VIP Levels'!$E$5:$E$9,MATCH(A21,'VIP Levels'!$B$5:$B$9,0))/30*H21)*Revenue!$B$10,IF(F21="Discount",G21*(INDEX('VIP Levels'!$E$5:$E$9,MATCH(A21,'VIP Levels'!$B$5:$B$9,0))/30*H21)*Inputs!$B$12*Inputs!$B$16,0))))</f>
        <v/>
      </c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12">
        <f>IF(F22="Gift Card",G22,IF(F22="Spark Ads",G22,IF(F22="Commission Boost",G22*(INDEX('VIP Levels'!$E$5:$E$9,MATCH(A22,'VIP Levels'!$B$5:$B$9,0))/30*H22)*Revenue!$B$10,IF(F22="Discount",G22*(INDEX('VIP Levels'!$E$5:$E$9,MATCH(A22,'VIP Levels'!$B$5:$B$9,0))/30*H22)*Inputs!$B$12*Inputs!$B$16,0))))</f>
        <v/>
      </c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12">
        <f>IF(F23="Gift Card",G23,IF(F23="Spark Ads",G23,IF(F23="Commission Boost",G23*(INDEX('VIP Levels'!$E$5:$E$9,MATCH(A23,'VIP Levels'!$B$5:$B$9,0))/30*H23)*Revenue!$B$10,IF(F23="Discount",G23*(INDEX('VIP Levels'!$E$5:$E$9,MATCH(A23,'VIP Levels'!$B$5:$B$9,0))/30*H23)*Inputs!$B$12*Inputs!$B$16,0))))</f>
        <v/>
      </c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12">
        <f>IF(F24="Gift Card",G24,IF(F24="Spark Ads",G24,IF(F24="Commission Boost",G24*(INDEX('VIP Levels'!$E$5:$E$9,MATCH(A24,'VIP Levels'!$B$5:$B$9,0))/30*H24)*Revenue!$B$10,IF(F24="Discount",G24*(INDEX('VIP Levels'!$E$5:$E$9,MATCH(A24,'VIP Levels'!$B$5:$B$9,0))/30*H24)*Inputs!$B$12*Inputs!$B$16,0))))</f>
        <v/>
      </c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12">
        <f>IF(F25="Gift Card",G25,IF(F25="Spark Ads",G25,IF(F25="Commission Boost",G25*INDEX('VIP Levels'!$E$5:$E$9,MATCH(A25,'VIP Levels'!$B$5:$B$9,0))*Revenue!$B$10,0)))</f>
        <v/>
      </c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12">
        <f>IF(F26="Gift Card",G26,IF(F26="Spark Ads",G26,IF(F26="Commission Boost",G26*INDEX('VIP Levels'!$E$5:$E$9,MATCH(A26,'VIP Levels'!$B$5:$B$9,0))*Revenue!$B$10,0)))</f>
        <v/>
      </c>
    </row>
    <row r="29" ht="18.75" customHeight="1" s="32">
      <c r="A29" s="1" t="inlineStr">
        <is>
          <t>MISSION SUMMARY BY LEVEL</t>
        </is>
      </c>
    </row>
    <row r="30" ht="31.5" customHeight="1" s="32">
      <c r="A30" s="2" t="inlineStr">
        <is>
          <t>Level</t>
        </is>
      </c>
      <c r="B30" s="2" t="inlineStr">
        <is>
          <t>Active Missions</t>
        </is>
      </c>
      <c r="C30" s="2" t="inlineStr">
        <is>
          <t>Avg Completion Rate</t>
        </is>
      </c>
    </row>
    <row r="31">
      <c r="A31" s="3" t="inlineStr">
        <is>
          <t>Bronze</t>
        </is>
      </c>
      <c r="B31" s="12">
        <f>COUNTIFS(A$6:A$26,A31,I$6:I$26,"Yes")</f>
        <v/>
      </c>
      <c r="C31" s="7">
        <f>IFERROR(AVERAGEIFS(E$6:E$26,A$6:A$26,A31,I$6:I$26,"Yes"),0)</f>
        <v/>
      </c>
    </row>
    <row r="32">
      <c r="A32" s="3" t="inlineStr">
        <is>
          <t>Silver</t>
        </is>
      </c>
      <c r="B32" s="12">
        <f>COUNTIFS(A$6:A$26,A32,I$6:I$26,"Yes")</f>
        <v/>
      </c>
      <c r="C32" s="7">
        <f>IFERROR(AVERAGEIFS(E$6:E$26,A$6:A$26,A32,I$6:I$26,"Yes"),0)</f>
        <v/>
      </c>
    </row>
    <row r="33">
      <c r="A33" s="3" t="inlineStr">
        <is>
          <t>Gold</t>
        </is>
      </c>
      <c r="B33" s="12">
        <f>COUNTIFS(A$6:A$26,A33,I$6:I$26,"Yes")</f>
        <v/>
      </c>
      <c r="C33" s="7">
        <f>IFERROR(AVERAGEIFS(E$6:E$26,A$6:A$26,A33,I$6:I$26,"Yes"),0)</f>
        <v/>
      </c>
    </row>
    <row r="34">
      <c r="A34" s="3" t="inlineStr">
        <is>
          <t>Platinum</t>
        </is>
      </c>
      <c r="B34" s="12">
        <f>COUNTIFS(A$6:A$26,A34,I$6:I$26,"Yes")</f>
        <v/>
      </c>
      <c r="C34" s="7">
        <f>IFERROR(AVERAGEIFS(E$6:E$26,A$6:A$26,A34,I$6:I$26,"Yes"),0)</f>
        <v/>
      </c>
    </row>
    <row r="35">
      <c r="A35" s="3" t="inlineStr">
        <is>
          <t>Diamond</t>
        </is>
      </c>
      <c r="B35" s="12">
        <f>COUNTIFS(A$6:A$26,A35,I$6:I$26,"Yes")</f>
        <v/>
      </c>
      <c r="C35" s="7">
        <f>IFERROR(AVERAGEIFS(E$6:E$26,A$6:A$26,A35,I$6:I$26,"Yes"),0)</f>
        <v/>
      </c>
    </row>
    <row r="39">
      <c r="A39" t="inlineStr">
        <is>
          <t>Mission Types: Videos, Likes, Sales, Views</t>
        </is>
      </c>
    </row>
    <row r="40">
      <c r="A40" t="inlineStr">
        <is>
          <t>Repeatability: One-time, Weekly, Monthly</t>
        </is>
      </c>
    </row>
    <row r="41">
      <c r="A41" t="inlineStr">
        <is>
          <t>Reward Types: Gift Card, Commission Boost, Spark Ads</t>
        </is>
      </c>
    </row>
  </sheetData>
  <mergeCells count="1">
    <mergeCell ref="A1:L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4"/>
  <sheetViews>
    <sheetView topLeftCell="A12" workbookViewId="0">
      <selection activeCell="B11" sqref="B11"/>
    </sheetView>
  </sheetViews>
  <sheetFormatPr baseColWidth="8" defaultRowHeight="15"/>
  <cols>
    <col width="35" customWidth="1" style="32" min="1" max="1"/>
    <col width="12" customWidth="1" style="32" min="2" max="13"/>
  </cols>
  <sheetData>
    <row r="1" ht="21" customHeight="1" s="32">
      <c r="A1" s="31" t="inlineStr">
        <is>
          <t>AFFILIATE PROJECTION (12 MONTHS)</t>
        </is>
      </c>
    </row>
    <row r="3" ht="15.75" customHeight="1" s="32">
      <c r="A3" s="2" t="inlineStr">
        <is>
          <t>Metric</t>
        </is>
      </c>
      <c r="B3" s="2" t="inlineStr">
        <is>
          <t>Month 1</t>
        </is>
      </c>
      <c r="C3" s="2" t="inlineStr">
        <is>
          <t>Month 2</t>
        </is>
      </c>
      <c r="D3" s="2" t="inlineStr">
        <is>
          <t>Month 3</t>
        </is>
      </c>
      <c r="E3" s="2" t="inlineStr">
        <is>
          <t>Month 4</t>
        </is>
      </c>
      <c r="F3" s="2" t="inlineStr">
        <is>
          <t>Month 5</t>
        </is>
      </c>
      <c r="G3" s="2" t="inlineStr">
        <is>
          <t>Month 6</t>
        </is>
      </c>
      <c r="H3" s="2" t="inlineStr">
        <is>
          <t>Month 7</t>
        </is>
      </c>
      <c r="I3" s="2" t="inlineStr">
        <is>
          <t>Month 8</t>
        </is>
      </c>
      <c r="J3" s="2" t="inlineStr">
        <is>
          <t>Month 9</t>
        </is>
      </c>
      <c r="K3" s="2" t="inlineStr">
        <is>
          <t>Month 10</t>
        </is>
      </c>
      <c r="L3" s="2" t="inlineStr">
        <is>
          <t>Month 11</t>
        </is>
      </c>
      <c r="M3" s="2" t="inlineStr">
        <is>
          <t>Month 12</t>
        </is>
      </c>
    </row>
    <row r="4">
      <c r="A4" s="13" t="inlineStr">
        <is>
          <t>Samples Sent</t>
        </is>
      </c>
      <c r="B4" s="12">
        <f>Inputs!$B$5</f>
        <v/>
      </c>
      <c r="C4" s="12">
        <f>Inputs!$B$6</f>
        <v/>
      </c>
      <c r="D4" s="12">
        <f>Inputs!$B$6</f>
        <v/>
      </c>
      <c r="E4" s="12">
        <f>Inputs!$B$6</f>
        <v/>
      </c>
      <c r="F4" s="12">
        <f>Inputs!$B$6</f>
        <v/>
      </c>
      <c r="G4" s="12">
        <f>Inputs!$B$6</f>
        <v/>
      </c>
      <c r="H4" s="12">
        <f>Inputs!$B$6</f>
        <v/>
      </c>
      <c r="I4" s="12">
        <f>Inputs!$B$6</f>
        <v/>
      </c>
      <c r="J4" s="12">
        <f>Inputs!$B$6</f>
        <v/>
      </c>
      <c r="K4" s="12">
        <f>Inputs!$B$6</f>
        <v/>
      </c>
      <c r="L4" s="12">
        <f>Inputs!$B$6</f>
        <v/>
      </c>
      <c r="M4" s="12">
        <f>Inputs!$B$6</f>
        <v/>
      </c>
    </row>
    <row r="5">
      <c r="A5" s="13" t="inlineStr">
        <is>
          <t>New Affiliates (from Samples)</t>
        </is>
      </c>
      <c r="B5" s="12">
        <f t="array" ref="B5">ROUND(B4*SampleAffConv,0)</f>
        <v/>
      </c>
      <c r="C5" s="12">
        <f>ROUND(C4*SampleAffConv,0)</f>
        <v/>
      </c>
      <c r="D5" s="12">
        <f>ROUND(D4*SampleAffConv,0)</f>
        <v/>
      </c>
      <c r="E5" s="12">
        <f>ROUND(E4*SampleAffConv,0)</f>
        <v/>
      </c>
      <c r="F5" s="12">
        <f>ROUND(F4*SampleAffConv,0)</f>
        <v/>
      </c>
      <c r="G5" s="12">
        <f>ROUND(G4*SampleAffConv,0)</f>
        <v/>
      </c>
      <c r="H5" s="12">
        <f>ROUND(H4*SampleAffConv,0)</f>
        <v/>
      </c>
      <c r="I5" s="12">
        <f>ROUND(I4*SampleAffConv,0)</f>
        <v/>
      </c>
      <c r="J5" s="12">
        <f>ROUND(J4*SampleAffConv,0)</f>
        <v/>
      </c>
      <c r="K5" s="12">
        <f>ROUND(K4*SampleAffConv,0)</f>
        <v/>
      </c>
      <c r="L5" s="12">
        <f>ROUND(L4*SampleAffConv,0)</f>
        <v/>
      </c>
      <c r="M5" s="12">
        <f>ROUND(M4*SampleAffConv,0)</f>
        <v/>
      </c>
    </row>
    <row r="6">
      <c r="A6" s="13" t="inlineStr">
        <is>
          <t>Flywheel Affiliates</t>
        </is>
      </c>
      <c r="B6" s="12">
        <f>Inputs!B$36</f>
        <v/>
      </c>
      <c r="C6" s="12">
        <f>Inputs!C$36</f>
        <v/>
      </c>
      <c r="D6" s="12">
        <f>Inputs!D$36</f>
        <v/>
      </c>
      <c r="E6" s="12">
        <f>Inputs!E$36</f>
        <v/>
      </c>
      <c r="F6" s="12">
        <f>Inputs!F$36</f>
        <v/>
      </c>
      <c r="G6" s="12">
        <f>Inputs!G$36</f>
        <v/>
      </c>
      <c r="H6" s="12">
        <f>Inputs!H$36</f>
        <v/>
      </c>
      <c r="I6" s="12">
        <f>Inputs!I$36</f>
        <v/>
      </c>
      <c r="J6" s="12">
        <f>Inputs!J$36</f>
        <v/>
      </c>
      <c r="K6" s="12">
        <f>Inputs!K$36</f>
        <v/>
      </c>
      <c r="L6" s="12">
        <f>Inputs!L$36</f>
        <v/>
      </c>
      <c r="M6" s="12">
        <f>Inputs!M$36</f>
        <v/>
      </c>
    </row>
    <row r="7">
      <c r="A7" s="13" t="inlineStr">
        <is>
          <t>Total New Affiliates</t>
        </is>
      </c>
      <c r="B7" s="12">
        <f>B5+B6</f>
        <v/>
      </c>
      <c r="C7" s="12">
        <f>C5+C6</f>
        <v/>
      </c>
      <c r="D7" s="12">
        <f>D5+D6</f>
        <v/>
      </c>
      <c r="E7" s="12">
        <f>E5+E6</f>
        <v/>
      </c>
      <c r="F7" s="12">
        <f>F5+F6</f>
        <v/>
      </c>
      <c r="G7" s="12">
        <f>G5+G6</f>
        <v/>
      </c>
      <c r="H7" s="12">
        <f>H5+H6</f>
        <v/>
      </c>
      <c r="I7" s="12">
        <f>I5+I6</f>
        <v/>
      </c>
      <c r="J7" s="12">
        <f>J5+J6</f>
        <v/>
      </c>
      <c r="K7" s="12">
        <f>K5+K6</f>
        <v/>
      </c>
      <c r="L7" s="12">
        <f>L5+L6</f>
        <v/>
      </c>
      <c r="M7" s="12">
        <f>M5+M6</f>
        <v/>
      </c>
      <c r="Q7" t="inlineStr">
        <is>
          <t>s</t>
        </is>
      </c>
    </row>
    <row r="8">
      <c r="A8" s="13" t="inlineStr">
        <is>
          <t>Active Affiliates (End of Month)</t>
        </is>
      </c>
      <c r="B8" s="12">
        <f>B7</f>
        <v/>
      </c>
      <c r="C8" s="12">
        <f>B8+C7</f>
        <v/>
      </c>
      <c r="D8" s="12">
        <f>C8+D7</f>
        <v/>
      </c>
      <c r="E8" s="12">
        <f>D8+E7</f>
        <v/>
      </c>
      <c r="F8" s="12">
        <f>E8+F7</f>
        <v/>
      </c>
      <c r="G8" s="12">
        <f>F8+G7</f>
        <v/>
      </c>
      <c r="H8" s="12">
        <f>G8+H7</f>
        <v/>
      </c>
      <c r="I8" s="12">
        <f>H8+I7</f>
        <v/>
      </c>
      <c r="J8" s="12">
        <f>I8+J7</f>
        <v/>
      </c>
      <c r="K8" s="12">
        <f>J8+K7</f>
        <v/>
      </c>
      <c r="L8" s="12">
        <f>K8+L7</f>
        <v/>
      </c>
      <c r="M8" s="12">
        <f>L8+M7</f>
        <v/>
      </c>
    </row>
    <row r="9">
      <c r="A9" s="13" t="inlineStr">
        <is>
          <t>Total Sales</t>
        </is>
      </c>
      <c r="B9" s="12">
        <f>ROUND(B11*'VIP Levels'!$E$5+B12*'VIP Levels'!$E$6+B13*'VIP Levels'!$E$7+B14*'VIP Levels'!$E$8+B15*'VIP Levels'!$E$9,0)</f>
        <v/>
      </c>
      <c r="C9" s="12">
        <f>ROUND(C11*'VIP Levels'!$E$5+C12*'VIP Levels'!$E$6+C13*'VIP Levels'!$E$7+C14*'VIP Levels'!$E$8+C15*'VIP Levels'!$E$9,0)</f>
        <v/>
      </c>
      <c r="D9" s="12">
        <f>ROUND(D11*'VIP Levels'!$E$5+D12*'VIP Levels'!$E$6+D13*'VIP Levels'!$E$7+D14*'VIP Levels'!$E$8+D15*'VIP Levels'!$E$9,0)</f>
        <v/>
      </c>
      <c r="E9" s="12">
        <f>ROUND(E11*'VIP Levels'!$E$5+E12*'VIP Levels'!$E$6+E13*'VIP Levels'!$E$7+E14*'VIP Levels'!$E$8+E15*'VIP Levels'!$E$9,0)</f>
        <v/>
      </c>
      <c r="F9" s="12">
        <f>ROUND(F11*'VIP Levels'!$E$5+F12*'VIP Levels'!$E$6+F13*'VIP Levels'!$E$7+F14*'VIP Levels'!$E$8+F15*'VIP Levels'!$E$9,0)</f>
        <v/>
      </c>
      <c r="G9" s="12">
        <f>ROUND(G11*'VIP Levels'!$E$5+G12*'VIP Levels'!$E$6+G13*'VIP Levels'!$E$7+G14*'VIP Levels'!$E$8+G15*'VIP Levels'!$E$9,0)</f>
        <v/>
      </c>
      <c r="H9" s="12">
        <f>ROUND(H11*'VIP Levels'!$E$5+H12*'VIP Levels'!$E$6+H13*'VIP Levels'!$E$7+H14*'VIP Levels'!$E$8+H15*'VIP Levels'!$E$9,0)</f>
        <v/>
      </c>
      <c r="I9" s="12">
        <f>ROUND(I11*'VIP Levels'!$E$5+I12*'VIP Levels'!$E$6+I13*'VIP Levels'!$E$7+I14*'VIP Levels'!$E$8+I15*'VIP Levels'!$E$9,0)</f>
        <v/>
      </c>
      <c r="J9" s="12">
        <f>ROUND(J11*'VIP Levels'!$E$5+J12*'VIP Levels'!$E$6+J13*'VIP Levels'!$E$7+J14*'VIP Levels'!$E$8+J15*'VIP Levels'!$E$9,0)</f>
        <v/>
      </c>
      <c r="K9" s="12">
        <f>ROUND(K11*'VIP Levels'!$E$5+K12*'VIP Levels'!$E$6+K13*'VIP Levels'!$E$7+K14*'VIP Levels'!$E$8+K15*'VIP Levels'!$E$9,0)</f>
        <v/>
      </c>
      <c r="L9" s="12">
        <f>ROUND(L11*'VIP Levels'!$E$5+L12*'VIP Levels'!$E$6+L13*'VIP Levels'!$E$7+L14*'VIP Levels'!$E$8+L15*'VIP Levels'!$E$9,0)</f>
        <v/>
      </c>
      <c r="M9" s="12">
        <f>ROUND(M11*'VIP Levels'!$E$5+M12*'VIP Levels'!$E$6+M13*'VIP Levels'!$E$7+M14*'VIP Levels'!$E$8+M15*'VIP Levels'!$E$9,0)</f>
        <v/>
      </c>
    </row>
    <row r="10" ht="18.75" customHeight="1" s="32">
      <c r="A10" s="1" t="inlineStr">
        <is>
          <t>--- Level Distribution ---</t>
        </is>
      </c>
    </row>
    <row r="11" ht="18.75" customHeight="1" s="32">
      <c r="A11" s="13" t="inlineStr">
        <is>
          <t>Affiliates at Bronze</t>
        </is>
      </c>
      <c r="B11" s="12">
        <f>ROUND(B8*Inputs!B$26,0)</f>
        <v/>
      </c>
      <c r="C11" s="12">
        <f>ROUND(C8*Inputs!C$26,0)</f>
        <v/>
      </c>
      <c r="D11" s="12">
        <f>ROUND(D8*Inputs!D$26,0)</f>
        <v/>
      </c>
      <c r="E11" s="12">
        <f>ROUND(E8*Inputs!E$26,0)</f>
        <v/>
      </c>
      <c r="F11" s="12">
        <f>ROUND(F8*Inputs!F$26,0)</f>
        <v/>
      </c>
      <c r="G11" s="12">
        <f>ROUND(G8*Inputs!G$26,0)</f>
        <v/>
      </c>
      <c r="H11" s="12">
        <f>ROUND(H8*Inputs!H$26,0)</f>
        <v/>
      </c>
      <c r="I11" s="12">
        <f>ROUND(I8*Inputs!I$26,0)</f>
        <v/>
      </c>
      <c r="J11" s="12">
        <f>ROUND(J8*Inputs!J$26,0)</f>
        <v/>
      </c>
      <c r="K11" s="12">
        <f>ROUND(K8*Inputs!K$26,0)</f>
        <v/>
      </c>
      <c r="L11" s="12">
        <f>ROUND(L8*Inputs!L$26,0)</f>
        <v/>
      </c>
      <c r="M11" s="12">
        <f>ROUND(M8*Inputs!M$26,0)</f>
        <v/>
      </c>
    </row>
    <row r="12">
      <c r="A12" s="13" t="inlineStr">
        <is>
          <t>Affiliates at Silver</t>
        </is>
      </c>
      <c r="B12" s="12">
        <f>ROUND(B8*Inputs!B$27,0)</f>
        <v/>
      </c>
      <c r="C12" s="12">
        <f>ROUND(C8*Inputs!C$27,0)</f>
        <v/>
      </c>
      <c r="D12" s="12">
        <f>ROUND(D8*Inputs!D$27,0)</f>
        <v/>
      </c>
      <c r="E12" s="12">
        <f>ROUND(E8*Inputs!E$27,0)</f>
        <v/>
      </c>
      <c r="F12" s="12">
        <f>ROUND(F8*Inputs!F$27,0)</f>
        <v/>
      </c>
      <c r="G12" s="12">
        <f>ROUND(G8*Inputs!G$27,0)</f>
        <v/>
      </c>
      <c r="H12" s="12">
        <f>ROUND(H8*Inputs!H$27,0)</f>
        <v/>
      </c>
      <c r="I12" s="12">
        <f>ROUND(I8*Inputs!I$27,0)</f>
        <v/>
      </c>
      <c r="J12" s="12">
        <f>ROUND(J8*Inputs!J$27,0)</f>
        <v/>
      </c>
      <c r="K12" s="12">
        <f>ROUND(K8*Inputs!K$27,0)</f>
        <v/>
      </c>
      <c r="L12" s="12">
        <f>ROUND(L8*Inputs!L$27,0)</f>
        <v/>
      </c>
      <c r="M12" s="12">
        <f>ROUND(M8*Inputs!M$27,0)</f>
        <v/>
      </c>
    </row>
    <row r="13">
      <c r="A13" s="13" t="inlineStr">
        <is>
          <t>Affiliates at Gold</t>
        </is>
      </c>
      <c r="B13" s="12">
        <f>ROUND(B8*Inputs!B$28,0)</f>
        <v/>
      </c>
      <c r="C13" s="12">
        <f>ROUND(C8*Inputs!C$28,0)</f>
        <v/>
      </c>
      <c r="D13" s="12">
        <f>ROUND(D8*Inputs!D$28,0)</f>
        <v/>
      </c>
      <c r="E13" s="12">
        <f>ROUND(E8*Inputs!E$28,0)</f>
        <v/>
      </c>
      <c r="F13" s="12">
        <f>ROUND(F8*Inputs!F$28,0)</f>
        <v/>
      </c>
      <c r="G13" s="12">
        <f>ROUND(G8*Inputs!G$28,0)</f>
        <v/>
      </c>
      <c r="H13" s="12">
        <f>ROUND(H8*Inputs!H$28,0)</f>
        <v/>
      </c>
      <c r="I13" s="12">
        <f>ROUND(I8*Inputs!I$28,0)</f>
        <v/>
      </c>
      <c r="J13" s="12">
        <f>ROUND(J8*Inputs!J$28,0)</f>
        <v/>
      </c>
      <c r="K13" s="12">
        <f>ROUND(K8*Inputs!K$28,0)</f>
        <v/>
      </c>
      <c r="L13" s="12">
        <f>ROUND(L8*Inputs!L$28,0)</f>
        <v/>
      </c>
      <c r="M13" s="12">
        <f>ROUND(M8*Inputs!M$28,0)</f>
        <v/>
      </c>
    </row>
    <row r="14">
      <c r="A14" s="13" t="inlineStr">
        <is>
          <t>Affiliates at Platinum</t>
        </is>
      </c>
      <c r="B14" s="12">
        <f>ROUND(B8*Inputs!B$29,0)</f>
        <v/>
      </c>
      <c r="C14" s="12">
        <f>ROUND(C8*Inputs!C$29,0)</f>
        <v/>
      </c>
      <c r="D14" s="12">
        <f>ROUND(D8*Inputs!D$29,0)</f>
        <v/>
      </c>
      <c r="E14" s="12">
        <f>ROUND(E8*Inputs!E$29,0)</f>
        <v/>
      </c>
      <c r="F14" s="12">
        <f>ROUND(F8*Inputs!F$29,0)</f>
        <v/>
      </c>
      <c r="G14" s="12">
        <f>ROUND(G8*Inputs!G$29,0)</f>
        <v/>
      </c>
      <c r="H14" s="12">
        <f>ROUND(H8*Inputs!H$29,0)</f>
        <v/>
      </c>
      <c r="I14" s="12">
        <f>ROUND(I8*Inputs!I$29,0)</f>
        <v/>
      </c>
      <c r="J14" s="12">
        <f>ROUND(J8*Inputs!J$29,0)</f>
        <v/>
      </c>
      <c r="K14" s="12">
        <f>ROUND(K8*Inputs!K$29,0)</f>
        <v/>
      </c>
      <c r="L14" s="12">
        <f>ROUND(L8*Inputs!L$29,0)</f>
        <v/>
      </c>
      <c r="M14" s="12">
        <f>ROUND(M8*Inputs!M$29,0)</f>
        <v/>
      </c>
    </row>
    <row r="15">
      <c r="A15" s="13" t="inlineStr">
        <is>
          <t>Affiliates at Diamond</t>
        </is>
      </c>
      <c r="B15" s="12">
        <f>ROUND(B8*Inputs!B$30,0)</f>
        <v/>
      </c>
      <c r="C15" s="12">
        <f>ROUND(C8*Inputs!C$30,0)</f>
        <v/>
      </c>
      <c r="D15" s="12">
        <f>ROUND(D8*Inputs!D$30,0)</f>
        <v/>
      </c>
      <c r="E15" s="12">
        <f>ROUND(E8*Inputs!E$30,0)</f>
        <v/>
      </c>
      <c r="F15" s="12">
        <f>ROUND(F8*Inputs!F$30,0)</f>
        <v/>
      </c>
      <c r="G15" s="12">
        <f>ROUND(G8*Inputs!G$30,0)</f>
        <v/>
      </c>
      <c r="H15" s="12">
        <f>ROUND(H8*Inputs!H$30,0)</f>
        <v/>
      </c>
      <c r="I15" s="12">
        <f>ROUND(I8*Inputs!I$30,0)</f>
        <v/>
      </c>
      <c r="J15" s="12">
        <f>ROUND(J8*Inputs!J$30,0)</f>
        <v/>
      </c>
      <c r="K15" s="12">
        <f>ROUND(K8*Inputs!K$30,0)</f>
        <v/>
      </c>
      <c r="L15" s="12">
        <f>ROUND(L8*Inputs!L$30,0)</f>
        <v/>
      </c>
      <c r="M15" s="12">
        <f>ROUND(M8*Inputs!M$30,0)</f>
        <v/>
      </c>
    </row>
    <row r="16" ht="18.75" customHeight="1" s="32">
      <c r="A16" s="1" t="inlineStr">
        <is>
          <t>--- Level Events ---</t>
        </is>
      </c>
    </row>
    <row r="17" ht="18.75" customHeight="1" s="32">
      <c r="A17" s="13" t="inlineStr">
        <is>
          <t>New Affiliate Level-Ups (to Bronze)</t>
        </is>
      </c>
      <c r="B17" s="12">
        <f>B7</f>
        <v/>
      </c>
      <c r="C17" s="12">
        <f>C7</f>
        <v/>
      </c>
      <c r="D17" s="12">
        <f>D7</f>
        <v/>
      </c>
      <c r="E17" s="12">
        <f>E7</f>
        <v/>
      </c>
      <c r="F17" s="12">
        <f>F7</f>
        <v/>
      </c>
      <c r="G17" s="12">
        <f>G7</f>
        <v/>
      </c>
      <c r="H17" s="12">
        <f>H7</f>
        <v/>
      </c>
      <c r="I17" s="12">
        <f>I7</f>
        <v/>
      </c>
      <c r="J17" s="12">
        <f>J7</f>
        <v/>
      </c>
      <c r="K17" s="12">
        <f>K7</f>
        <v/>
      </c>
      <c r="L17" s="12">
        <f>L7</f>
        <v/>
      </c>
      <c r="M17" s="12">
        <f>M7</f>
        <v/>
      </c>
    </row>
    <row r="18">
      <c r="A18" s="13" t="inlineStr">
        <is>
          <t>Promotion Events (Bronze to higher)</t>
        </is>
      </c>
      <c r="B18" s="12" t="n">
        <v>0</v>
      </c>
      <c r="C18" s="12">
        <f>MAX(0,(C12+C13+C14+C15)-(B12+B13+B14+B15))</f>
        <v/>
      </c>
      <c r="D18" s="12">
        <f>MAX(0,(D12+D13+D14+D15)-(C12+C13+C14+C15))</f>
        <v/>
      </c>
      <c r="E18" s="12">
        <f>MAX(0,(E12+E13+E14+E15)-(D12+D13+D14+D15))</f>
        <v/>
      </c>
      <c r="F18" s="12">
        <f>MAX(0,(F12+F13+F14+F15)-(E12+E13+E14+E15))</f>
        <v/>
      </c>
      <c r="G18" s="12">
        <f>MAX(0,(G12+G13+G14+G15)-(F12+F13+F14+F15))</f>
        <v/>
      </c>
      <c r="H18" s="12">
        <f>MAX(0,(H12+H13+H14+H15)-(G12+G13+G14+G15))</f>
        <v/>
      </c>
      <c r="I18" s="12">
        <f>MAX(0,(I12+I13+I14+I15)-(H12+H13+H14+H15))</f>
        <v/>
      </c>
      <c r="J18" s="12">
        <f>MAX(0,(J12+J13+J14+J15)-(I12+I13+I14+I15))</f>
        <v/>
      </c>
      <c r="K18" s="12">
        <f>MAX(0,(K12+K13+K14+K15)-(J12+J13+J14+J15))</f>
        <v/>
      </c>
      <c r="L18" s="12">
        <f>MAX(0,(L12+L13+L14+L15)-(K12+K13+K14+K15))</f>
        <v/>
      </c>
      <c r="M18" s="12">
        <f>MAX(0,(M12+M13+M14+M15)-(L12+L13+L14+L15))</f>
        <v/>
      </c>
    </row>
    <row r="19" ht="18.75" customHeight="1" s="32">
      <c r="A19" s="1" t="inlineStr">
        <is>
          <t>--- New Tier Arrivals (for One-time Missions) ---</t>
        </is>
      </c>
    </row>
    <row r="20" ht="18.75" customHeight="1" s="32">
      <c r="A20" s="19" t="inlineStr">
        <is>
          <t>New Arrivals at Bronze</t>
        </is>
      </c>
      <c r="B20" s="12">
        <f>B7</f>
        <v/>
      </c>
      <c r="C20" s="12">
        <f>C7</f>
        <v/>
      </c>
      <c r="D20" s="12">
        <f>D7</f>
        <v/>
      </c>
      <c r="E20" s="12">
        <f>E7</f>
        <v/>
      </c>
      <c r="F20" s="12">
        <f>F7</f>
        <v/>
      </c>
      <c r="G20" s="12">
        <f>G7</f>
        <v/>
      </c>
      <c r="H20" s="12">
        <f>H7</f>
        <v/>
      </c>
      <c r="I20" s="12">
        <f>I7</f>
        <v/>
      </c>
      <c r="J20" s="12">
        <f>J7</f>
        <v/>
      </c>
      <c r="K20" s="12">
        <f>K7</f>
        <v/>
      </c>
      <c r="L20" s="12">
        <f>L7</f>
        <v/>
      </c>
      <c r="M20" s="12">
        <f>M7</f>
        <v/>
      </c>
    </row>
    <row r="21">
      <c r="A21" s="19" t="inlineStr">
        <is>
          <t>New Arrivals at Silver</t>
        </is>
      </c>
      <c r="B21" s="12">
        <f>B12</f>
        <v/>
      </c>
      <c r="C21" s="12">
        <f>MAX(0,C12-B12)</f>
        <v/>
      </c>
      <c r="D21" s="12">
        <f>MAX(0,D12-C12)</f>
        <v/>
      </c>
      <c r="E21" s="12">
        <f>MAX(0,E12-D12)</f>
        <v/>
      </c>
      <c r="F21" s="12">
        <f>MAX(0,F12-E12)</f>
        <v/>
      </c>
      <c r="G21" s="12">
        <f>MAX(0,G12-F12)</f>
        <v/>
      </c>
      <c r="H21" s="12">
        <f>MAX(0,H12-G12)</f>
        <v/>
      </c>
      <c r="I21" s="12">
        <f>MAX(0,I12-H12)</f>
        <v/>
      </c>
      <c r="J21" s="12">
        <f>MAX(0,J12-I12)</f>
        <v/>
      </c>
      <c r="K21" s="12">
        <f>MAX(0,K12-J12)</f>
        <v/>
      </c>
      <c r="L21" s="12">
        <f>MAX(0,L12-K12)</f>
        <v/>
      </c>
      <c r="M21" s="12">
        <f>MAX(0,M12-L12)</f>
        <v/>
      </c>
    </row>
    <row r="22" ht="18.75" customHeight="1" s="32">
      <c r="A22" s="19" t="inlineStr">
        <is>
          <t>New Arrivals at Gold</t>
        </is>
      </c>
      <c r="B22" s="12">
        <f>B13</f>
        <v/>
      </c>
      <c r="C22" s="12">
        <f>MAX(0,C13-B13)</f>
        <v/>
      </c>
      <c r="D22" s="12">
        <f>MAX(0,D13-C13)</f>
        <v/>
      </c>
      <c r="E22" s="12">
        <f>MAX(0,E13-D13)</f>
        <v/>
      </c>
      <c r="F22" s="12">
        <f>MAX(0,F13-E13)</f>
        <v/>
      </c>
      <c r="G22" s="12">
        <f>MAX(0,G13-F13)</f>
        <v/>
      </c>
      <c r="H22" s="12">
        <f>MAX(0,H13-G13)</f>
        <v/>
      </c>
      <c r="I22" s="12">
        <f>MAX(0,I13-H13)</f>
        <v/>
      </c>
      <c r="J22" s="12">
        <f>MAX(0,J13-I13)</f>
        <v/>
      </c>
      <c r="K22" s="12">
        <f>MAX(0,K13-J13)</f>
        <v/>
      </c>
      <c r="L22" s="12">
        <f>MAX(0,L13-K13)</f>
        <v/>
      </c>
      <c r="M22" s="12">
        <f>MAX(0,M13-L13)</f>
        <v/>
      </c>
    </row>
    <row r="23">
      <c r="A23" s="19" t="inlineStr">
        <is>
          <t>New Arrivals at Platinum</t>
        </is>
      </c>
      <c r="B23" s="12">
        <f>B14</f>
        <v/>
      </c>
      <c r="C23" s="12">
        <f>MAX(0,C14-B14)</f>
        <v/>
      </c>
      <c r="D23" s="12">
        <f>MAX(0,D14-C14)</f>
        <v/>
      </c>
      <c r="E23" s="12">
        <f>MAX(0,E14-D14)</f>
        <v/>
      </c>
      <c r="F23" s="12">
        <f>MAX(0,F14-E14)</f>
        <v/>
      </c>
      <c r="G23" s="12">
        <f>MAX(0,G14-F14)</f>
        <v/>
      </c>
      <c r="H23" s="12">
        <f>MAX(0,H14-G14)</f>
        <v/>
      </c>
      <c r="I23" s="12">
        <f>MAX(0,I14-H14)</f>
        <v/>
      </c>
      <c r="J23" s="12">
        <f>MAX(0,J14-I14)</f>
        <v/>
      </c>
      <c r="K23" s="12">
        <f>MAX(0,K14-J14)</f>
        <v/>
      </c>
      <c r="L23" s="12">
        <f>MAX(0,L14-K14)</f>
        <v/>
      </c>
      <c r="M23" s="12">
        <f>MAX(0,M14-L14)</f>
        <v/>
      </c>
    </row>
    <row r="24">
      <c r="A24" s="19" t="inlineStr">
        <is>
          <t>New Arrivals at Diamond</t>
        </is>
      </c>
      <c r="B24" s="12">
        <f>B15</f>
        <v/>
      </c>
      <c r="C24" s="12">
        <f>MAX(0,C15-B15)</f>
        <v/>
      </c>
      <c r="D24" s="12">
        <f>MAX(0,D15-C15)</f>
        <v/>
      </c>
      <c r="E24" s="12">
        <f>MAX(0,E15-D15)</f>
        <v/>
      </c>
      <c r="F24" s="12">
        <f>MAX(0,F15-E15)</f>
        <v/>
      </c>
      <c r="G24" s="12">
        <f>MAX(0,G15-F15)</f>
        <v/>
      </c>
      <c r="H24" s="12">
        <f>MAX(0,H15-G15)</f>
        <v/>
      </c>
      <c r="I24" s="12">
        <f>MAX(0,I15-H15)</f>
        <v/>
      </c>
      <c r="J24" s="12">
        <f>MAX(0,J15-I15)</f>
        <v/>
      </c>
      <c r="K24" s="12">
        <f>MAX(0,K15-J15)</f>
        <v/>
      </c>
      <c r="L24" s="12">
        <f>MAX(0,L15-K15)</f>
        <v/>
      </c>
      <c r="M24" s="12">
        <f>MAX(0,M15-L15)</f>
        <v/>
      </c>
    </row>
  </sheetData>
  <mergeCells count="1">
    <mergeCell ref="A1:N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tabSelected="1" workbookViewId="0">
      <selection activeCell="J19" sqref="J19"/>
    </sheetView>
  </sheetViews>
  <sheetFormatPr baseColWidth="8" defaultRowHeight="15"/>
  <cols>
    <col width="35" customWidth="1" style="32" min="1" max="1"/>
    <col width="12" customWidth="1" style="32" min="2" max="13"/>
  </cols>
  <sheetData>
    <row r="1" ht="21" customHeight="1" s="32">
      <c r="A1" s="31" t="inlineStr">
        <is>
          <t>REVENUE PROJECTION (12 MONTHS)</t>
        </is>
      </c>
    </row>
    <row r="3" ht="15.75" customHeight="1" s="32">
      <c r="A3" s="2" t="inlineStr">
        <is>
          <t>Metric</t>
        </is>
      </c>
      <c r="B3" s="2" t="inlineStr">
        <is>
          <t>Month 1</t>
        </is>
      </c>
      <c r="C3" s="2" t="inlineStr">
        <is>
          <t>Month 2</t>
        </is>
      </c>
      <c r="D3" s="2" t="inlineStr">
        <is>
          <t>Month 3</t>
        </is>
      </c>
      <c r="E3" s="2" t="inlineStr">
        <is>
          <t>Month 4</t>
        </is>
      </c>
      <c r="F3" s="2" t="inlineStr">
        <is>
          <t>Month 5</t>
        </is>
      </c>
      <c r="G3" s="2" t="inlineStr">
        <is>
          <t>Month 6</t>
        </is>
      </c>
      <c r="H3" s="2" t="inlineStr">
        <is>
          <t>Month 7</t>
        </is>
      </c>
      <c r="I3" s="2" t="inlineStr">
        <is>
          <t>Month 8</t>
        </is>
      </c>
      <c r="J3" s="2" t="inlineStr">
        <is>
          <t>Month 9</t>
        </is>
      </c>
      <c r="K3" s="2" t="inlineStr">
        <is>
          <t>Month 10</t>
        </is>
      </c>
      <c r="L3" s="2" t="inlineStr">
        <is>
          <t>Month 11</t>
        </is>
      </c>
      <c r="M3" s="2" t="inlineStr">
        <is>
          <t>Month 12</t>
        </is>
      </c>
    </row>
    <row r="4">
      <c r="A4" s="13" t="inlineStr">
        <is>
          <t>Total Sales Volume</t>
        </is>
      </c>
      <c r="B4" s="12">
        <f>'Affiliate Projection'!B9</f>
        <v/>
      </c>
      <c r="C4" s="12">
        <f>'Affiliate Projection'!C9</f>
        <v/>
      </c>
      <c r="D4" s="12">
        <f>'Affiliate Projection'!D9</f>
        <v/>
      </c>
      <c r="E4" s="12">
        <f>'Affiliate Projection'!E9</f>
        <v/>
      </c>
      <c r="F4" s="12">
        <f>'Affiliate Projection'!F9</f>
        <v/>
      </c>
      <c r="G4" s="12">
        <f>'Affiliate Projection'!G9</f>
        <v/>
      </c>
      <c r="H4" s="12">
        <f>'Affiliate Projection'!H9</f>
        <v/>
      </c>
      <c r="I4" s="12">
        <f>'Affiliate Projection'!I9</f>
        <v/>
      </c>
      <c r="J4" s="12">
        <f>'Affiliate Projection'!J9</f>
        <v/>
      </c>
      <c r="K4" s="12">
        <f>'Affiliate Projection'!K9</f>
        <v/>
      </c>
      <c r="L4" s="12">
        <f>'Affiliate Projection'!L9</f>
        <v/>
      </c>
      <c r="M4" s="12">
        <f>'Affiliate Projection'!M9</f>
        <v/>
      </c>
    </row>
    <row r="5">
      <c r="A5" s="13" t="inlineStr">
        <is>
          <t>Gross AOV</t>
        </is>
      </c>
      <c r="B5" s="11">
        <f>Inputs!$B$11</f>
        <v/>
      </c>
      <c r="C5" s="11">
        <f>Inputs!$B$11</f>
        <v/>
      </c>
      <c r="D5" s="11">
        <f>Inputs!$B$11</f>
        <v/>
      </c>
      <c r="E5" s="11">
        <f>Inputs!$B$11</f>
        <v/>
      </c>
      <c r="F5" s="11">
        <f>Inputs!$B$11</f>
        <v/>
      </c>
      <c r="G5" s="11">
        <f>Inputs!$B$11</f>
        <v/>
      </c>
      <c r="H5" s="11">
        <f>Inputs!$B$11</f>
        <v/>
      </c>
      <c r="I5" s="11">
        <f>Inputs!$B$11</f>
        <v/>
      </c>
      <c r="J5" s="11">
        <f>Inputs!$B$11</f>
        <v/>
      </c>
      <c r="K5" s="11">
        <f>Inputs!$B$11</f>
        <v/>
      </c>
      <c r="L5" s="11">
        <f>Inputs!$B$11</f>
        <v/>
      </c>
      <c r="M5" s="11">
        <f>Inputs!$B$11</f>
        <v/>
      </c>
    </row>
    <row r="6">
      <c r="A6" s="13" t="inlineStr">
        <is>
          <t>Gross Revenue</t>
        </is>
      </c>
      <c r="B6" s="14">
        <f>B4*B5</f>
        <v/>
      </c>
      <c r="C6" s="14">
        <f>C4*C5</f>
        <v/>
      </c>
      <c r="D6" s="14">
        <f>D4*D5</f>
        <v/>
      </c>
      <c r="E6" s="14">
        <f>E4*E5</f>
        <v/>
      </c>
      <c r="F6" s="14">
        <f>F4*F5</f>
        <v/>
      </c>
      <c r="G6" s="14">
        <f>G4*G5</f>
        <v/>
      </c>
      <c r="H6" s="14">
        <f>H4*H5</f>
        <v/>
      </c>
      <c r="I6" s="14">
        <f>I4*I5</f>
        <v/>
      </c>
      <c r="J6" s="14">
        <f>J4*J5</f>
        <v/>
      </c>
      <c r="K6" s="14">
        <f>K4*K5</f>
        <v/>
      </c>
      <c r="L6" s="14">
        <f>L4*L5</f>
        <v/>
      </c>
      <c r="M6" s="14">
        <f>M4*M5</f>
        <v/>
      </c>
    </row>
    <row r="7">
      <c r="A7" s="13" t="inlineStr">
        <is>
          <t>Avg Discount % (when redeemed)</t>
        </is>
      </c>
      <c r="B7" s="7">
        <f>SUMPRODUCT('VIP Levels'!$H$14:$H$18,Inputs!B$26:B$30)</f>
        <v/>
      </c>
      <c r="C7" s="7">
        <f>SUMPRODUCT('VIP Levels'!$H$14:$H$18,Inputs!C$26:C$30)</f>
        <v/>
      </c>
      <c r="D7" s="7">
        <f>SUMPRODUCT('VIP Levels'!$H$14:$H$18,Inputs!D$26:D$30)</f>
        <v/>
      </c>
      <c r="E7" s="7">
        <f>SUMPRODUCT('VIP Levels'!$H$14:$H$18,Inputs!E$26:E$30)</f>
        <v/>
      </c>
      <c r="F7" s="7">
        <f>SUMPRODUCT('VIP Levels'!$H$14:$H$18,Inputs!F$26:F$30)</f>
        <v/>
      </c>
      <c r="G7" s="7">
        <f>SUMPRODUCT('VIP Levels'!$H$14:$H$18,Inputs!G$26:G$30)</f>
        <v/>
      </c>
      <c r="H7" s="7">
        <f>SUMPRODUCT('VIP Levels'!$H$14:$H$18,Inputs!H$26:H$30)</f>
        <v/>
      </c>
      <c r="I7" s="7">
        <f>SUMPRODUCT('VIP Levels'!$H$14:$H$18,Inputs!I$26:I$30)</f>
        <v/>
      </c>
      <c r="J7" s="7">
        <f>SUMPRODUCT('VIP Levels'!$H$14:$H$18,Inputs!J$26:J$30)</f>
        <v/>
      </c>
      <c r="K7" s="7">
        <f>SUMPRODUCT('VIP Levels'!$H$14:$H$18,Inputs!K$26:K$30)</f>
        <v/>
      </c>
      <c r="L7" s="7">
        <f>SUMPRODUCT('VIP Levels'!$H$14:$H$18,Inputs!L$26:L$30)</f>
        <v/>
      </c>
      <c r="M7" s="7">
        <f>SUMPRODUCT('VIP Levels'!$H$14:$H$18,Inputs!M$26:M$30)</f>
        <v/>
      </c>
    </row>
    <row r="8">
      <c r="A8" s="13" t="inlineStr">
        <is>
          <t>Discount Redemption Rate</t>
        </is>
      </c>
      <c r="B8" s="7">
        <f>Inputs!$B$16</f>
        <v/>
      </c>
      <c r="C8" s="7">
        <f>Inputs!$B$16</f>
        <v/>
      </c>
      <c r="D8" s="7">
        <f>Inputs!$B$16</f>
        <v/>
      </c>
      <c r="E8" s="7">
        <f>Inputs!$B$16</f>
        <v/>
      </c>
      <c r="F8" s="7">
        <f>Inputs!$B$16</f>
        <v/>
      </c>
      <c r="G8" s="7">
        <f>Inputs!$B$16</f>
        <v/>
      </c>
      <c r="H8" s="7">
        <f>Inputs!$B$16</f>
        <v/>
      </c>
      <c r="I8" s="7">
        <f>Inputs!$B$16</f>
        <v/>
      </c>
      <c r="J8" s="7">
        <f>Inputs!$B$16</f>
        <v/>
      </c>
      <c r="K8" s="7">
        <f>Inputs!$B$16</f>
        <v/>
      </c>
      <c r="L8" s="7">
        <f>Inputs!$B$16</f>
        <v/>
      </c>
      <c r="M8" s="7">
        <f>Inputs!$B$16</f>
        <v/>
      </c>
    </row>
    <row r="9">
      <c r="A9" s="13" t="inlineStr">
        <is>
          <t>Discounted Sales Count</t>
        </is>
      </c>
      <c r="B9" s="12">
        <f>ROUND(B4*B8,0)</f>
        <v/>
      </c>
      <c r="C9" s="12">
        <f>ROUND(C4*C8,0)</f>
        <v/>
      </c>
      <c r="D9" s="12">
        <f>ROUND(D4*D8,0)</f>
        <v/>
      </c>
      <c r="E9" s="12">
        <f>ROUND(E4*E8,0)</f>
        <v/>
      </c>
      <c r="F9" s="12">
        <f>ROUND(F4*F8,0)</f>
        <v/>
      </c>
      <c r="G9" s="12">
        <f>ROUND(G4*G8,0)</f>
        <v/>
      </c>
      <c r="H9" s="12">
        <f>ROUND(H4*H8,0)</f>
        <v/>
      </c>
      <c r="I9" s="12">
        <f>ROUND(I4*I8,0)</f>
        <v/>
      </c>
      <c r="J9" s="12">
        <f>ROUND(J4*J8,0)</f>
        <v/>
      </c>
      <c r="K9" s="12">
        <f>ROUND(K4*K8,0)</f>
        <v/>
      </c>
      <c r="L9" s="12">
        <f>ROUND(L4*L8,0)</f>
        <v/>
      </c>
      <c r="M9" s="12">
        <f>ROUND(M4*M8,0)</f>
        <v/>
      </c>
    </row>
    <row r="10">
      <c r="A10" s="13" t="inlineStr">
        <is>
          <t>Net AOV (weighted avg)</t>
        </is>
      </c>
      <c r="B10" s="11">
        <f>B5*(1-B7*B8)</f>
        <v/>
      </c>
      <c r="C10" s="11">
        <f>C5*(1-C7*C8)</f>
        <v/>
      </c>
      <c r="D10" s="11">
        <f>D5*(1-D7*D8)</f>
        <v/>
      </c>
      <c r="E10" s="11">
        <f>E5*(1-E7*E8)</f>
        <v/>
      </c>
      <c r="F10" s="11">
        <f>F5*(1-F7*F8)</f>
        <v/>
      </c>
      <c r="G10" s="11">
        <f>G5*(1-G7*G8)</f>
        <v/>
      </c>
      <c r="H10" s="11">
        <f>H5*(1-H7*H8)</f>
        <v/>
      </c>
      <c r="I10" s="11">
        <f>I5*(1-I7*I8)</f>
        <v/>
      </c>
      <c r="J10" s="11">
        <f>J5*(1-J7*J8)</f>
        <v/>
      </c>
      <c r="K10" s="11">
        <f>K5*(1-K7*K8)</f>
        <v/>
      </c>
      <c r="L10" s="11">
        <f>L5*(1-L7*L8)</f>
        <v/>
      </c>
      <c r="M10" s="11">
        <f>M5*(1-M7*M8)</f>
        <v/>
      </c>
    </row>
    <row r="11">
      <c r="A11" s="13" t="inlineStr">
        <is>
          <t>Net Revenue</t>
        </is>
      </c>
      <c r="B11" s="14">
        <f>B4*B10</f>
        <v/>
      </c>
      <c r="C11" s="14">
        <f>C4*C10</f>
        <v/>
      </c>
      <c r="D11" s="14">
        <f>D4*D10</f>
        <v/>
      </c>
      <c r="E11" s="14">
        <f>E4*E10</f>
        <v/>
      </c>
      <c r="F11" s="14">
        <f>F4*F10</f>
        <v/>
      </c>
      <c r="G11" s="14">
        <f>G4*G10</f>
        <v/>
      </c>
      <c r="H11" s="14">
        <f>H4*H10</f>
        <v/>
      </c>
      <c r="I11" s="14">
        <f>I4*I10</f>
        <v/>
      </c>
      <c r="J11" s="14">
        <f>J4*J10</f>
        <v/>
      </c>
      <c r="K11" s="14">
        <f>K4*K10</f>
        <v/>
      </c>
      <c r="L11" s="14">
        <f>L4*L10</f>
        <v/>
      </c>
      <c r="M11" s="14">
        <f>M4*M10</f>
        <v/>
      </c>
    </row>
    <row r="12">
      <c r="A12" s="13" t="inlineStr">
        <is>
          <t>Discount Margin Erosion</t>
        </is>
      </c>
      <c r="B12" s="14">
        <f>B6-B11</f>
        <v/>
      </c>
      <c r="C12" s="14">
        <f>C6-C11</f>
        <v/>
      </c>
      <c r="D12" s="14">
        <f>D6-D11</f>
        <v/>
      </c>
      <c r="E12" s="14">
        <f>E6-E11</f>
        <v/>
      </c>
      <c r="F12" s="14">
        <f>F6-F11</f>
        <v/>
      </c>
      <c r="G12" s="14">
        <f>G6-G11</f>
        <v/>
      </c>
      <c r="H12" s="14">
        <f>H6-H11</f>
        <v/>
      </c>
      <c r="I12" s="14">
        <f>I6-I11</f>
        <v/>
      </c>
      <c r="J12" s="14">
        <f>J6-J11</f>
        <v/>
      </c>
      <c r="K12" s="14">
        <f>K6-K11</f>
        <v/>
      </c>
      <c r="L12" s="14">
        <f>L6-L11</f>
        <v/>
      </c>
      <c r="M12" s="14">
        <f>M6-M11</f>
        <v/>
      </c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B6" sqref="B6"/>
    </sheetView>
  </sheetViews>
  <sheetFormatPr baseColWidth="8" defaultRowHeight="15"/>
  <cols>
    <col width="35" customWidth="1" style="32" min="1" max="1"/>
    <col width="12" customWidth="1" style="32" min="2" max="13"/>
  </cols>
  <sheetData>
    <row r="1" ht="21" customHeight="1" s="32">
      <c r="A1" s="31" t="inlineStr">
        <is>
          <t>COST PROJECTION (12 MONTHS)</t>
        </is>
      </c>
    </row>
    <row r="3" ht="15.75" customHeight="1" s="32">
      <c r="A3" s="2" t="inlineStr">
        <is>
          <t>Metric</t>
        </is>
      </c>
      <c r="B3" s="2" t="inlineStr">
        <is>
          <t>Month 1</t>
        </is>
      </c>
      <c r="C3" s="2" t="inlineStr">
        <is>
          <t>Month 2</t>
        </is>
      </c>
      <c r="D3" s="2" t="inlineStr">
        <is>
          <t>Month 3</t>
        </is>
      </c>
      <c r="E3" s="2" t="inlineStr">
        <is>
          <t>Month 4</t>
        </is>
      </c>
      <c r="F3" s="2" t="inlineStr">
        <is>
          <t>Month 5</t>
        </is>
      </c>
      <c r="G3" s="2" t="inlineStr">
        <is>
          <t>Month 6</t>
        </is>
      </c>
      <c r="H3" s="2" t="inlineStr">
        <is>
          <t>Month 7</t>
        </is>
      </c>
      <c r="I3" s="2" t="inlineStr">
        <is>
          <t>Month 8</t>
        </is>
      </c>
      <c r="J3" s="2" t="inlineStr">
        <is>
          <t>Month 9</t>
        </is>
      </c>
      <c r="K3" s="2" t="inlineStr">
        <is>
          <t>Month 10</t>
        </is>
      </c>
      <c r="L3" s="2" t="inlineStr">
        <is>
          <t>Month 11</t>
        </is>
      </c>
      <c r="M3" s="2" t="inlineStr">
        <is>
          <t>Month 12</t>
        </is>
      </c>
    </row>
    <row r="4" ht="18.75" customHeight="1" s="32">
      <c r="A4" s="1" t="inlineStr">
        <is>
          <t>--- CM1 COSTS (Per Sale) ---</t>
        </is>
      </c>
    </row>
    <row r="5">
      <c r="A5" s="13" t="inlineStr">
        <is>
          <t>Base Commission Cost</t>
        </is>
      </c>
      <c r="B5" s="14">
        <f>Revenue!B11*SUMPRODUCT('VIP Levels'!$D$5:$D$9,Inputs!B$26:B$30)</f>
        <v/>
      </c>
      <c r="C5" s="14">
        <f>Revenue!C11*SUMPRODUCT('VIP Levels'!$D$5:$D$9,Inputs!C$26:C$30)</f>
        <v/>
      </c>
      <c r="D5" s="14">
        <f>Revenue!D11*SUMPRODUCT('VIP Levels'!$D$5:$D$9,Inputs!D$26:D$30)</f>
        <v/>
      </c>
      <c r="E5" s="14">
        <f>Revenue!E11*SUMPRODUCT('VIP Levels'!$D$5:$D$9,Inputs!E$26:E$30)</f>
        <v/>
      </c>
      <c r="F5" s="14">
        <f>Revenue!F11*SUMPRODUCT('VIP Levels'!$D$5:$D$9,Inputs!F$26:F$30)</f>
        <v/>
      </c>
      <c r="G5" s="14">
        <f>Revenue!G11*SUMPRODUCT('VIP Levels'!$D$5:$D$9,Inputs!G$26:G$30)</f>
        <v/>
      </c>
      <c r="H5" s="14">
        <f>Revenue!H11*SUMPRODUCT('VIP Levels'!$D$5:$D$9,Inputs!H$26:H$30)</f>
        <v/>
      </c>
      <c r="I5" s="14">
        <f>Revenue!I11*SUMPRODUCT('VIP Levels'!$D$5:$D$9,Inputs!I$26:I$30)</f>
        <v/>
      </c>
      <c r="J5" s="14">
        <f>Revenue!J11*SUMPRODUCT('VIP Levels'!$D$5:$D$9,Inputs!J$26:J$30)</f>
        <v/>
      </c>
      <c r="K5" s="14">
        <f>Revenue!K11*SUMPRODUCT('VIP Levels'!$D$5:$D$9,Inputs!K$26:K$30)</f>
        <v/>
      </c>
      <c r="L5" s="14">
        <f>Revenue!L11*SUMPRODUCT('VIP Levels'!$D$5:$D$9,Inputs!L$26:L$30)</f>
        <v/>
      </c>
      <c r="M5" s="14">
        <f>Revenue!M11*SUMPRODUCT('VIP Levels'!$D$5:$D$9,Inputs!M$26:M$30)</f>
        <v/>
      </c>
    </row>
    <row r="6">
      <c r="A6" s="13" t="inlineStr">
        <is>
          <t>Commission Boost Cost (Welcome)</t>
        </is>
      </c>
      <c r="B6" s="14">
        <f>'Affiliate Projection'!B20*'VIP Levels'!$B$14*'VIP Levels'!$E$5*('VIP Levels'!$D$14/30)*'VIP Levels'!$C$14*Revenue!B10+'Affiliate Projection'!B21*'VIP Levels'!$B$15*'VIP Levels'!$E$6*('VIP Levels'!$D$15/30)*'VIP Levels'!$C$15*Revenue!B10+'Affiliate Projection'!B22*'VIP Levels'!$B$16*'VIP Levels'!$E$7*('VIP Levels'!$D$16/30)*'VIP Levels'!$C$16*Revenue!B10+'Affiliate Projection'!B23*'VIP Levels'!$B$17*'VIP Levels'!$E$8*('VIP Levels'!$D$17/30)*'VIP Levels'!$C$17*Revenue!B10+'Affiliate Projection'!B24*'VIP Levels'!$B$18*'VIP Levels'!$E$9*('VIP Levels'!$D$18/30)*'VIP Levels'!$C$18*Revenue!B10</f>
        <v/>
      </c>
      <c r="C6" s="14">
        <f>'Affiliate Projection'!C20*'VIP Levels'!$B$14*'VIP Levels'!$E$5*('VIP Levels'!$D$14/30)*'VIP Levels'!$C$14*Revenue!C10+'Affiliate Projection'!C21*'VIP Levels'!$B$15*'VIP Levels'!$E$6*('VIP Levels'!$D$15/30)*'VIP Levels'!$C$15*Revenue!C10+'Affiliate Projection'!C22*'VIP Levels'!$B$16*'VIP Levels'!$E$7*('VIP Levels'!$D$16/30)*'VIP Levels'!$C$16*Revenue!C10+'Affiliate Projection'!C23*'VIP Levels'!$B$17*'VIP Levels'!$E$8*('VIP Levels'!$D$17/30)*'VIP Levels'!$C$17*Revenue!C10+'Affiliate Projection'!C24*'VIP Levels'!$B$18*'VIP Levels'!$E$9*('VIP Levels'!$D$18/30)*'VIP Levels'!$C$18*Revenue!C10</f>
        <v/>
      </c>
      <c r="D6" s="14">
        <f>'Affiliate Projection'!D20*'VIP Levels'!$B$14*'VIP Levels'!$E$5*('VIP Levels'!$D$14/30)*'VIP Levels'!$C$14*Revenue!D10+'Affiliate Projection'!D21*'VIP Levels'!$B$15*'VIP Levels'!$E$6*('VIP Levels'!$D$15/30)*'VIP Levels'!$C$15*Revenue!D10+'Affiliate Projection'!D22*'VIP Levels'!$B$16*'VIP Levels'!$E$7*('VIP Levels'!$D$16/30)*'VIP Levels'!$C$16*Revenue!D10+'Affiliate Projection'!D23*'VIP Levels'!$B$17*'VIP Levels'!$E$8*('VIP Levels'!$D$17/30)*'VIP Levels'!$C$17*Revenue!D10+'Affiliate Projection'!D24*'VIP Levels'!$B$18*'VIP Levels'!$E$9*('VIP Levels'!$D$18/30)*'VIP Levels'!$C$18*Revenue!D10</f>
        <v/>
      </c>
      <c r="E6" s="14">
        <f>'Affiliate Projection'!E20*'VIP Levels'!$B$14*'VIP Levels'!$E$5*('VIP Levels'!$D$14/30)*'VIP Levels'!$C$14*Revenue!E10+'Affiliate Projection'!E21*'VIP Levels'!$B$15*'VIP Levels'!$E$6*('VIP Levels'!$D$15/30)*'VIP Levels'!$C$15*Revenue!E10+'Affiliate Projection'!E22*'VIP Levels'!$B$16*'VIP Levels'!$E$7*('VIP Levels'!$D$16/30)*'VIP Levels'!$C$16*Revenue!E10+'Affiliate Projection'!E23*'VIP Levels'!$B$17*'VIP Levels'!$E$8*('VIP Levels'!$D$17/30)*'VIP Levels'!$C$17*Revenue!E10+'Affiliate Projection'!E24*'VIP Levels'!$B$18*'VIP Levels'!$E$9*('VIP Levels'!$D$18/30)*'VIP Levels'!$C$18*Revenue!E10</f>
        <v/>
      </c>
      <c r="F6" s="14">
        <f>'Affiliate Projection'!F20*'VIP Levels'!$B$14*'VIP Levels'!$E$5*('VIP Levels'!$D$14/30)*'VIP Levels'!$C$14*Revenue!F10+'Affiliate Projection'!F21*'VIP Levels'!$B$15*'VIP Levels'!$E$6*('VIP Levels'!$D$15/30)*'VIP Levels'!$C$15*Revenue!F10+'Affiliate Projection'!F22*'VIP Levels'!$B$16*'VIP Levels'!$E$7*('VIP Levels'!$D$16/30)*'VIP Levels'!$C$16*Revenue!F10+'Affiliate Projection'!F23*'VIP Levels'!$B$17*'VIP Levels'!$E$8*('VIP Levels'!$D$17/30)*'VIP Levels'!$C$17*Revenue!F10+'Affiliate Projection'!F24*'VIP Levels'!$B$18*'VIP Levels'!$E$9*('VIP Levels'!$D$18/30)*'VIP Levels'!$C$18*Revenue!F10</f>
        <v/>
      </c>
      <c r="G6" s="14">
        <f>'Affiliate Projection'!G20*'VIP Levels'!$B$14*'VIP Levels'!$E$5*('VIP Levels'!$D$14/30)*'VIP Levels'!$C$14*Revenue!G10+'Affiliate Projection'!G21*'VIP Levels'!$B$15*'VIP Levels'!$E$6*('VIP Levels'!$D$15/30)*'VIP Levels'!$C$15*Revenue!G10+'Affiliate Projection'!G22*'VIP Levels'!$B$16*'VIP Levels'!$E$7*('VIP Levels'!$D$16/30)*'VIP Levels'!$C$16*Revenue!G10+'Affiliate Projection'!G23*'VIP Levels'!$B$17*'VIP Levels'!$E$8*('VIP Levels'!$D$17/30)*'VIP Levels'!$C$17*Revenue!G10+'Affiliate Projection'!G24*'VIP Levels'!$B$18*'VIP Levels'!$E$9*('VIP Levels'!$D$18/30)*'VIP Levels'!$C$18*Revenue!G10</f>
        <v/>
      </c>
      <c r="H6" s="14">
        <f>'Affiliate Projection'!H20*'VIP Levels'!$B$14*'VIP Levels'!$E$5*('VIP Levels'!$D$14/30)*'VIP Levels'!$C$14*Revenue!H10+'Affiliate Projection'!H21*'VIP Levels'!$B$15*'VIP Levels'!$E$6*('VIP Levels'!$D$15/30)*'VIP Levels'!$C$15*Revenue!H10+'Affiliate Projection'!H22*'VIP Levels'!$B$16*'VIP Levels'!$E$7*('VIP Levels'!$D$16/30)*'VIP Levels'!$C$16*Revenue!H10+'Affiliate Projection'!H23*'VIP Levels'!$B$17*'VIP Levels'!$E$8*('VIP Levels'!$D$17/30)*'VIP Levels'!$C$17*Revenue!H10+'Affiliate Projection'!H24*'VIP Levels'!$B$18*'VIP Levels'!$E$9*('VIP Levels'!$D$18/30)*'VIP Levels'!$C$18*Revenue!H10</f>
        <v/>
      </c>
      <c r="I6" s="14">
        <f>'Affiliate Projection'!I20*'VIP Levels'!$B$14*'VIP Levels'!$E$5*('VIP Levels'!$D$14/30)*'VIP Levels'!$C$14*Revenue!I10+'Affiliate Projection'!I21*'VIP Levels'!$B$15*'VIP Levels'!$E$6*('VIP Levels'!$D$15/30)*'VIP Levels'!$C$15*Revenue!I10+'Affiliate Projection'!I22*'VIP Levels'!$B$16*'VIP Levels'!$E$7*('VIP Levels'!$D$16/30)*'VIP Levels'!$C$16*Revenue!I10+'Affiliate Projection'!I23*'VIP Levels'!$B$17*'VIP Levels'!$E$8*('VIP Levels'!$D$17/30)*'VIP Levels'!$C$17*Revenue!I10+'Affiliate Projection'!I24*'VIP Levels'!$B$18*'VIP Levels'!$E$9*('VIP Levels'!$D$18/30)*'VIP Levels'!$C$18*Revenue!I10</f>
        <v/>
      </c>
      <c r="J6" s="14">
        <f>'Affiliate Projection'!J20*'VIP Levels'!$B$14*'VIP Levels'!$E$5*('VIP Levels'!$D$14/30)*'VIP Levels'!$C$14*Revenue!J10+'Affiliate Projection'!J21*'VIP Levels'!$B$15*'VIP Levels'!$E$6*('VIP Levels'!$D$15/30)*'VIP Levels'!$C$15*Revenue!J10+'Affiliate Projection'!J22*'VIP Levels'!$B$16*'VIP Levels'!$E$7*('VIP Levels'!$D$16/30)*'VIP Levels'!$C$16*Revenue!J10+'Affiliate Projection'!J23*'VIP Levels'!$B$17*'VIP Levels'!$E$8*('VIP Levels'!$D$17/30)*'VIP Levels'!$C$17*Revenue!J10+'Affiliate Projection'!J24*'VIP Levels'!$B$18*'VIP Levels'!$E$9*('VIP Levels'!$D$18/30)*'VIP Levels'!$C$18*Revenue!J10</f>
        <v/>
      </c>
      <c r="K6" s="14">
        <f>'Affiliate Projection'!K20*'VIP Levels'!$B$14*'VIP Levels'!$E$5*('VIP Levels'!$D$14/30)*'VIP Levels'!$C$14*Revenue!K10+'Affiliate Projection'!K21*'VIP Levels'!$B$15*'VIP Levels'!$E$6*('VIP Levels'!$D$15/30)*'VIP Levels'!$C$15*Revenue!K10+'Affiliate Projection'!K22*'VIP Levels'!$B$16*'VIP Levels'!$E$7*('VIP Levels'!$D$16/30)*'VIP Levels'!$C$16*Revenue!K10+'Affiliate Projection'!K23*'VIP Levels'!$B$17*'VIP Levels'!$E$8*('VIP Levels'!$D$17/30)*'VIP Levels'!$C$17*Revenue!K10+'Affiliate Projection'!K24*'VIP Levels'!$B$18*'VIP Levels'!$E$9*('VIP Levels'!$D$18/30)*'VIP Levels'!$C$18*Revenue!K10</f>
        <v/>
      </c>
      <c r="L6" s="14">
        <f>'Affiliate Projection'!L20*'VIP Levels'!$B$14*'VIP Levels'!$E$5*('VIP Levels'!$D$14/30)*'VIP Levels'!$C$14*Revenue!L10+'Affiliate Projection'!L21*'VIP Levels'!$B$15*'VIP Levels'!$E$6*('VIP Levels'!$D$15/30)*'VIP Levels'!$C$15*Revenue!L10+'Affiliate Projection'!L22*'VIP Levels'!$B$16*'VIP Levels'!$E$7*('VIP Levels'!$D$16/30)*'VIP Levels'!$C$16*Revenue!L10+'Affiliate Projection'!L23*'VIP Levels'!$B$17*'VIP Levels'!$E$8*('VIP Levels'!$D$17/30)*'VIP Levels'!$C$17*Revenue!L10+'Affiliate Projection'!L24*'VIP Levels'!$B$18*'VIP Levels'!$E$9*('VIP Levels'!$D$18/30)*'VIP Levels'!$C$18*Revenue!L10</f>
        <v/>
      </c>
      <c r="M6" s="14">
        <f>'Affiliate Projection'!M20*'VIP Levels'!$B$14*'VIP Levels'!$E$5*('VIP Levels'!$D$14/30)*'VIP Levels'!$C$14*Revenue!M10+'Affiliate Projection'!M21*'VIP Levels'!$B$15*'VIP Levels'!$E$6*('VIP Levels'!$D$15/30)*'VIP Levels'!$C$15*Revenue!M10+'Affiliate Projection'!M22*'VIP Levels'!$B$16*'VIP Levels'!$E$7*('VIP Levels'!$D$16/30)*'VIP Levels'!$C$16*Revenue!M10+'Affiliate Projection'!M23*'VIP Levels'!$B$17*'VIP Levels'!$E$8*('VIP Levels'!$D$17/30)*'VIP Levels'!$C$17*Revenue!M10+'Affiliate Projection'!M24*'VIP Levels'!$B$18*'VIP Levels'!$E$9*('VIP Levels'!$D$18/30)*'VIP Levels'!$C$18*Revenue!M10</f>
        <v/>
      </c>
    </row>
    <row r="7">
      <c r="A7" s="13" t="inlineStr">
        <is>
          <t>Commission Boost Cost (Missions)</t>
        </is>
      </c>
      <c r="B7" s="14">
        <f>SUMPRODUCT((Missions!$F$6:$F$26="Commission Boost")*(Missions!$A$6:$A$26="Bronze")*(Missions!$D$6:$D$26="One-time")*'Affiliate Projection'!B20*Missions!$E$6:$E$26*Missions!$J$6:$J$26)+SUMPRODUCT((Missions!$F$6:$F$26="Commission Boost")*(Missions!$A$6:$A$26="Bronze")*(Missions!$D$6:$D$26&lt;&gt;"One-time")*'Affiliate Projection'!B11*Missions!$E$6:$E$26*Missions!$J$6:$J$26)+SUMPRODUCT((Missions!$F$6:$F$26="Commission Boost")*(Missions!$A$6:$A$26="Silver")*(Missions!$D$6:$D$26="One-time")*'Affiliate Projection'!B21*Missions!$E$6:$E$26*Missions!$J$6:$J$26)+SUMPRODUCT((Missions!$F$6:$F$26="Commission Boost")*(Missions!$A$6:$A$26="Silver")*(Missions!$D$6:$D$26&lt;&gt;"One-time")*'Affiliate Projection'!B12*Missions!$E$6:$E$26*Missions!$J$6:$J$26)+SUMPRODUCT((Missions!$F$6:$F$26="Commission Boost")*(Missions!$A$6:$A$26="Gold")*(Missions!$D$6:$D$26="One-time")*'Affiliate Projection'!B22*Missions!$E$6:$E$26*Missions!$J$6:$J$26)+SUMPRODUCT((Missions!$F$6:$F$26="Commission Boost")*(Missions!$A$6:$A$26="Gold")*(Missions!$D$6:$D$26&lt;&gt;"One-time")*'Affiliate Projection'!B13*Missions!$E$6:$E$26*Missions!$J$6:$J$26)+SUMPRODUCT((Missions!$F$6:$F$26="Commission Boost")*(Missions!$A$6:$A$26="Platinum")*(Missions!$D$6:$D$26="One-time")*'Affiliate Projection'!B23*Missions!$E$6:$E$26*Missions!$J$6:$J$26)+SUMPRODUCT((Missions!$F$6:$F$26="Commission Boost")*(Missions!$A$6:$A$26="Platinum")*(Missions!$D$6:$D$26&lt;&gt;"One-time")*'Affiliate Projection'!B14*Missions!$E$6:$E$26*Missions!$J$6:$J$26)+SUMPRODUCT((Missions!$F$6:$F$26="Commission Boost")*(Missions!$A$6:$A$26="Diamond")*(Missions!$D$6:$D$26="One-time")*'Affiliate Projection'!B24*Missions!$E$6:$E$26*Missions!$J$6:$J$26)+SUMPRODUCT((Missions!$F$6:$F$26="Commission Boost")*(Missions!$A$6:$A$26="Diamond")*(Missions!$D$6:$D$26&lt;&gt;"One-time")*'Affiliate Projection'!B15*Missions!$E$6:$E$26*Missions!$J$6:$J$26)</f>
        <v/>
      </c>
      <c r="C7" s="14">
        <f>SUMPRODUCT((Missions!$F$6:$F$26="Commission Boost")*(Missions!$A$6:$A$26="Bronze")*(Missions!$D$6:$D$26="One-time")*'Affiliate Projection'!C20*Missions!$E$6:$E$26*Missions!$J$6:$J$26)+SUMPRODUCT((Missions!$F$6:$F$26="Commission Boost")*(Missions!$A$6:$A$26="Bronze")*(Missions!$D$6:$D$26&lt;&gt;"One-time")*'Affiliate Projection'!C11*Missions!$E$6:$E$26*Missions!$J$6:$J$26)+SUMPRODUCT((Missions!$F$6:$F$26="Commission Boost")*(Missions!$A$6:$A$26="Silver")*(Missions!$D$6:$D$26="One-time")*'Affiliate Projection'!C21*Missions!$E$6:$E$26*Missions!$J$6:$J$26)+SUMPRODUCT((Missions!$F$6:$F$26="Commission Boost")*(Missions!$A$6:$A$26="Silver")*(Missions!$D$6:$D$26&lt;&gt;"One-time")*'Affiliate Projection'!C12*Missions!$E$6:$E$26*Missions!$J$6:$J$26)+SUMPRODUCT((Missions!$F$6:$F$26="Commission Boost")*(Missions!$A$6:$A$26="Gold")*(Missions!$D$6:$D$26="One-time")*'Affiliate Projection'!C22*Missions!$E$6:$E$26*Missions!$J$6:$J$26)+SUMPRODUCT((Missions!$F$6:$F$26="Commission Boost")*(Missions!$A$6:$A$26="Gold")*(Missions!$D$6:$D$26&lt;&gt;"One-time")*'Affiliate Projection'!C13*Missions!$E$6:$E$26*Missions!$J$6:$J$26)+SUMPRODUCT((Missions!$F$6:$F$26="Commission Boost")*(Missions!$A$6:$A$26="Platinum")*(Missions!$D$6:$D$26="One-time")*'Affiliate Projection'!C23*Missions!$E$6:$E$26*Missions!$J$6:$J$26)+SUMPRODUCT((Missions!$F$6:$F$26="Commission Boost")*(Missions!$A$6:$A$26="Platinum")*(Missions!$D$6:$D$26&lt;&gt;"One-time")*'Affiliate Projection'!C14*Missions!$E$6:$E$26*Missions!$J$6:$J$26)+SUMPRODUCT((Missions!$F$6:$F$26="Commission Boost")*(Missions!$A$6:$A$26="Diamond")*(Missions!$D$6:$D$26="One-time")*'Affiliate Projection'!C24*Missions!$E$6:$E$26*Missions!$J$6:$J$26)+SUMPRODUCT((Missions!$F$6:$F$26="Commission Boost")*(Missions!$A$6:$A$26="Diamond")*(Missions!$D$6:$D$26&lt;&gt;"One-time")*'Affiliate Projection'!C15*Missions!$E$6:$E$26*Missions!$J$6:$J$26)</f>
        <v/>
      </c>
      <c r="D7" s="14">
        <f>SUMPRODUCT((Missions!$F$6:$F$26="Commission Boost")*(Missions!$A$6:$A$26="Bronze")*(Missions!$D$6:$D$26="One-time")*'Affiliate Projection'!D20*Missions!$E$6:$E$26*Missions!$J$6:$J$26)+SUMPRODUCT((Missions!$F$6:$F$26="Commission Boost")*(Missions!$A$6:$A$26="Bronze")*(Missions!$D$6:$D$26&lt;&gt;"One-time")*'Affiliate Projection'!D11*Missions!$E$6:$E$26*Missions!$J$6:$J$26)+SUMPRODUCT((Missions!$F$6:$F$26="Commission Boost")*(Missions!$A$6:$A$26="Silver")*(Missions!$D$6:$D$26="One-time")*'Affiliate Projection'!D21*Missions!$E$6:$E$26*Missions!$J$6:$J$26)+SUMPRODUCT((Missions!$F$6:$F$26="Commission Boost")*(Missions!$A$6:$A$26="Silver")*(Missions!$D$6:$D$26&lt;&gt;"One-time")*'Affiliate Projection'!D12*Missions!$E$6:$E$26*Missions!$J$6:$J$26)+SUMPRODUCT((Missions!$F$6:$F$26="Commission Boost")*(Missions!$A$6:$A$26="Gold")*(Missions!$D$6:$D$26="One-time")*'Affiliate Projection'!D22*Missions!$E$6:$E$26*Missions!$J$6:$J$26)+SUMPRODUCT((Missions!$F$6:$F$26="Commission Boost")*(Missions!$A$6:$A$26="Gold")*(Missions!$D$6:$D$26&lt;&gt;"One-time")*'Affiliate Projection'!D13*Missions!$E$6:$E$26*Missions!$J$6:$J$26)+SUMPRODUCT((Missions!$F$6:$F$26="Commission Boost")*(Missions!$A$6:$A$26="Platinum")*(Missions!$D$6:$D$26="One-time")*'Affiliate Projection'!D23*Missions!$E$6:$E$26*Missions!$J$6:$J$26)+SUMPRODUCT((Missions!$F$6:$F$26="Commission Boost")*(Missions!$A$6:$A$26="Platinum")*(Missions!$D$6:$D$26&lt;&gt;"One-time")*'Affiliate Projection'!D14*Missions!$E$6:$E$26*Missions!$J$6:$J$26)+SUMPRODUCT((Missions!$F$6:$F$26="Commission Boost")*(Missions!$A$6:$A$26="Diamond")*(Missions!$D$6:$D$26="One-time")*'Affiliate Projection'!D24*Missions!$E$6:$E$26*Missions!$J$6:$J$26)+SUMPRODUCT((Missions!$F$6:$F$26="Commission Boost")*(Missions!$A$6:$A$26="Diamond")*(Missions!$D$6:$D$26&lt;&gt;"One-time")*'Affiliate Projection'!D15*Missions!$E$6:$E$26*Missions!$J$6:$J$26)</f>
        <v/>
      </c>
      <c r="E7" s="14">
        <f>SUMPRODUCT((Missions!$F$6:$F$26="Commission Boost")*(Missions!$A$6:$A$26="Bronze")*(Missions!$D$6:$D$26="One-time")*'Affiliate Projection'!E20*Missions!$E$6:$E$26*Missions!$J$6:$J$26)+SUMPRODUCT((Missions!$F$6:$F$26="Commission Boost")*(Missions!$A$6:$A$26="Bronze")*(Missions!$D$6:$D$26&lt;&gt;"One-time")*'Affiliate Projection'!E11*Missions!$E$6:$E$26*Missions!$J$6:$J$26)+SUMPRODUCT((Missions!$F$6:$F$26="Commission Boost")*(Missions!$A$6:$A$26="Silver")*(Missions!$D$6:$D$26="One-time")*'Affiliate Projection'!E21*Missions!$E$6:$E$26*Missions!$J$6:$J$26)+SUMPRODUCT((Missions!$F$6:$F$26="Commission Boost")*(Missions!$A$6:$A$26="Silver")*(Missions!$D$6:$D$26&lt;&gt;"One-time")*'Affiliate Projection'!E12*Missions!$E$6:$E$26*Missions!$J$6:$J$26)+SUMPRODUCT((Missions!$F$6:$F$26="Commission Boost")*(Missions!$A$6:$A$26="Gold")*(Missions!$D$6:$D$26="One-time")*'Affiliate Projection'!E22*Missions!$E$6:$E$26*Missions!$J$6:$J$26)+SUMPRODUCT((Missions!$F$6:$F$26="Commission Boost")*(Missions!$A$6:$A$26="Gold")*(Missions!$D$6:$D$26&lt;&gt;"One-time")*'Affiliate Projection'!E13*Missions!$E$6:$E$26*Missions!$J$6:$J$26)+SUMPRODUCT((Missions!$F$6:$F$26="Commission Boost")*(Missions!$A$6:$A$26="Platinum")*(Missions!$D$6:$D$26="One-time")*'Affiliate Projection'!E23*Missions!$E$6:$E$26*Missions!$J$6:$J$26)+SUMPRODUCT((Missions!$F$6:$F$26="Commission Boost")*(Missions!$A$6:$A$26="Platinum")*(Missions!$D$6:$D$26&lt;&gt;"One-time")*'Affiliate Projection'!E14*Missions!$E$6:$E$26*Missions!$J$6:$J$26)+SUMPRODUCT((Missions!$F$6:$F$26="Commission Boost")*(Missions!$A$6:$A$26="Diamond")*(Missions!$D$6:$D$26="One-time")*'Affiliate Projection'!E24*Missions!$E$6:$E$26*Missions!$J$6:$J$26)+SUMPRODUCT((Missions!$F$6:$F$26="Commission Boost")*(Missions!$A$6:$A$26="Diamond")*(Missions!$D$6:$D$26&lt;&gt;"One-time")*'Affiliate Projection'!E15*Missions!$E$6:$E$26*Missions!$J$6:$J$26)</f>
        <v/>
      </c>
      <c r="F7" s="14">
        <f>SUMPRODUCT((Missions!$F$6:$F$26="Commission Boost")*(Missions!$A$6:$A$26="Bronze")*(Missions!$D$6:$D$26="One-time")*'Affiliate Projection'!F20*Missions!$E$6:$E$26*Missions!$J$6:$J$26)+SUMPRODUCT((Missions!$F$6:$F$26="Commission Boost")*(Missions!$A$6:$A$26="Bronze")*(Missions!$D$6:$D$26&lt;&gt;"One-time")*'Affiliate Projection'!F11*Missions!$E$6:$E$26*Missions!$J$6:$J$26)+SUMPRODUCT((Missions!$F$6:$F$26="Commission Boost")*(Missions!$A$6:$A$26="Silver")*(Missions!$D$6:$D$26="One-time")*'Affiliate Projection'!F21*Missions!$E$6:$E$26*Missions!$J$6:$J$26)+SUMPRODUCT((Missions!$F$6:$F$26="Commission Boost")*(Missions!$A$6:$A$26="Silver")*(Missions!$D$6:$D$26&lt;&gt;"One-time")*'Affiliate Projection'!F12*Missions!$E$6:$E$26*Missions!$J$6:$J$26)+SUMPRODUCT((Missions!$F$6:$F$26="Commission Boost")*(Missions!$A$6:$A$26="Gold")*(Missions!$D$6:$D$26="One-time")*'Affiliate Projection'!F22*Missions!$E$6:$E$26*Missions!$J$6:$J$26)+SUMPRODUCT((Missions!$F$6:$F$26="Commission Boost")*(Missions!$A$6:$A$26="Gold")*(Missions!$D$6:$D$26&lt;&gt;"One-time")*'Affiliate Projection'!F13*Missions!$E$6:$E$26*Missions!$J$6:$J$26)+SUMPRODUCT((Missions!$F$6:$F$26="Commission Boost")*(Missions!$A$6:$A$26="Platinum")*(Missions!$D$6:$D$26="One-time")*'Affiliate Projection'!F23*Missions!$E$6:$E$26*Missions!$J$6:$J$26)+SUMPRODUCT((Missions!$F$6:$F$26="Commission Boost")*(Missions!$A$6:$A$26="Platinum")*(Missions!$D$6:$D$26&lt;&gt;"One-time")*'Affiliate Projection'!F14*Missions!$E$6:$E$26*Missions!$J$6:$J$26)+SUMPRODUCT((Missions!$F$6:$F$26="Commission Boost")*(Missions!$A$6:$A$26="Diamond")*(Missions!$D$6:$D$26="One-time")*'Affiliate Projection'!F24*Missions!$E$6:$E$26*Missions!$J$6:$J$26)+SUMPRODUCT((Missions!$F$6:$F$26="Commission Boost")*(Missions!$A$6:$A$26="Diamond")*(Missions!$D$6:$D$26&lt;&gt;"One-time")*'Affiliate Projection'!F15*Missions!$E$6:$E$26*Missions!$J$6:$J$26)</f>
        <v/>
      </c>
      <c r="G7" s="14">
        <f>SUMPRODUCT((Missions!$F$6:$F$26="Commission Boost")*(Missions!$A$6:$A$26="Bronze")*(Missions!$D$6:$D$26="One-time")*'Affiliate Projection'!G20*Missions!$E$6:$E$26*Missions!$J$6:$J$26)+SUMPRODUCT((Missions!$F$6:$F$26="Commission Boost")*(Missions!$A$6:$A$26="Bronze")*(Missions!$D$6:$D$26&lt;&gt;"One-time")*'Affiliate Projection'!G11*Missions!$E$6:$E$26*Missions!$J$6:$J$26)+SUMPRODUCT((Missions!$F$6:$F$26="Commission Boost")*(Missions!$A$6:$A$26="Silver")*(Missions!$D$6:$D$26="One-time")*'Affiliate Projection'!G21*Missions!$E$6:$E$26*Missions!$J$6:$J$26)+SUMPRODUCT((Missions!$F$6:$F$26="Commission Boost")*(Missions!$A$6:$A$26="Silver")*(Missions!$D$6:$D$26&lt;&gt;"One-time")*'Affiliate Projection'!G12*Missions!$E$6:$E$26*Missions!$J$6:$J$26)+SUMPRODUCT((Missions!$F$6:$F$26="Commission Boost")*(Missions!$A$6:$A$26="Gold")*(Missions!$D$6:$D$26="One-time")*'Affiliate Projection'!G22*Missions!$E$6:$E$26*Missions!$J$6:$J$26)+SUMPRODUCT((Missions!$F$6:$F$26="Commission Boost")*(Missions!$A$6:$A$26="Gold")*(Missions!$D$6:$D$26&lt;&gt;"One-time")*'Affiliate Projection'!G13*Missions!$E$6:$E$26*Missions!$J$6:$J$26)+SUMPRODUCT((Missions!$F$6:$F$26="Commission Boost")*(Missions!$A$6:$A$26="Platinum")*(Missions!$D$6:$D$26="One-time")*'Affiliate Projection'!G23*Missions!$E$6:$E$26*Missions!$J$6:$J$26)+SUMPRODUCT((Missions!$F$6:$F$26="Commission Boost")*(Missions!$A$6:$A$26="Platinum")*(Missions!$D$6:$D$26&lt;&gt;"One-time")*'Affiliate Projection'!G14*Missions!$E$6:$E$26*Missions!$J$6:$J$26)+SUMPRODUCT((Missions!$F$6:$F$26="Commission Boost")*(Missions!$A$6:$A$26="Diamond")*(Missions!$D$6:$D$26="One-time")*'Affiliate Projection'!G24*Missions!$E$6:$E$26*Missions!$J$6:$J$26)+SUMPRODUCT((Missions!$F$6:$F$26="Commission Boost")*(Missions!$A$6:$A$26="Diamond")*(Missions!$D$6:$D$26&lt;&gt;"One-time")*'Affiliate Projection'!G15*Missions!$E$6:$E$26*Missions!$J$6:$J$26)</f>
        <v/>
      </c>
      <c r="H7" s="14">
        <f>SUMPRODUCT((Missions!$F$6:$F$26="Commission Boost")*(Missions!$A$6:$A$26="Bronze")*(Missions!$D$6:$D$26="One-time")*'Affiliate Projection'!H20*Missions!$E$6:$E$26*Missions!$J$6:$J$26)+SUMPRODUCT((Missions!$F$6:$F$26="Commission Boost")*(Missions!$A$6:$A$26="Bronze")*(Missions!$D$6:$D$26&lt;&gt;"One-time")*'Affiliate Projection'!H11*Missions!$E$6:$E$26*Missions!$J$6:$J$26)+SUMPRODUCT((Missions!$F$6:$F$26="Commission Boost")*(Missions!$A$6:$A$26="Silver")*(Missions!$D$6:$D$26="One-time")*'Affiliate Projection'!H21*Missions!$E$6:$E$26*Missions!$J$6:$J$26)+SUMPRODUCT((Missions!$F$6:$F$26="Commission Boost")*(Missions!$A$6:$A$26="Silver")*(Missions!$D$6:$D$26&lt;&gt;"One-time")*'Affiliate Projection'!H12*Missions!$E$6:$E$26*Missions!$J$6:$J$26)+SUMPRODUCT((Missions!$F$6:$F$26="Commission Boost")*(Missions!$A$6:$A$26="Gold")*(Missions!$D$6:$D$26="One-time")*'Affiliate Projection'!H22*Missions!$E$6:$E$26*Missions!$J$6:$J$26)+SUMPRODUCT((Missions!$F$6:$F$26="Commission Boost")*(Missions!$A$6:$A$26="Gold")*(Missions!$D$6:$D$26&lt;&gt;"One-time")*'Affiliate Projection'!H13*Missions!$E$6:$E$26*Missions!$J$6:$J$26)+SUMPRODUCT((Missions!$F$6:$F$26="Commission Boost")*(Missions!$A$6:$A$26="Platinum")*(Missions!$D$6:$D$26="One-time")*'Affiliate Projection'!H23*Missions!$E$6:$E$26*Missions!$J$6:$J$26)+SUMPRODUCT((Missions!$F$6:$F$26="Commission Boost")*(Missions!$A$6:$A$26="Platinum")*(Missions!$D$6:$D$26&lt;&gt;"One-time")*'Affiliate Projection'!H14*Missions!$E$6:$E$26*Missions!$J$6:$J$26)+SUMPRODUCT((Missions!$F$6:$F$26="Commission Boost")*(Missions!$A$6:$A$26="Diamond")*(Missions!$D$6:$D$26="One-time")*'Affiliate Projection'!H24*Missions!$E$6:$E$26*Missions!$J$6:$J$26)+SUMPRODUCT((Missions!$F$6:$F$26="Commission Boost")*(Missions!$A$6:$A$26="Diamond")*(Missions!$D$6:$D$26&lt;&gt;"One-time")*'Affiliate Projection'!H15*Missions!$E$6:$E$26*Missions!$J$6:$J$26)</f>
        <v/>
      </c>
      <c r="I7" s="14">
        <f>SUMPRODUCT((Missions!$F$6:$F$26="Commission Boost")*(Missions!$A$6:$A$26="Bronze")*(Missions!$D$6:$D$26="One-time")*'Affiliate Projection'!I20*Missions!$E$6:$E$26*Missions!$J$6:$J$26)+SUMPRODUCT((Missions!$F$6:$F$26="Commission Boost")*(Missions!$A$6:$A$26="Bronze")*(Missions!$D$6:$D$26&lt;&gt;"One-time")*'Affiliate Projection'!I11*Missions!$E$6:$E$26*Missions!$J$6:$J$26)+SUMPRODUCT((Missions!$F$6:$F$26="Commission Boost")*(Missions!$A$6:$A$26="Silver")*(Missions!$D$6:$D$26="One-time")*'Affiliate Projection'!I21*Missions!$E$6:$E$26*Missions!$J$6:$J$26)+SUMPRODUCT((Missions!$F$6:$F$26="Commission Boost")*(Missions!$A$6:$A$26="Silver")*(Missions!$D$6:$D$26&lt;&gt;"One-time")*'Affiliate Projection'!I12*Missions!$E$6:$E$26*Missions!$J$6:$J$26)+SUMPRODUCT((Missions!$F$6:$F$26="Commission Boost")*(Missions!$A$6:$A$26="Gold")*(Missions!$D$6:$D$26="One-time")*'Affiliate Projection'!I22*Missions!$E$6:$E$26*Missions!$J$6:$J$26)+SUMPRODUCT((Missions!$F$6:$F$26="Commission Boost")*(Missions!$A$6:$A$26="Gold")*(Missions!$D$6:$D$26&lt;&gt;"One-time")*'Affiliate Projection'!I13*Missions!$E$6:$E$26*Missions!$J$6:$J$26)+SUMPRODUCT((Missions!$F$6:$F$26="Commission Boost")*(Missions!$A$6:$A$26="Platinum")*(Missions!$D$6:$D$26="One-time")*'Affiliate Projection'!I23*Missions!$E$6:$E$26*Missions!$J$6:$J$26)+SUMPRODUCT((Missions!$F$6:$F$26="Commission Boost")*(Missions!$A$6:$A$26="Platinum")*(Missions!$D$6:$D$26&lt;&gt;"One-time")*'Affiliate Projection'!I14*Missions!$E$6:$E$26*Missions!$J$6:$J$26)+SUMPRODUCT((Missions!$F$6:$F$26="Commission Boost")*(Missions!$A$6:$A$26="Diamond")*(Missions!$D$6:$D$26="One-time")*'Affiliate Projection'!I24*Missions!$E$6:$E$26*Missions!$J$6:$J$26)+SUMPRODUCT((Missions!$F$6:$F$26="Commission Boost")*(Missions!$A$6:$A$26="Diamond")*(Missions!$D$6:$D$26&lt;&gt;"One-time")*'Affiliate Projection'!I15*Missions!$E$6:$E$26*Missions!$J$6:$J$26)</f>
        <v/>
      </c>
      <c r="J7" s="14">
        <f>SUMPRODUCT((Missions!$F$6:$F$26="Commission Boost")*(Missions!$A$6:$A$26="Bronze")*(Missions!$D$6:$D$26="One-time")*'Affiliate Projection'!J20*Missions!$E$6:$E$26*Missions!$J$6:$J$26)+SUMPRODUCT((Missions!$F$6:$F$26="Commission Boost")*(Missions!$A$6:$A$26="Bronze")*(Missions!$D$6:$D$26&lt;&gt;"One-time")*'Affiliate Projection'!J11*Missions!$E$6:$E$26*Missions!$J$6:$J$26)+SUMPRODUCT((Missions!$F$6:$F$26="Commission Boost")*(Missions!$A$6:$A$26="Silver")*(Missions!$D$6:$D$26="One-time")*'Affiliate Projection'!J21*Missions!$E$6:$E$26*Missions!$J$6:$J$26)+SUMPRODUCT((Missions!$F$6:$F$26="Commission Boost")*(Missions!$A$6:$A$26="Silver")*(Missions!$D$6:$D$26&lt;&gt;"One-time")*'Affiliate Projection'!J12*Missions!$E$6:$E$26*Missions!$J$6:$J$26)+SUMPRODUCT((Missions!$F$6:$F$26="Commission Boost")*(Missions!$A$6:$A$26="Gold")*(Missions!$D$6:$D$26="One-time")*'Affiliate Projection'!J22*Missions!$E$6:$E$26*Missions!$J$6:$J$26)+SUMPRODUCT((Missions!$F$6:$F$26="Commission Boost")*(Missions!$A$6:$A$26="Gold")*(Missions!$D$6:$D$26&lt;&gt;"One-time")*'Affiliate Projection'!J13*Missions!$E$6:$E$26*Missions!$J$6:$J$26)+SUMPRODUCT((Missions!$F$6:$F$26="Commission Boost")*(Missions!$A$6:$A$26="Platinum")*(Missions!$D$6:$D$26="One-time")*'Affiliate Projection'!J23*Missions!$E$6:$E$26*Missions!$J$6:$J$26)+SUMPRODUCT((Missions!$F$6:$F$26="Commission Boost")*(Missions!$A$6:$A$26="Platinum")*(Missions!$D$6:$D$26&lt;&gt;"One-time")*'Affiliate Projection'!J14*Missions!$E$6:$E$26*Missions!$J$6:$J$26)+SUMPRODUCT((Missions!$F$6:$F$26="Commission Boost")*(Missions!$A$6:$A$26="Diamond")*(Missions!$D$6:$D$26="One-time")*'Affiliate Projection'!J24*Missions!$E$6:$E$26*Missions!$J$6:$J$26)+SUMPRODUCT((Missions!$F$6:$F$26="Commission Boost")*(Missions!$A$6:$A$26="Diamond")*(Missions!$D$6:$D$26&lt;&gt;"One-time")*'Affiliate Projection'!J15*Missions!$E$6:$E$26*Missions!$J$6:$J$26)</f>
        <v/>
      </c>
      <c r="K7" s="14">
        <f>SUMPRODUCT((Missions!$F$6:$F$26="Commission Boost")*(Missions!$A$6:$A$26="Bronze")*(Missions!$D$6:$D$26="One-time")*'Affiliate Projection'!K20*Missions!$E$6:$E$26*Missions!$J$6:$J$26)+SUMPRODUCT((Missions!$F$6:$F$26="Commission Boost")*(Missions!$A$6:$A$26="Bronze")*(Missions!$D$6:$D$26&lt;&gt;"One-time")*'Affiliate Projection'!K11*Missions!$E$6:$E$26*Missions!$J$6:$J$26)+SUMPRODUCT((Missions!$F$6:$F$26="Commission Boost")*(Missions!$A$6:$A$26="Silver")*(Missions!$D$6:$D$26="One-time")*'Affiliate Projection'!K21*Missions!$E$6:$E$26*Missions!$J$6:$J$26)+SUMPRODUCT((Missions!$F$6:$F$26="Commission Boost")*(Missions!$A$6:$A$26="Silver")*(Missions!$D$6:$D$26&lt;&gt;"One-time")*'Affiliate Projection'!K12*Missions!$E$6:$E$26*Missions!$J$6:$J$26)+SUMPRODUCT((Missions!$F$6:$F$26="Commission Boost")*(Missions!$A$6:$A$26="Gold")*(Missions!$D$6:$D$26="One-time")*'Affiliate Projection'!K22*Missions!$E$6:$E$26*Missions!$J$6:$J$26)+SUMPRODUCT((Missions!$F$6:$F$26="Commission Boost")*(Missions!$A$6:$A$26="Gold")*(Missions!$D$6:$D$26&lt;&gt;"One-time")*'Affiliate Projection'!K13*Missions!$E$6:$E$26*Missions!$J$6:$J$26)+SUMPRODUCT((Missions!$F$6:$F$26="Commission Boost")*(Missions!$A$6:$A$26="Platinum")*(Missions!$D$6:$D$26="One-time")*'Affiliate Projection'!K23*Missions!$E$6:$E$26*Missions!$J$6:$J$26)+SUMPRODUCT((Missions!$F$6:$F$26="Commission Boost")*(Missions!$A$6:$A$26="Platinum")*(Missions!$D$6:$D$26&lt;&gt;"One-time")*'Affiliate Projection'!K14*Missions!$E$6:$E$26*Missions!$J$6:$J$26)+SUMPRODUCT((Missions!$F$6:$F$26="Commission Boost")*(Missions!$A$6:$A$26="Diamond")*(Missions!$D$6:$D$26="One-time")*'Affiliate Projection'!K24*Missions!$E$6:$E$26*Missions!$J$6:$J$26)+SUMPRODUCT((Missions!$F$6:$F$26="Commission Boost")*(Missions!$A$6:$A$26="Diamond")*(Missions!$D$6:$D$26&lt;&gt;"One-time")*'Affiliate Projection'!K15*Missions!$E$6:$E$26*Missions!$J$6:$J$26)</f>
        <v/>
      </c>
      <c r="L7" s="14">
        <f>SUMPRODUCT((Missions!$F$6:$F$26="Commission Boost")*(Missions!$A$6:$A$26="Bronze")*(Missions!$D$6:$D$26="One-time")*'Affiliate Projection'!L20*Missions!$E$6:$E$26*Missions!$J$6:$J$26)+SUMPRODUCT((Missions!$F$6:$F$26="Commission Boost")*(Missions!$A$6:$A$26="Bronze")*(Missions!$D$6:$D$26&lt;&gt;"One-time")*'Affiliate Projection'!L11*Missions!$E$6:$E$26*Missions!$J$6:$J$26)+SUMPRODUCT((Missions!$F$6:$F$26="Commission Boost")*(Missions!$A$6:$A$26="Silver")*(Missions!$D$6:$D$26="One-time")*'Affiliate Projection'!L21*Missions!$E$6:$E$26*Missions!$J$6:$J$26)+SUMPRODUCT((Missions!$F$6:$F$26="Commission Boost")*(Missions!$A$6:$A$26="Silver")*(Missions!$D$6:$D$26&lt;&gt;"One-time")*'Affiliate Projection'!L12*Missions!$E$6:$E$26*Missions!$J$6:$J$26)+SUMPRODUCT((Missions!$F$6:$F$26="Commission Boost")*(Missions!$A$6:$A$26="Gold")*(Missions!$D$6:$D$26="One-time")*'Affiliate Projection'!L22*Missions!$E$6:$E$26*Missions!$J$6:$J$26)+SUMPRODUCT((Missions!$F$6:$F$26="Commission Boost")*(Missions!$A$6:$A$26="Gold")*(Missions!$D$6:$D$26&lt;&gt;"One-time")*'Affiliate Projection'!L13*Missions!$E$6:$E$26*Missions!$J$6:$J$26)+SUMPRODUCT((Missions!$F$6:$F$26="Commission Boost")*(Missions!$A$6:$A$26="Platinum")*(Missions!$D$6:$D$26="One-time")*'Affiliate Projection'!L23*Missions!$E$6:$E$26*Missions!$J$6:$J$26)+SUMPRODUCT((Missions!$F$6:$F$26="Commission Boost")*(Missions!$A$6:$A$26="Platinum")*(Missions!$D$6:$D$26&lt;&gt;"One-time")*'Affiliate Projection'!L14*Missions!$E$6:$E$26*Missions!$J$6:$J$26)+SUMPRODUCT((Missions!$F$6:$F$26="Commission Boost")*(Missions!$A$6:$A$26="Diamond")*(Missions!$D$6:$D$26="One-time")*'Affiliate Projection'!L24*Missions!$E$6:$E$26*Missions!$J$6:$J$26)+SUMPRODUCT((Missions!$F$6:$F$26="Commission Boost")*(Missions!$A$6:$A$26="Diamond")*(Missions!$D$6:$D$26&lt;&gt;"One-time")*'Affiliate Projection'!L15*Missions!$E$6:$E$26*Missions!$J$6:$J$26)</f>
        <v/>
      </c>
      <c r="M7" s="14">
        <f>SUMPRODUCT((Missions!$F$6:$F$26="Commission Boost")*(Missions!$A$6:$A$26="Bronze")*(Missions!$D$6:$D$26="One-time")*'Affiliate Projection'!M20*Missions!$E$6:$E$26*Missions!$J$6:$J$26)+SUMPRODUCT((Missions!$F$6:$F$26="Commission Boost")*(Missions!$A$6:$A$26="Bronze")*(Missions!$D$6:$D$26&lt;&gt;"One-time")*'Affiliate Projection'!M11*Missions!$E$6:$E$26*Missions!$J$6:$J$26)+SUMPRODUCT((Missions!$F$6:$F$26="Commission Boost")*(Missions!$A$6:$A$26="Silver")*(Missions!$D$6:$D$26="One-time")*'Affiliate Projection'!M21*Missions!$E$6:$E$26*Missions!$J$6:$J$26)+SUMPRODUCT((Missions!$F$6:$F$26="Commission Boost")*(Missions!$A$6:$A$26="Silver")*(Missions!$D$6:$D$26&lt;&gt;"One-time")*'Affiliate Projection'!M12*Missions!$E$6:$E$26*Missions!$J$6:$J$26)+SUMPRODUCT((Missions!$F$6:$F$26="Commission Boost")*(Missions!$A$6:$A$26="Gold")*(Missions!$D$6:$D$26="One-time")*'Affiliate Projection'!M22*Missions!$E$6:$E$26*Missions!$J$6:$J$26)+SUMPRODUCT((Missions!$F$6:$F$26="Commission Boost")*(Missions!$A$6:$A$26="Gold")*(Missions!$D$6:$D$26&lt;&gt;"One-time")*'Affiliate Projection'!M13*Missions!$E$6:$E$26*Missions!$J$6:$J$26)+SUMPRODUCT((Missions!$F$6:$F$26="Commission Boost")*(Missions!$A$6:$A$26="Platinum")*(Missions!$D$6:$D$26="One-time")*'Affiliate Projection'!M23*Missions!$E$6:$E$26*Missions!$J$6:$J$26)+SUMPRODUCT((Missions!$F$6:$F$26="Commission Boost")*(Missions!$A$6:$A$26="Platinum")*(Missions!$D$6:$D$26&lt;&gt;"One-time")*'Affiliate Projection'!M14*Missions!$E$6:$E$26*Missions!$J$6:$J$26)+SUMPRODUCT((Missions!$F$6:$F$26="Commission Boost")*(Missions!$A$6:$A$26="Diamond")*(Missions!$D$6:$D$26="One-time")*'Affiliate Projection'!M24*Missions!$E$6:$E$26*Missions!$J$6:$J$26)+SUMPRODUCT((Missions!$F$6:$F$26="Commission Boost")*(Missions!$A$6:$A$26="Diamond")*(Missions!$D$6:$D$26&lt;&gt;"One-time")*'Affiliate Projection'!M15*Missions!$E$6:$E$26*Missions!$J$6:$J$26)</f>
        <v/>
      </c>
    </row>
    <row r="8">
      <c r="A8" s="29" t="inlineStr">
        <is>
          <t>Discount Cost (Welcome)</t>
        </is>
      </c>
      <c r="B8" s="30">
        <f>'Affiliate Projection'!B20*'VIP Levels'!$G$14*'VIP Levels'!$E$5*('VIP Levels'!$I$14/30)*'VIP Levels'!$H$14*Inputs!$B$11*Inputs!$B$16+'Affiliate Projection'!B21*'VIP Levels'!$G$15*'VIP Levels'!$E$6*('VIP Levels'!$I$15/30)*'VIP Levels'!$H$15*Inputs!$B$11*Inputs!$B$16+'Affiliate Projection'!B22*'VIP Levels'!$G$16*'VIP Levels'!$E$7*('VIP Levels'!$I$16/30)*'VIP Levels'!$H$16*Inputs!$B$11*Inputs!$B$16+'Affiliate Projection'!B23*'VIP Levels'!$G$17*'VIP Levels'!$E$8*('VIP Levels'!$I$17/30)*'VIP Levels'!$H$17*Inputs!$B$11*Inputs!$B$16+'Affiliate Projection'!B24*'VIP Levels'!$G$18*'VIP Levels'!$E$9*('VIP Levels'!$I$18/30)*'VIP Levels'!$H$18*Inputs!$B$11*Inputs!$B$16</f>
        <v/>
      </c>
      <c r="C8" s="30">
        <f>'Affiliate Projection'!C20*'VIP Levels'!$G$14*'VIP Levels'!$E$5*('VIP Levels'!$I$14/30)*'VIP Levels'!$H$14*Inputs!$B$11*Inputs!$B$16+'Affiliate Projection'!C21*'VIP Levels'!$G$15*'VIP Levels'!$E$6*('VIP Levels'!$I$15/30)*'VIP Levels'!$H$15*Inputs!$B$11*Inputs!$B$16+'Affiliate Projection'!C22*'VIP Levels'!$G$16*'VIP Levels'!$E$7*('VIP Levels'!$I$16/30)*'VIP Levels'!$H$16*Inputs!$B$11*Inputs!$B$16+'Affiliate Projection'!C23*'VIP Levels'!$G$17*'VIP Levels'!$E$8*('VIP Levels'!$I$17/30)*'VIP Levels'!$H$17*Inputs!$B$11*Inputs!$B$16+'Affiliate Projection'!C24*'VIP Levels'!$G$18*'VIP Levels'!$E$9*('VIP Levels'!$I$18/30)*'VIP Levels'!$H$18*Inputs!$B$11*Inputs!$B$16</f>
        <v/>
      </c>
      <c r="D8" s="30">
        <f>'Affiliate Projection'!D20*'VIP Levels'!$G$14*'VIP Levels'!$E$5*('VIP Levels'!$I$14/30)*'VIP Levels'!$H$14*Inputs!$B$11*Inputs!$B$16+'Affiliate Projection'!D21*'VIP Levels'!$G$15*'VIP Levels'!$E$6*('VIP Levels'!$I$15/30)*'VIP Levels'!$H$15*Inputs!$B$11*Inputs!$B$16+'Affiliate Projection'!D22*'VIP Levels'!$G$16*'VIP Levels'!$E$7*('VIP Levels'!$I$16/30)*'VIP Levels'!$H$16*Inputs!$B$11*Inputs!$B$16+'Affiliate Projection'!D23*'VIP Levels'!$G$17*'VIP Levels'!$E$8*('VIP Levels'!$I$17/30)*'VIP Levels'!$H$17*Inputs!$B$11*Inputs!$B$16+'Affiliate Projection'!D24*'VIP Levels'!$G$18*'VIP Levels'!$E$9*('VIP Levels'!$I$18/30)*'VIP Levels'!$H$18*Inputs!$B$11*Inputs!$B$16</f>
        <v/>
      </c>
      <c r="E8" s="30">
        <f>'Affiliate Projection'!E20*'VIP Levels'!$G$14*'VIP Levels'!$E$5*('VIP Levels'!$I$14/30)*'VIP Levels'!$H$14*Inputs!$B$11*Inputs!$B$16+'Affiliate Projection'!E21*'VIP Levels'!$G$15*'VIP Levels'!$E$6*('VIP Levels'!$I$15/30)*'VIP Levels'!$H$15*Inputs!$B$11*Inputs!$B$16+'Affiliate Projection'!E22*'VIP Levels'!$G$16*'VIP Levels'!$E$7*('VIP Levels'!$I$16/30)*'VIP Levels'!$H$16*Inputs!$B$11*Inputs!$B$16+'Affiliate Projection'!E23*'VIP Levels'!$G$17*'VIP Levels'!$E$8*('VIP Levels'!$I$17/30)*'VIP Levels'!$H$17*Inputs!$B$11*Inputs!$B$16+'Affiliate Projection'!E24*'VIP Levels'!$G$18*'VIP Levels'!$E$9*('VIP Levels'!$I$18/30)*'VIP Levels'!$H$18*Inputs!$B$11*Inputs!$B$16</f>
        <v/>
      </c>
      <c r="F8" s="30">
        <f>'Affiliate Projection'!F20*'VIP Levels'!$G$14*'VIP Levels'!$E$5*('VIP Levels'!$I$14/30)*'VIP Levels'!$H$14*Inputs!$B$11*Inputs!$B$16+'Affiliate Projection'!F21*'VIP Levels'!$G$15*'VIP Levels'!$E$6*('VIP Levels'!$I$15/30)*'VIP Levels'!$H$15*Inputs!$B$11*Inputs!$B$16+'Affiliate Projection'!F22*'VIP Levels'!$G$16*'VIP Levels'!$E$7*('VIP Levels'!$I$16/30)*'VIP Levels'!$H$16*Inputs!$B$11*Inputs!$B$16+'Affiliate Projection'!F23*'VIP Levels'!$G$17*'VIP Levels'!$E$8*('VIP Levels'!$I$17/30)*'VIP Levels'!$H$17*Inputs!$B$11*Inputs!$B$16+'Affiliate Projection'!F24*'VIP Levels'!$G$18*'VIP Levels'!$E$9*('VIP Levels'!$I$18/30)*'VIP Levels'!$H$18*Inputs!$B$11*Inputs!$B$16</f>
        <v/>
      </c>
      <c r="G8" s="30">
        <f>'Affiliate Projection'!G20*'VIP Levels'!$G$14*'VIP Levels'!$E$5*('VIP Levels'!$I$14/30)*'VIP Levels'!$H$14*Inputs!$B$11*Inputs!$B$16+'Affiliate Projection'!G21*'VIP Levels'!$G$15*'VIP Levels'!$E$6*('VIP Levels'!$I$15/30)*'VIP Levels'!$H$15*Inputs!$B$11*Inputs!$B$16+'Affiliate Projection'!G22*'VIP Levels'!$G$16*'VIP Levels'!$E$7*('VIP Levels'!$I$16/30)*'VIP Levels'!$H$16*Inputs!$B$11*Inputs!$B$16+'Affiliate Projection'!G23*'VIP Levels'!$G$17*'VIP Levels'!$E$8*('VIP Levels'!$I$17/30)*'VIP Levels'!$H$17*Inputs!$B$11*Inputs!$B$16+'Affiliate Projection'!G24*'VIP Levels'!$G$18*'VIP Levels'!$E$9*('VIP Levels'!$I$18/30)*'VIP Levels'!$H$18*Inputs!$B$11*Inputs!$B$16</f>
        <v/>
      </c>
      <c r="H8" s="30">
        <f>'Affiliate Projection'!H20*'VIP Levels'!$G$14*'VIP Levels'!$E$5*('VIP Levels'!$I$14/30)*'VIP Levels'!$H$14*Inputs!$B$11*Inputs!$B$16+'Affiliate Projection'!H21*'VIP Levels'!$G$15*'VIP Levels'!$E$6*('VIP Levels'!$I$15/30)*'VIP Levels'!$H$15*Inputs!$B$11*Inputs!$B$16+'Affiliate Projection'!H22*'VIP Levels'!$G$16*'VIP Levels'!$E$7*('VIP Levels'!$I$16/30)*'VIP Levels'!$H$16*Inputs!$B$11*Inputs!$B$16+'Affiliate Projection'!H23*'VIP Levels'!$G$17*'VIP Levels'!$E$8*('VIP Levels'!$I$17/30)*'VIP Levels'!$H$17*Inputs!$B$11*Inputs!$B$16+'Affiliate Projection'!H24*'VIP Levels'!$G$18*'VIP Levels'!$E$9*('VIP Levels'!$I$18/30)*'VIP Levels'!$H$18*Inputs!$B$11*Inputs!$B$16</f>
        <v/>
      </c>
      <c r="I8" s="30">
        <f>'Affiliate Projection'!I20*'VIP Levels'!$G$14*'VIP Levels'!$E$5*('VIP Levels'!$I$14/30)*'VIP Levels'!$H$14*Inputs!$B$11*Inputs!$B$16+'Affiliate Projection'!I21*'VIP Levels'!$G$15*'VIP Levels'!$E$6*('VIP Levels'!$I$15/30)*'VIP Levels'!$H$15*Inputs!$B$11*Inputs!$B$16+'Affiliate Projection'!I22*'VIP Levels'!$G$16*'VIP Levels'!$E$7*('VIP Levels'!$I$16/30)*'VIP Levels'!$H$16*Inputs!$B$11*Inputs!$B$16+'Affiliate Projection'!I23*'VIP Levels'!$G$17*'VIP Levels'!$E$8*('VIP Levels'!$I$17/30)*'VIP Levels'!$H$17*Inputs!$B$11*Inputs!$B$16+'Affiliate Projection'!I24*'VIP Levels'!$G$18*'VIP Levels'!$E$9*('VIP Levels'!$I$18/30)*'VIP Levels'!$H$18*Inputs!$B$11*Inputs!$B$16</f>
        <v/>
      </c>
      <c r="J8" s="30">
        <f>'Affiliate Projection'!J20*'VIP Levels'!$G$14*'VIP Levels'!$E$5*('VIP Levels'!$I$14/30)*'VIP Levels'!$H$14*Inputs!$B$11*Inputs!$B$16+'Affiliate Projection'!J21*'VIP Levels'!$G$15*'VIP Levels'!$E$6*('VIP Levels'!$I$15/30)*'VIP Levels'!$H$15*Inputs!$B$11*Inputs!$B$16+'Affiliate Projection'!J22*'VIP Levels'!$G$16*'VIP Levels'!$E$7*('VIP Levels'!$I$16/30)*'VIP Levels'!$H$16*Inputs!$B$11*Inputs!$B$16+'Affiliate Projection'!J23*'VIP Levels'!$G$17*'VIP Levels'!$E$8*('VIP Levels'!$I$17/30)*'VIP Levels'!$H$17*Inputs!$B$11*Inputs!$B$16+'Affiliate Projection'!J24*'VIP Levels'!$G$18*'VIP Levels'!$E$9*('VIP Levels'!$I$18/30)*'VIP Levels'!$H$18*Inputs!$B$11*Inputs!$B$16</f>
        <v/>
      </c>
      <c r="K8" s="30">
        <f>'Affiliate Projection'!K20*'VIP Levels'!$G$14*'VIP Levels'!$E$5*('VIP Levels'!$I$14/30)*'VIP Levels'!$H$14*Inputs!$B$11*Inputs!$B$16+'Affiliate Projection'!K21*'VIP Levels'!$G$15*'VIP Levels'!$E$6*('VIP Levels'!$I$15/30)*'VIP Levels'!$H$15*Inputs!$B$11*Inputs!$B$16+'Affiliate Projection'!K22*'VIP Levels'!$G$16*'VIP Levels'!$E$7*('VIP Levels'!$I$16/30)*'VIP Levels'!$H$16*Inputs!$B$11*Inputs!$B$16+'Affiliate Projection'!K23*'VIP Levels'!$G$17*'VIP Levels'!$E$8*('VIP Levels'!$I$17/30)*'VIP Levels'!$H$17*Inputs!$B$11*Inputs!$B$16+'Affiliate Projection'!K24*'VIP Levels'!$G$18*'VIP Levels'!$E$9*('VIP Levels'!$I$18/30)*'VIP Levels'!$H$18*Inputs!$B$11*Inputs!$B$16</f>
        <v/>
      </c>
      <c r="L8" s="30">
        <f>'Affiliate Projection'!L20*'VIP Levels'!$G$14*'VIP Levels'!$E$5*('VIP Levels'!$I$14/30)*'VIP Levels'!$H$14*Inputs!$B$11*Inputs!$B$16+'Affiliate Projection'!L21*'VIP Levels'!$G$15*'VIP Levels'!$E$6*('VIP Levels'!$I$15/30)*'VIP Levels'!$H$15*Inputs!$B$11*Inputs!$B$16+'Affiliate Projection'!L22*'VIP Levels'!$G$16*'VIP Levels'!$E$7*('VIP Levels'!$I$16/30)*'VIP Levels'!$H$16*Inputs!$B$11*Inputs!$B$16+'Affiliate Projection'!L23*'VIP Levels'!$G$17*'VIP Levels'!$E$8*('VIP Levels'!$I$17/30)*'VIP Levels'!$H$17*Inputs!$B$11*Inputs!$B$16+'Affiliate Projection'!L24*'VIP Levels'!$G$18*'VIP Levels'!$E$9*('VIP Levels'!$I$18/30)*'VIP Levels'!$H$18*Inputs!$B$11*Inputs!$B$16</f>
        <v/>
      </c>
      <c r="M8" s="30">
        <f>'Affiliate Projection'!M20*'VIP Levels'!$G$14*'VIP Levels'!$E$5*('VIP Levels'!$I$14/30)*'VIP Levels'!$H$14*Inputs!$B$11*Inputs!$B$16+'Affiliate Projection'!M21*'VIP Levels'!$G$15*'VIP Levels'!$E$6*('VIP Levels'!$I$15/30)*'VIP Levels'!$H$15*Inputs!$B$11*Inputs!$B$16+'Affiliate Projection'!M22*'VIP Levels'!$G$16*'VIP Levels'!$E$7*('VIP Levels'!$I$16/30)*'VIP Levels'!$H$16*Inputs!$B$11*Inputs!$B$16+'Affiliate Projection'!M23*'VIP Levels'!$G$17*'VIP Levels'!$E$8*('VIP Levels'!$I$17/30)*'VIP Levels'!$H$17*Inputs!$B$11*Inputs!$B$16+'Affiliate Projection'!M24*'VIP Levels'!$G$18*'VIP Levels'!$E$9*('VIP Levels'!$I$18/30)*'VIP Levels'!$H$18*Inputs!$B$11*Inputs!$B$16</f>
        <v/>
      </c>
    </row>
    <row r="9">
      <c r="A9" s="19" t="inlineStr">
        <is>
          <t>Discount Cost (Missions)</t>
        </is>
      </c>
      <c r="B9" s="14">
        <f>SUMPRODUCT((Missions!$F$6:$F$26="Discount")*(Missions!$A$6:$A$26="Bronze")*(Missions!$D$6:$D$26="One-time")*'Affiliate Projection'!B20*Missions!$E$6:$E$26*Missions!$J$6:$J$26)+SUMPRODUCT((Missions!$F$6:$F$26="Discount")*(Missions!$A$6:$A$26="Bronze")*(Missions!$D$6:$D$26&lt;&gt;"One-time")*'Affiliate Projection'!B11*Missions!$E$6:$E$26*Missions!$J$6:$J$26)+SUMPRODUCT((Missions!$F$6:$F$26="Discount")*(Missions!$A$6:$A$26="Silver")*(Missions!$D$6:$D$26="One-time")*'Affiliate Projection'!B21*Missions!$E$6:$E$26*Missions!$J$6:$J$26)+SUMPRODUCT((Missions!$F$6:$F$26="Discount")*(Missions!$A$6:$A$26="Silver")*(Missions!$D$6:$D$26&lt;&gt;"One-time")*'Affiliate Projection'!B12*Missions!$E$6:$E$26*Missions!$J$6:$J$26)+SUMPRODUCT((Missions!$F$6:$F$26="Discount")*(Missions!$A$6:$A$26="Gold")*(Missions!$D$6:$D$26="One-time")*'Affiliate Projection'!B22*Missions!$E$6:$E$26*Missions!$J$6:$J$26)+SUMPRODUCT((Missions!$F$6:$F$26="Discount")*(Missions!$A$6:$A$26="Gold")*(Missions!$D$6:$D$26&lt;&gt;"One-time")*'Affiliate Projection'!B13*Missions!$E$6:$E$26*Missions!$J$6:$J$26)+SUMPRODUCT((Missions!$F$6:$F$26="Discount")*(Missions!$A$6:$A$26="Platinum")*(Missions!$D$6:$D$26="One-time")*'Affiliate Projection'!B23*Missions!$E$6:$E$26*Missions!$J$6:$J$26)+SUMPRODUCT((Missions!$F$6:$F$26="Discount")*(Missions!$A$6:$A$26="Platinum")*(Missions!$D$6:$D$26&lt;&gt;"One-time")*'Affiliate Projection'!B14*Missions!$E$6:$E$26*Missions!$J$6:$J$26)+SUMPRODUCT((Missions!$F$6:$F$26="Discount")*(Missions!$A$6:$A$26="Diamond")*(Missions!$D$6:$D$26="One-time")*'Affiliate Projection'!B24*Missions!$E$6:$E$26*Missions!$J$6:$J$26)+SUMPRODUCT((Missions!$F$6:$F$26="Discount")*(Missions!$A$6:$A$26="Diamond")*(Missions!$D$6:$D$26&lt;&gt;"One-time")*'Affiliate Projection'!B15*Missions!$E$6:$E$26*Missions!$J$6:$J$26)</f>
        <v/>
      </c>
      <c r="C9" s="14">
        <f>SUMPRODUCT((Missions!$F$6:$F$26="Discount")*(Missions!$A$6:$A$26="Bronze")*(Missions!$D$6:$D$26="One-time")*'Affiliate Projection'!C20*Missions!$E$6:$E$26*Missions!$J$6:$J$26)+SUMPRODUCT((Missions!$F$6:$F$26="Discount")*(Missions!$A$6:$A$26="Bronze")*(Missions!$D$6:$D$26&lt;&gt;"One-time")*'Affiliate Projection'!C11*Missions!$E$6:$E$26*Missions!$J$6:$J$26)+SUMPRODUCT((Missions!$F$6:$F$26="Discount")*(Missions!$A$6:$A$26="Silver")*(Missions!$D$6:$D$26="One-time")*'Affiliate Projection'!C21*Missions!$E$6:$E$26*Missions!$J$6:$J$26)+SUMPRODUCT((Missions!$F$6:$F$26="Discount")*(Missions!$A$6:$A$26="Silver")*(Missions!$D$6:$D$26&lt;&gt;"One-time")*'Affiliate Projection'!C12*Missions!$E$6:$E$26*Missions!$J$6:$J$26)+SUMPRODUCT((Missions!$F$6:$F$26="Discount")*(Missions!$A$6:$A$26="Gold")*(Missions!$D$6:$D$26="One-time")*'Affiliate Projection'!C22*Missions!$E$6:$E$26*Missions!$J$6:$J$26)+SUMPRODUCT((Missions!$F$6:$F$26="Discount")*(Missions!$A$6:$A$26="Gold")*(Missions!$D$6:$D$26&lt;&gt;"One-time")*'Affiliate Projection'!C13*Missions!$E$6:$E$26*Missions!$J$6:$J$26)+SUMPRODUCT((Missions!$F$6:$F$26="Discount")*(Missions!$A$6:$A$26="Platinum")*(Missions!$D$6:$D$26="One-time")*'Affiliate Projection'!C23*Missions!$E$6:$E$26*Missions!$J$6:$J$26)+SUMPRODUCT((Missions!$F$6:$F$26="Discount")*(Missions!$A$6:$A$26="Platinum")*(Missions!$D$6:$D$26&lt;&gt;"One-time")*'Affiliate Projection'!C14*Missions!$E$6:$E$26*Missions!$J$6:$J$26)+SUMPRODUCT((Missions!$F$6:$F$26="Discount")*(Missions!$A$6:$A$26="Diamond")*(Missions!$D$6:$D$26="One-time")*'Affiliate Projection'!C24*Missions!$E$6:$E$26*Missions!$J$6:$J$26)+SUMPRODUCT((Missions!$F$6:$F$26="Discount")*(Missions!$A$6:$A$26="Diamond")*(Missions!$D$6:$D$26&lt;&gt;"One-time")*'Affiliate Projection'!C15*Missions!$E$6:$E$26*Missions!$J$6:$J$26)</f>
        <v/>
      </c>
      <c r="D9" s="14">
        <f>SUMPRODUCT((Missions!$F$6:$F$26="Discount")*(Missions!$A$6:$A$26="Bronze")*(Missions!$D$6:$D$26="One-time")*'Affiliate Projection'!D20*Missions!$E$6:$E$26*Missions!$J$6:$J$26)+SUMPRODUCT((Missions!$F$6:$F$26="Discount")*(Missions!$A$6:$A$26="Bronze")*(Missions!$D$6:$D$26&lt;&gt;"One-time")*'Affiliate Projection'!D11*Missions!$E$6:$E$26*Missions!$J$6:$J$26)+SUMPRODUCT((Missions!$F$6:$F$26="Discount")*(Missions!$A$6:$A$26="Silver")*(Missions!$D$6:$D$26="One-time")*'Affiliate Projection'!D21*Missions!$E$6:$E$26*Missions!$J$6:$J$26)+SUMPRODUCT((Missions!$F$6:$F$26="Discount")*(Missions!$A$6:$A$26="Silver")*(Missions!$D$6:$D$26&lt;&gt;"One-time")*'Affiliate Projection'!D12*Missions!$E$6:$E$26*Missions!$J$6:$J$26)+SUMPRODUCT((Missions!$F$6:$F$26="Discount")*(Missions!$A$6:$A$26="Gold")*(Missions!$D$6:$D$26="One-time")*'Affiliate Projection'!D22*Missions!$E$6:$E$26*Missions!$J$6:$J$26)+SUMPRODUCT((Missions!$F$6:$F$26="Discount")*(Missions!$A$6:$A$26="Gold")*(Missions!$D$6:$D$26&lt;&gt;"One-time")*'Affiliate Projection'!D13*Missions!$E$6:$E$26*Missions!$J$6:$J$26)+SUMPRODUCT((Missions!$F$6:$F$26="Discount")*(Missions!$A$6:$A$26="Platinum")*(Missions!$D$6:$D$26="One-time")*'Affiliate Projection'!D23*Missions!$E$6:$E$26*Missions!$J$6:$J$26)+SUMPRODUCT((Missions!$F$6:$F$26="Discount")*(Missions!$A$6:$A$26="Platinum")*(Missions!$D$6:$D$26&lt;&gt;"One-time")*'Affiliate Projection'!D14*Missions!$E$6:$E$26*Missions!$J$6:$J$26)+SUMPRODUCT((Missions!$F$6:$F$26="Discount")*(Missions!$A$6:$A$26="Diamond")*(Missions!$D$6:$D$26="One-time")*'Affiliate Projection'!D24*Missions!$E$6:$E$26*Missions!$J$6:$J$26)+SUMPRODUCT((Missions!$F$6:$F$26="Discount")*(Missions!$A$6:$A$26="Diamond")*(Missions!$D$6:$D$26&lt;&gt;"One-time")*'Affiliate Projection'!D15*Missions!$E$6:$E$26*Missions!$J$6:$J$26)</f>
        <v/>
      </c>
      <c r="E9" s="14">
        <f>SUMPRODUCT((Missions!$F$6:$F$26="Discount")*(Missions!$A$6:$A$26="Bronze")*(Missions!$D$6:$D$26="One-time")*'Affiliate Projection'!E20*Missions!$E$6:$E$26*Missions!$J$6:$J$26)+SUMPRODUCT((Missions!$F$6:$F$26="Discount")*(Missions!$A$6:$A$26="Bronze")*(Missions!$D$6:$D$26&lt;&gt;"One-time")*'Affiliate Projection'!E11*Missions!$E$6:$E$26*Missions!$J$6:$J$26)+SUMPRODUCT((Missions!$F$6:$F$26="Discount")*(Missions!$A$6:$A$26="Silver")*(Missions!$D$6:$D$26="One-time")*'Affiliate Projection'!E21*Missions!$E$6:$E$26*Missions!$J$6:$J$26)+SUMPRODUCT((Missions!$F$6:$F$26="Discount")*(Missions!$A$6:$A$26="Silver")*(Missions!$D$6:$D$26&lt;&gt;"One-time")*'Affiliate Projection'!E12*Missions!$E$6:$E$26*Missions!$J$6:$J$26)+SUMPRODUCT((Missions!$F$6:$F$26="Discount")*(Missions!$A$6:$A$26="Gold")*(Missions!$D$6:$D$26="One-time")*'Affiliate Projection'!E22*Missions!$E$6:$E$26*Missions!$J$6:$J$26)+SUMPRODUCT((Missions!$F$6:$F$26="Discount")*(Missions!$A$6:$A$26="Gold")*(Missions!$D$6:$D$26&lt;&gt;"One-time")*'Affiliate Projection'!E13*Missions!$E$6:$E$26*Missions!$J$6:$J$26)+SUMPRODUCT((Missions!$F$6:$F$26="Discount")*(Missions!$A$6:$A$26="Platinum")*(Missions!$D$6:$D$26="One-time")*'Affiliate Projection'!E23*Missions!$E$6:$E$26*Missions!$J$6:$J$26)+SUMPRODUCT((Missions!$F$6:$F$26="Discount")*(Missions!$A$6:$A$26="Platinum")*(Missions!$D$6:$D$26&lt;&gt;"One-time")*'Affiliate Projection'!E14*Missions!$E$6:$E$26*Missions!$J$6:$J$26)+SUMPRODUCT((Missions!$F$6:$F$26="Discount")*(Missions!$A$6:$A$26="Diamond")*(Missions!$D$6:$D$26="One-time")*'Affiliate Projection'!E24*Missions!$E$6:$E$26*Missions!$J$6:$J$26)+SUMPRODUCT((Missions!$F$6:$F$26="Discount")*(Missions!$A$6:$A$26="Diamond")*(Missions!$D$6:$D$26&lt;&gt;"One-time")*'Affiliate Projection'!E15*Missions!$E$6:$E$26*Missions!$J$6:$J$26)</f>
        <v/>
      </c>
      <c r="F9" s="14">
        <f>SUMPRODUCT((Missions!$F$6:$F$26="Discount")*(Missions!$A$6:$A$26="Bronze")*(Missions!$D$6:$D$26="One-time")*'Affiliate Projection'!F20*Missions!$E$6:$E$26*Missions!$J$6:$J$26)+SUMPRODUCT((Missions!$F$6:$F$26="Discount")*(Missions!$A$6:$A$26="Bronze")*(Missions!$D$6:$D$26&lt;&gt;"One-time")*'Affiliate Projection'!F11*Missions!$E$6:$E$26*Missions!$J$6:$J$26)+SUMPRODUCT((Missions!$F$6:$F$26="Discount")*(Missions!$A$6:$A$26="Silver")*(Missions!$D$6:$D$26="One-time")*'Affiliate Projection'!F21*Missions!$E$6:$E$26*Missions!$J$6:$J$26)+SUMPRODUCT((Missions!$F$6:$F$26="Discount")*(Missions!$A$6:$A$26="Silver")*(Missions!$D$6:$D$26&lt;&gt;"One-time")*'Affiliate Projection'!F12*Missions!$E$6:$E$26*Missions!$J$6:$J$26)+SUMPRODUCT((Missions!$F$6:$F$26="Discount")*(Missions!$A$6:$A$26="Gold")*(Missions!$D$6:$D$26="One-time")*'Affiliate Projection'!F22*Missions!$E$6:$E$26*Missions!$J$6:$J$26)+SUMPRODUCT((Missions!$F$6:$F$26="Discount")*(Missions!$A$6:$A$26="Gold")*(Missions!$D$6:$D$26&lt;&gt;"One-time")*'Affiliate Projection'!F13*Missions!$E$6:$E$26*Missions!$J$6:$J$26)+SUMPRODUCT((Missions!$F$6:$F$26="Discount")*(Missions!$A$6:$A$26="Platinum")*(Missions!$D$6:$D$26="One-time")*'Affiliate Projection'!F23*Missions!$E$6:$E$26*Missions!$J$6:$J$26)+SUMPRODUCT((Missions!$F$6:$F$26="Discount")*(Missions!$A$6:$A$26="Platinum")*(Missions!$D$6:$D$26&lt;&gt;"One-time")*'Affiliate Projection'!F14*Missions!$E$6:$E$26*Missions!$J$6:$J$26)+SUMPRODUCT((Missions!$F$6:$F$26="Discount")*(Missions!$A$6:$A$26="Diamond")*(Missions!$D$6:$D$26="One-time")*'Affiliate Projection'!F24*Missions!$E$6:$E$26*Missions!$J$6:$J$26)+SUMPRODUCT((Missions!$F$6:$F$26="Discount")*(Missions!$A$6:$A$26="Diamond")*(Missions!$D$6:$D$26&lt;&gt;"One-time")*'Affiliate Projection'!F15*Missions!$E$6:$E$26*Missions!$J$6:$J$26)</f>
        <v/>
      </c>
      <c r="G9" s="14">
        <f>SUMPRODUCT((Missions!$F$6:$F$26="Discount")*(Missions!$A$6:$A$26="Bronze")*(Missions!$D$6:$D$26="One-time")*'Affiliate Projection'!G20*Missions!$E$6:$E$26*Missions!$J$6:$J$26)+SUMPRODUCT((Missions!$F$6:$F$26="Discount")*(Missions!$A$6:$A$26="Bronze")*(Missions!$D$6:$D$26&lt;&gt;"One-time")*'Affiliate Projection'!G11*Missions!$E$6:$E$26*Missions!$J$6:$J$26)+SUMPRODUCT((Missions!$F$6:$F$26="Discount")*(Missions!$A$6:$A$26="Silver")*(Missions!$D$6:$D$26="One-time")*'Affiliate Projection'!G21*Missions!$E$6:$E$26*Missions!$J$6:$J$26)+SUMPRODUCT((Missions!$F$6:$F$26="Discount")*(Missions!$A$6:$A$26="Silver")*(Missions!$D$6:$D$26&lt;&gt;"One-time")*'Affiliate Projection'!G12*Missions!$E$6:$E$26*Missions!$J$6:$J$26)+SUMPRODUCT((Missions!$F$6:$F$26="Discount")*(Missions!$A$6:$A$26="Gold")*(Missions!$D$6:$D$26="One-time")*'Affiliate Projection'!G22*Missions!$E$6:$E$26*Missions!$J$6:$J$26)+SUMPRODUCT((Missions!$F$6:$F$26="Discount")*(Missions!$A$6:$A$26="Gold")*(Missions!$D$6:$D$26&lt;&gt;"One-time")*'Affiliate Projection'!G13*Missions!$E$6:$E$26*Missions!$J$6:$J$26)+SUMPRODUCT((Missions!$F$6:$F$26="Discount")*(Missions!$A$6:$A$26="Platinum")*(Missions!$D$6:$D$26="One-time")*'Affiliate Projection'!G23*Missions!$E$6:$E$26*Missions!$J$6:$J$26)+SUMPRODUCT((Missions!$F$6:$F$26="Discount")*(Missions!$A$6:$A$26="Platinum")*(Missions!$D$6:$D$26&lt;&gt;"One-time")*'Affiliate Projection'!G14*Missions!$E$6:$E$26*Missions!$J$6:$J$26)+SUMPRODUCT((Missions!$F$6:$F$26="Discount")*(Missions!$A$6:$A$26="Diamond")*(Missions!$D$6:$D$26="One-time")*'Affiliate Projection'!G24*Missions!$E$6:$E$26*Missions!$J$6:$J$26)+SUMPRODUCT((Missions!$F$6:$F$26="Discount")*(Missions!$A$6:$A$26="Diamond")*(Missions!$D$6:$D$26&lt;&gt;"One-time")*'Affiliate Projection'!G15*Missions!$E$6:$E$26*Missions!$J$6:$J$26)</f>
        <v/>
      </c>
      <c r="H9" s="14">
        <f>SUMPRODUCT((Missions!$F$6:$F$26="Discount")*(Missions!$A$6:$A$26="Bronze")*(Missions!$D$6:$D$26="One-time")*'Affiliate Projection'!H20*Missions!$E$6:$E$26*Missions!$J$6:$J$26)+SUMPRODUCT((Missions!$F$6:$F$26="Discount")*(Missions!$A$6:$A$26="Bronze")*(Missions!$D$6:$D$26&lt;&gt;"One-time")*'Affiliate Projection'!H11*Missions!$E$6:$E$26*Missions!$J$6:$J$26)+SUMPRODUCT((Missions!$F$6:$F$26="Discount")*(Missions!$A$6:$A$26="Silver")*(Missions!$D$6:$D$26="One-time")*'Affiliate Projection'!H21*Missions!$E$6:$E$26*Missions!$J$6:$J$26)+SUMPRODUCT((Missions!$F$6:$F$26="Discount")*(Missions!$A$6:$A$26="Silver")*(Missions!$D$6:$D$26&lt;&gt;"One-time")*'Affiliate Projection'!H12*Missions!$E$6:$E$26*Missions!$J$6:$J$26)+SUMPRODUCT((Missions!$F$6:$F$26="Discount")*(Missions!$A$6:$A$26="Gold")*(Missions!$D$6:$D$26="One-time")*'Affiliate Projection'!H22*Missions!$E$6:$E$26*Missions!$J$6:$J$26)+SUMPRODUCT((Missions!$F$6:$F$26="Discount")*(Missions!$A$6:$A$26="Gold")*(Missions!$D$6:$D$26&lt;&gt;"One-time")*'Affiliate Projection'!H13*Missions!$E$6:$E$26*Missions!$J$6:$J$26)+SUMPRODUCT((Missions!$F$6:$F$26="Discount")*(Missions!$A$6:$A$26="Platinum")*(Missions!$D$6:$D$26="One-time")*'Affiliate Projection'!H23*Missions!$E$6:$E$26*Missions!$J$6:$J$26)+SUMPRODUCT((Missions!$F$6:$F$26="Discount")*(Missions!$A$6:$A$26="Platinum")*(Missions!$D$6:$D$26&lt;&gt;"One-time")*'Affiliate Projection'!H14*Missions!$E$6:$E$26*Missions!$J$6:$J$26)+SUMPRODUCT((Missions!$F$6:$F$26="Discount")*(Missions!$A$6:$A$26="Diamond")*(Missions!$D$6:$D$26="One-time")*'Affiliate Projection'!H24*Missions!$E$6:$E$26*Missions!$J$6:$J$26)+SUMPRODUCT((Missions!$F$6:$F$26="Discount")*(Missions!$A$6:$A$26="Diamond")*(Missions!$D$6:$D$26&lt;&gt;"One-time")*'Affiliate Projection'!H15*Missions!$E$6:$E$26*Missions!$J$6:$J$26)</f>
        <v/>
      </c>
      <c r="I9" s="14">
        <f>SUMPRODUCT((Missions!$F$6:$F$26="Discount")*(Missions!$A$6:$A$26="Bronze")*(Missions!$D$6:$D$26="One-time")*'Affiliate Projection'!I20*Missions!$E$6:$E$26*Missions!$J$6:$J$26)+SUMPRODUCT((Missions!$F$6:$F$26="Discount")*(Missions!$A$6:$A$26="Bronze")*(Missions!$D$6:$D$26&lt;&gt;"One-time")*'Affiliate Projection'!I11*Missions!$E$6:$E$26*Missions!$J$6:$J$26)+SUMPRODUCT((Missions!$F$6:$F$26="Discount")*(Missions!$A$6:$A$26="Silver")*(Missions!$D$6:$D$26="One-time")*'Affiliate Projection'!I21*Missions!$E$6:$E$26*Missions!$J$6:$J$26)+SUMPRODUCT((Missions!$F$6:$F$26="Discount")*(Missions!$A$6:$A$26="Silver")*(Missions!$D$6:$D$26&lt;&gt;"One-time")*'Affiliate Projection'!I12*Missions!$E$6:$E$26*Missions!$J$6:$J$26)+SUMPRODUCT((Missions!$F$6:$F$26="Discount")*(Missions!$A$6:$A$26="Gold")*(Missions!$D$6:$D$26="One-time")*'Affiliate Projection'!I22*Missions!$E$6:$E$26*Missions!$J$6:$J$26)+SUMPRODUCT((Missions!$F$6:$F$26="Discount")*(Missions!$A$6:$A$26="Gold")*(Missions!$D$6:$D$26&lt;&gt;"One-time")*'Affiliate Projection'!I13*Missions!$E$6:$E$26*Missions!$J$6:$J$26)+SUMPRODUCT((Missions!$F$6:$F$26="Discount")*(Missions!$A$6:$A$26="Platinum")*(Missions!$D$6:$D$26="One-time")*'Affiliate Projection'!I23*Missions!$E$6:$E$26*Missions!$J$6:$J$26)+SUMPRODUCT((Missions!$F$6:$F$26="Discount")*(Missions!$A$6:$A$26="Platinum")*(Missions!$D$6:$D$26&lt;&gt;"One-time")*'Affiliate Projection'!I14*Missions!$E$6:$E$26*Missions!$J$6:$J$26)+SUMPRODUCT((Missions!$F$6:$F$26="Discount")*(Missions!$A$6:$A$26="Diamond")*(Missions!$D$6:$D$26="One-time")*'Affiliate Projection'!I24*Missions!$E$6:$E$26*Missions!$J$6:$J$26)+SUMPRODUCT((Missions!$F$6:$F$26="Discount")*(Missions!$A$6:$A$26="Diamond")*(Missions!$D$6:$D$26&lt;&gt;"One-time")*'Affiliate Projection'!I15*Missions!$E$6:$E$26*Missions!$J$6:$J$26)</f>
        <v/>
      </c>
      <c r="J9" s="14">
        <f>SUMPRODUCT((Missions!$F$6:$F$26="Discount")*(Missions!$A$6:$A$26="Bronze")*(Missions!$D$6:$D$26="One-time")*'Affiliate Projection'!J20*Missions!$E$6:$E$26*Missions!$J$6:$J$26)+SUMPRODUCT((Missions!$F$6:$F$26="Discount")*(Missions!$A$6:$A$26="Bronze")*(Missions!$D$6:$D$26&lt;&gt;"One-time")*'Affiliate Projection'!J11*Missions!$E$6:$E$26*Missions!$J$6:$J$26)+SUMPRODUCT((Missions!$F$6:$F$26="Discount")*(Missions!$A$6:$A$26="Silver")*(Missions!$D$6:$D$26="One-time")*'Affiliate Projection'!J21*Missions!$E$6:$E$26*Missions!$J$6:$J$26)+SUMPRODUCT((Missions!$F$6:$F$26="Discount")*(Missions!$A$6:$A$26="Silver")*(Missions!$D$6:$D$26&lt;&gt;"One-time")*'Affiliate Projection'!J12*Missions!$E$6:$E$26*Missions!$J$6:$J$26)+SUMPRODUCT((Missions!$F$6:$F$26="Discount")*(Missions!$A$6:$A$26="Gold")*(Missions!$D$6:$D$26="One-time")*'Affiliate Projection'!J22*Missions!$E$6:$E$26*Missions!$J$6:$J$26)+SUMPRODUCT((Missions!$F$6:$F$26="Discount")*(Missions!$A$6:$A$26="Gold")*(Missions!$D$6:$D$26&lt;&gt;"One-time")*'Affiliate Projection'!J13*Missions!$E$6:$E$26*Missions!$J$6:$J$26)+SUMPRODUCT((Missions!$F$6:$F$26="Discount")*(Missions!$A$6:$A$26="Platinum")*(Missions!$D$6:$D$26="One-time")*'Affiliate Projection'!J23*Missions!$E$6:$E$26*Missions!$J$6:$J$26)+SUMPRODUCT((Missions!$F$6:$F$26="Discount")*(Missions!$A$6:$A$26="Platinum")*(Missions!$D$6:$D$26&lt;&gt;"One-time")*'Affiliate Projection'!J14*Missions!$E$6:$E$26*Missions!$J$6:$J$26)+SUMPRODUCT((Missions!$F$6:$F$26="Discount")*(Missions!$A$6:$A$26="Diamond")*(Missions!$D$6:$D$26="One-time")*'Affiliate Projection'!J24*Missions!$E$6:$E$26*Missions!$J$6:$J$26)+SUMPRODUCT((Missions!$F$6:$F$26="Discount")*(Missions!$A$6:$A$26="Diamond")*(Missions!$D$6:$D$26&lt;&gt;"One-time")*'Affiliate Projection'!J15*Missions!$E$6:$E$26*Missions!$J$6:$J$26)</f>
        <v/>
      </c>
      <c r="K9" s="14">
        <f>SUMPRODUCT((Missions!$F$6:$F$26="Discount")*(Missions!$A$6:$A$26="Bronze")*(Missions!$D$6:$D$26="One-time")*'Affiliate Projection'!K20*Missions!$E$6:$E$26*Missions!$J$6:$J$26)+SUMPRODUCT((Missions!$F$6:$F$26="Discount")*(Missions!$A$6:$A$26="Bronze")*(Missions!$D$6:$D$26&lt;&gt;"One-time")*'Affiliate Projection'!K11*Missions!$E$6:$E$26*Missions!$J$6:$J$26)+SUMPRODUCT((Missions!$F$6:$F$26="Discount")*(Missions!$A$6:$A$26="Silver")*(Missions!$D$6:$D$26="One-time")*'Affiliate Projection'!K21*Missions!$E$6:$E$26*Missions!$J$6:$J$26)+SUMPRODUCT((Missions!$F$6:$F$26="Discount")*(Missions!$A$6:$A$26="Silver")*(Missions!$D$6:$D$26&lt;&gt;"One-time")*'Affiliate Projection'!K12*Missions!$E$6:$E$26*Missions!$J$6:$J$26)+SUMPRODUCT((Missions!$F$6:$F$26="Discount")*(Missions!$A$6:$A$26="Gold")*(Missions!$D$6:$D$26="One-time")*'Affiliate Projection'!K22*Missions!$E$6:$E$26*Missions!$J$6:$J$26)+SUMPRODUCT((Missions!$F$6:$F$26="Discount")*(Missions!$A$6:$A$26="Gold")*(Missions!$D$6:$D$26&lt;&gt;"One-time")*'Affiliate Projection'!K13*Missions!$E$6:$E$26*Missions!$J$6:$J$26)+SUMPRODUCT((Missions!$F$6:$F$26="Discount")*(Missions!$A$6:$A$26="Platinum")*(Missions!$D$6:$D$26="One-time")*'Affiliate Projection'!K23*Missions!$E$6:$E$26*Missions!$J$6:$J$26)+SUMPRODUCT((Missions!$F$6:$F$26="Discount")*(Missions!$A$6:$A$26="Platinum")*(Missions!$D$6:$D$26&lt;&gt;"One-time")*'Affiliate Projection'!K14*Missions!$E$6:$E$26*Missions!$J$6:$J$26)+SUMPRODUCT((Missions!$F$6:$F$26="Discount")*(Missions!$A$6:$A$26="Diamond")*(Missions!$D$6:$D$26="One-time")*'Affiliate Projection'!K24*Missions!$E$6:$E$26*Missions!$J$6:$J$26)+SUMPRODUCT((Missions!$F$6:$F$26="Discount")*(Missions!$A$6:$A$26="Diamond")*(Missions!$D$6:$D$26&lt;&gt;"One-time")*'Affiliate Projection'!K15*Missions!$E$6:$E$26*Missions!$J$6:$J$26)</f>
        <v/>
      </c>
      <c r="L9" s="14">
        <f>SUMPRODUCT((Missions!$F$6:$F$26="Discount")*(Missions!$A$6:$A$26="Bronze")*(Missions!$D$6:$D$26="One-time")*'Affiliate Projection'!L20*Missions!$E$6:$E$26*Missions!$J$6:$J$26)+SUMPRODUCT((Missions!$F$6:$F$26="Discount")*(Missions!$A$6:$A$26="Bronze")*(Missions!$D$6:$D$26&lt;&gt;"One-time")*'Affiliate Projection'!L11*Missions!$E$6:$E$26*Missions!$J$6:$J$26)+SUMPRODUCT((Missions!$F$6:$F$26="Discount")*(Missions!$A$6:$A$26="Silver")*(Missions!$D$6:$D$26="One-time")*'Affiliate Projection'!L21*Missions!$E$6:$E$26*Missions!$J$6:$J$26)+SUMPRODUCT((Missions!$F$6:$F$26="Discount")*(Missions!$A$6:$A$26="Silver")*(Missions!$D$6:$D$26&lt;&gt;"One-time")*'Affiliate Projection'!L12*Missions!$E$6:$E$26*Missions!$J$6:$J$26)+SUMPRODUCT((Missions!$F$6:$F$26="Discount")*(Missions!$A$6:$A$26="Gold")*(Missions!$D$6:$D$26="One-time")*'Affiliate Projection'!L22*Missions!$E$6:$E$26*Missions!$J$6:$J$26)+SUMPRODUCT((Missions!$F$6:$F$26="Discount")*(Missions!$A$6:$A$26="Gold")*(Missions!$D$6:$D$26&lt;&gt;"One-time")*'Affiliate Projection'!L13*Missions!$E$6:$E$26*Missions!$J$6:$J$26)+SUMPRODUCT((Missions!$F$6:$F$26="Discount")*(Missions!$A$6:$A$26="Platinum")*(Missions!$D$6:$D$26="One-time")*'Affiliate Projection'!L23*Missions!$E$6:$E$26*Missions!$J$6:$J$26)+SUMPRODUCT((Missions!$F$6:$F$26="Discount")*(Missions!$A$6:$A$26="Platinum")*(Missions!$D$6:$D$26&lt;&gt;"One-time")*'Affiliate Projection'!L14*Missions!$E$6:$E$26*Missions!$J$6:$J$26)+SUMPRODUCT((Missions!$F$6:$F$26="Discount")*(Missions!$A$6:$A$26="Diamond")*(Missions!$D$6:$D$26="One-time")*'Affiliate Projection'!L24*Missions!$E$6:$E$26*Missions!$J$6:$J$26)+SUMPRODUCT((Missions!$F$6:$F$26="Discount")*(Missions!$A$6:$A$26="Diamond")*(Missions!$D$6:$D$26&lt;&gt;"One-time")*'Affiliate Projection'!L15*Missions!$E$6:$E$26*Missions!$J$6:$J$26)</f>
        <v/>
      </c>
      <c r="M9" s="14">
        <f>SUMPRODUCT((Missions!$F$6:$F$26="Discount")*(Missions!$A$6:$A$26="Bronze")*(Missions!$D$6:$D$26="One-time")*'Affiliate Projection'!M20*Missions!$E$6:$E$26*Missions!$J$6:$J$26)+SUMPRODUCT((Missions!$F$6:$F$26="Discount")*(Missions!$A$6:$A$26="Bronze")*(Missions!$D$6:$D$26&lt;&gt;"One-time")*'Affiliate Projection'!M11*Missions!$E$6:$E$26*Missions!$J$6:$J$26)+SUMPRODUCT((Missions!$F$6:$F$26="Discount")*(Missions!$A$6:$A$26="Silver")*(Missions!$D$6:$D$26="One-time")*'Affiliate Projection'!M21*Missions!$E$6:$E$26*Missions!$J$6:$J$26)+SUMPRODUCT((Missions!$F$6:$F$26="Discount")*(Missions!$A$6:$A$26="Silver")*(Missions!$D$6:$D$26&lt;&gt;"One-time")*'Affiliate Projection'!M12*Missions!$E$6:$E$26*Missions!$J$6:$J$26)+SUMPRODUCT((Missions!$F$6:$F$26="Discount")*(Missions!$A$6:$A$26="Gold")*(Missions!$D$6:$D$26="One-time")*'Affiliate Projection'!M22*Missions!$E$6:$E$26*Missions!$J$6:$J$26)+SUMPRODUCT((Missions!$F$6:$F$26="Discount")*(Missions!$A$6:$A$26="Gold")*(Missions!$D$6:$D$26&lt;&gt;"One-time")*'Affiliate Projection'!M13*Missions!$E$6:$E$26*Missions!$J$6:$J$26)+SUMPRODUCT((Missions!$F$6:$F$26="Discount")*(Missions!$A$6:$A$26="Platinum")*(Missions!$D$6:$D$26="One-time")*'Affiliate Projection'!M23*Missions!$E$6:$E$26*Missions!$J$6:$J$26)+SUMPRODUCT((Missions!$F$6:$F$26="Discount")*(Missions!$A$6:$A$26="Platinum")*(Missions!$D$6:$D$26&lt;&gt;"One-time")*'Affiliate Projection'!M14*Missions!$E$6:$E$26*Missions!$J$6:$J$26)+SUMPRODUCT((Missions!$F$6:$F$26="Discount")*(Missions!$A$6:$A$26="Diamond")*(Missions!$D$6:$D$26="One-time")*'Affiliate Projection'!M24*Missions!$E$6:$E$26*Missions!$J$6:$J$26)+SUMPRODUCT((Missions!$F$6:$F$26="Discount")*(Missions!$A$6:$A$26="Diamond")*(Missions!$D$6:$D$26&lt;&gt;"One-time")*'Affiliate Projection'!M15*Missions!$E$6:$E$26*Missions!$J$6:$J$26)</f>
        <v/>
      </c>
    </row>
    <row r="10">
      <c r="A10" s="13" t="inlineStr">
        <is>
          <t>Total CM1 Costs</t>
        </is>
      </c>
      <c r="B10" s="15">
        <f>SUM(B5:B9)</f>
        <v/>
      </c>
      <c r="C10" s="15">
        <f>SUM(C5:C9)</f>
        <v/>
      </c>
      <c r="D10" s="15">
        <f>SUM(D5:D9)</f>
        <v/>
      </c>
      <c r="E10" s="15">
        <f>SUM(E5:E9)</f>
        <v/>
      </c>
      <c r="F10" s="15">
        <f>SUM(F5:F9)</f>
        <v/>
      </c>
      <c r="G10" s="15">
        <f>SUM(G5:G9)</f>
        <v/>
      </c>
      <c r="H10" s="15">
        <f>SUM(H5:H9)</f>
        <v/>
      </c>
      <c r="I10" s="15">
        <f>SUM(I5:I9)</f>
        <v/>
      </c>
      <c r="J10" s="15">
        <f>SUM(J5:J9)</f>
        <v/>
      </c>
      <c r="K10" s="15">
        <f>SUM(K5:K9)</f>
        <v/>
      </c>
      <c r="L10" s="15">
        <f>SUM(L5:L9)</f>
        <v/>
      </c>
      <c r="M10" s="15">
        <f>SUM(M5:M9)</f>
        <v/>
      </c>
    </row>
    <row r="11" ht="18.75" customHeight="1" s="32">
      <c r="A11" s="13" t="n"/>
    </row>
    <row r="12" ht="18.75" customHeight="1" s="32">
      <c r="A12" s="1" t="inlineStr">
        <is>
          <t>--- LOYALTY PROGRAM COSTS ---</t>
        </is>
      </c>
    </row>
    <row r="13">
      <c r="A13" s="13" t="inlineStr">
        <is>
          <t>Gift Card Cost (Welcome)</t>
        </is>
      </c>
      <c r="B13" s="14">
        <f>'Affiliate Projection'!B20*'VIP Levels'!$E$14*'VIP Levels'!$F$14+'Affiliate Projection'!B21*'VIP Levels'!$E$15*'VIP Levels'!$F$15+'Affiliate Projection'!B22*'VIP Levels'!$E$16*'VIP Levels'!$F$16+'Affiliate Projection'!B23*'VIP Levels'!$E$17*'VIP Levels'!$F$17+'Affiliate Projection'!B24*'VIP Levels'!$E$18*'VIP Levels'!$F$18</f>
        <v/>
      </c>
      <c r="C13" s="14">
        <f>'Affiliate Projection'!C20*'VIP Levels'!$E$14*'VIP Levels'!$F$14+'Affiliate Projection'!C21*'VIP Levels'!$E$15*'VIP Levels'!$F$15+'Affiliate Projection'!C22*'VIP Levels'!$E$16*'VIP Levels'!$F$16+'Affiliate Projection'!C23*'VIP Levels'!$E$17*'VIP Levels'!$F$17+'Affiliate Projection'!C24*'VIP Levels'!$E$18*'VIP Levels'!$F$18</f>
        <v/>
      </c>
      <c r="D13" s="14">
        <f>'Affiliate Projection'!D20*'VIP Levels'!$E$14*'VIP Levels'!$F$14+'Affiliate Projection'!D21*'VIP Levels'!$E$15*'VIP Levels'!$F$15+'Affiliate Projection'!D22*'VIP Levels'!$E$16*'VIP Levels'!$F$16+'Affiliate Projection'!D23*'VIP Levels'!$E$17*'VIP Levels'!$F$17+'Affiliate Projection'!D24*'VIP Levels'!$E$18*'VIP Levels'!$F$18</f>
        <v/>
      </c>
      <c r="E13" s="14">
        <f>'Affiliate Projection'!E20*'VIP Levels'!$E$14*'VIP Levels'!$F$14+'Affiliate Projection'!E21*'VIP Levels'!$E$15*'VIP Levels'!$F$15+'Affiliate Projection'!E22*'VIP Levels'!$E$16*'VIP Levels'!$F$16+'Affiliate Projection'!E23*'VIP Levels'!$E$17*'VIP Levels'!$F$17+'Affiliate Projection'!E24*'VIP Levels'!$E$18*'VIP Levels'!$F$18</f>
        <v/>
      </c>
      <c r="F13" s="14">
        <f>'Affiliate Projection'!F20*'VIP Levels'!$E$14*'VIP Levels'!$F$14+'Affiliate Projection'!F21*'VIP Levels'!$E$15*'VIP Levels'!$F$15+'Affiliate Projection'!F22*'VIP Levels'!$E$16*'VIP Levels'!$F$16+'Affiliate Projection'!F23*'VIP Levels'!$E$17*'VIP Levels'!$F$17+'Affiliate Projection'!F24*'VIP Levels'!$E$18*'VIP Levels'!$F$18</f>
        <v/>
      </c>
      <c r="G13" s="14">
        <f>'Affiliate Projection'!G20*'VIP Levels'!$E$14*'VIP Levels'!$F$14+'Affiliate Projection'!G21*'VIP Levels'!$E$15*'VIP Levels'!$F$15+'Affiliate Projection'!G22*'VIP Levels'!$E$16*'VIP Levels'!$F$16+'Affiliate Projection'!G23*'VIP Levels'!$E$17*'VIP Levels'!$F$17+'Affiliate Projection'!G24*'VIP Levels'!$E$18*'VIP Levels'!$F$18</f>
        <v/>
      </c>
      <c r="H13" s="14">
        <f>'Affiliate Projection'!H20*'VIP Levels'!$E$14*'VIP Levels'!$F$14+'Affiliate Projection'!H21*'VIP Levels'!$E$15*'VIP Levels'!$F$15+'Affiliate Projection'!H22*'VIP Levels'!$E$16*'VIP Levels'!$F$16+'Affiliate Projection'!H23*'VIP Levels'!$E$17*'VIP Levels'!$F$17+'Affiliate Projection'!H24*'VIP Levels'!$E$18*'VIP Levels'!$F$18</f>
        <v/>
      </c>
      <c r="I13" s="14">
        <f>'Affiliate Projection'!I20*'VIP Levels'!$E$14*'VIP Levels'!$F$14+'Affiliate Projection'!I21*'VIP Levels'!$E$15*'VIP Levels'!$F$15+'Affiliate Projection'!I22*'VIP Levels'!$E$16*'VIP Levels'!$F$16+'Affiliate Projection'!I23*'VIP Levels'!$E$17*'VIP Levels'!$F$17+'Affiliate Projection'!I24*'VIP Levels'!$E$18*'VIP Levels'!$F$18</f>
        <v/>
      </c>
      <c r="J13" s="14">
        <f>'Affiliate Projection'!J20*'VIP Levels'!$E$14*'VIP Levels'!$F$14+'Affiliate Projection'!J21*'VIP Levels'!$E$15*'VIP Levels'!$F$15+'Affiliate Projection'!J22*'VIP Levels'!$E$16*'VIP Levels'!$F$16+'Affiliate Projection'!J23*'VIP Levels'!$E$17*'VIP Levels'!$F$17+'Affiliate Projection'!J24*'VIP Levels'!$E$18*'VIP Levels'!$F$18</f>
        <v/>
      </c>
      <c r="K13" s="14">
        <f>'Affiliate Projection'!K20*'VIP Levels'!$E$14*'VIP Levels'!$F$14+'Affiliate Projection'!K21*'VIP Levels'!$E$15*'VIP Levels'!$F$15+'Affiliate Projection'!K22*'VIP Levels'!$E$16*'VIP Levels'!$F$16+'Affiliate Projection'!K23*'VIP Levels'!$E$17*'VIP Levels'!$F$17+'Affiliate Projection'!K24*'VIP Levels'!$E$18*'VIP Levels'!$F$18</f>
        <v/>
      </c>
      <c r="L13" s="14">
        <f>'Affiliate Projection'!L20*'VIP Levels'!$E$14*'VIP Levels'!$F$14+'Affiliate Projection'!L21*'VIP Levels'!$E$15*'VIP Levels'!$F$15+'Affiliate Projection'!L22*'VIP Levels'!$E$16*'VIP Levels'!$F$16+'Affiliate Projection'!L23*'VIP Levels'!$E$17*'VIP Levels'!$F$17+'Affiliate Projection'!L24*'VIP Levels'!$E$18*'VIP Levels'!$F$18</f>
        <v/>
      </c>
      <c r="M13" s="14">
        <f>'Affiliate Projection'!M20*'VIP Levels'!$E$14*'VIP Levels'!$F$14+'Affiliate Projection'!M21*'VIP Levels'!$E$15*'VIP Levels'!$F$15+'Affiliate Projection'!M22*'VIP Levels'!$E$16*'VIP Levels'!$F$16+'Affiliate Projection'!M23*'VIP Levels'!$E$17*'VIP Levels'!$F$17+'Affiliate Projection'!M24*'VIP Levels'!$E$18*'VIP Levels'!$F$18</f>
        <v/>
      </c>
    </row>
    <row r="14">
      <c r="A14" s="13" t="inlineStr">
        <is>
          <t>Gift Card Cost (Missions)</t>
        </is>
      </c>
      <c r="B14" s="14">
        <f>SUMPRODUCT((Missions!$F$6:$F$26="Gift Card")*(Missions!$A$6:$A$26="Bronze")*(Missions!$D$6:$D$26="One-time")*'Affiliate Projection'!B20*Missions!$E$6:$E$26*Missions!$J$6:$J$26)+SUMPRODUCT((Missions!$F$6:$F$26="Gift Card")*(Missions!$A$6:$A$26="Bronze")*(Missions!$D$6:$D$26&lt;&gt;"One-time")*'Affiliate Projection'!B11*Missions!$E$6:$E$26*Missions!$J$6:$J$26)+SUMPRODUCT((Missions!$F$6:$F$26="Gift Card")*(Missions!$A$6:$A$26="Silver")*(Missions!$D$6:$D$26="One-time")*'Affiliate Projection'!B21*Missions!$E$6:$E$26*Missions!$J$6:$J$26)+SUMPRODUCT((Missions!$F$6:$F$26="Gift Card")*(Missions!$A$6:$A$26="Silver")*(Missions!$D$6:$D$26&lt;&gt;"One-time")*'Affiliate Projection'!B12*Missions!$E$6:$E$26*Missions!$J$6:$J$26)+SUMPRODUCT((Missions!$F$6:$F$26="Gift Card")*(Missions!$A$6:$A$26="Gold")*(Missions!$D$6:$D$26="One-time")*'Affiliate Projection'!B22*Missions!$E$6:$E$26*Missions!$J$6:$J$26)+SUMPRODUCT((Missions!$F$6:$F$26="Gift Card")*(Missions!$A$6:$A$26="Gold")*(Missions!$D$6:$D$26&lt;&gt;"One-time")*'Affiliate Projection'!B13*Missions!$E$6:$E$26*Missions!$J$6:$J$26)+SUMPRODUCT((Missions!$F$6:$F$26="Gift Card")*(Missions!$A$6:$A$26="Platinum")*(Missions!$D$6:$D$26="One-time")*'Affiliate Projection'!B23*Missions!$E$6:$E$26*Missions!$J$6:$J$26)+SUMPRODUCT((Missions!$F$6:$F$26="Gift Card")*(Missions!$A$6:$A$26="Platinum")*(Missions!$D$6:$D$26&lt;&gt;"One-time")*'Affiliate Projection'!B14*Missions!$E$6:$E$26*Missions!$J$6:$J$26)+SUMPRODUCT((Missions!$F$6:$F$26="Gift Card")*(Missions!$A$6:$A$26="Diamond")*(Missions!$D$6:$D$26="One-time")*'Affiliate Projection'!B24*Missions!$E$6:$E$26*Missions!$J$6:$J$26)+SUMPRODUCT((Missions!$F$6:$F$26="Gift Card")*(Missions!$A$6:$A$26="Diamond")*(Missions!$D$6:$D$26&lt;&gt;"One-time")*'Affiliate Projection'!B15*Missions!$E$6:$E$26*Missions!$J$6:$J$26)</f>
        <v/>
      </c>
      <c r="C14" s="14">
        <f>SUMPRODUCT((Missions!$F$6:$F$26="Gift Card")*(Missions!$A$6:$A$26="Bronze")*(Missions!$D$6:$D$26="One-time")*'Affiliate Projection'!C20*Missions!$E$6:$E$26*Missions!$J$6:$J$26)+SUMPRODUCT((Missions!$F$6:$F$26="Gift Card")*(Missions!$A$6:$A$26="Bronze")*(Missions!$D$6:$D$26&lt;&gt;"One-time")*'Affiliate Projection'!C11*Missions!$E$6:$E$26*Missions!$J$6:$J$26)+SUMPRODUCT((Missions!$F$6:$F$26="Gift Card")*(Missions!$A$6:$A$26="Silver")*(Missions!$D$6:$D$26="One-time")*'Affiliate Projection'!C21*Missions!$E$6:$E$26*Missions!$J$6:$J$26)+SUMPRODUCT((Missions!$F$6:$F$26="Gift Card")*(Missions!$A$6:$A$26="Silver")*(Missions!$D$6:$D$26&lt;&gt;"One-time")*'Affiliate Projection'!C12*Missions!$E$6:$E$26*Missions!$J$6:$J$26)+SUMPRODUCT((Missions!$F$6:$F$26="Gift Card")*(Missions!$A$6:$A$26="Gold")*(Missions!$D$6:$D$26="One-time")*'Affiliate Projection'!C22*Missions!$E$6:$E$26*Missions!$J$6:$J$26)+SUMPRODUCT((Missions!$F$6:$F$26="Gift Card")*(Missions!$A$6:$A$26="Gold")*(Missions!$D$6:$D$26&lt;&gt;"One-time")*'Affiliate Projection'!C13*Missions!$E$6:$E$26*Missions!$J$6:$J$26)+SUMPRODUCT((Missions!$F$6:$F$26="Gift Card")*(Missions!$A$6:$A$26="Platinum")*(Missions!$D$6:$D$26="One-time")*'Affiliate Projection'!C23*Missions!$E$6:$E$26*Missions!$J$6:$J$26)+SUMPRODUCT((Missions!$F$6:$F$26="Gift Card")*(Missions!$A$6:$A$26="Platinum")*(Missions!$D$6:$D$26&lt;&gt;"One-time")*'Affiliate Projection'!C14*Missions!$E$6:$E$26*Missions!$J$6:$J$26)+SUMPRODUCT((Missions!$F$6:$F$26="Gift Card")*(Missions!$A$6:$A$26="Diamond")*(Missions!$D$6:$D$26="One-time")*'Affiliate Projection'!C24*Missions!$E$6:$E$26*Missions!$J$6:$J$26)+SUMPRODUCT((Missions!$F$6:$F$26="Gift Card")*(Missions!$A$6:$A$26="Diamond")*(Missions!$D$6:$D$26&lt;&gt;"One-time")*'Affiliate Projection'!C15*Missions!$E$6:$E$26*Missions!$J$6:$J$26)</f>
        <v/>
      </c>
      <c r="D14" s="14">
        <f>SUMPRODUCT((Missions!$F$6:$F$26="Gift Card")*(Missions!$A$6:$A$26="Bronze")*(Missions!$D$6:$D$26="One-time")*'Affiliate Projection'!D20*Missions!$E$6:$E$26*Missions!$J$6:$J$26)+SUMPRODUCT((Missions!$F$6:$F$26="Gift Card")*(Missions!$A$6:$A$26="Bronze")*(Missions!$D$6:$D$26&lt;&gt;"One-time")*'Affiliate Projection'!D11*Missions!$E$6:$E$26*Missions!$J$6:$J$26)+SUMPRODUCT((Missions!$F$6:$F$26="Gift Card")*(Missions!$A$6:$A$26="Silver")*(Missions!$D$6:$D$26="One-time")*'Affiliate Projection'!D21*Missions!$E$6:$E$26*Missions!$J$6:$J$26)+SUMPRODUCT((Missions!$F$6:$F$26="Gift Card")*(Missions!$A$6:$A$26="Silver")*(Missions!$D$6:$D$26&lt;&gt;"One-time")*'Affiliate Projection'!D12*Missions!$E$6:$E$26*Missions!$J$6:$J$26)+SUMPRODUCT((Missions!$F$6:$F$26="Gift Card")*(Missions!$A$6:$A$26="Gold")*(Missions!$D$6:$D$26="One-time")*'Affiliate Projection'!D22*Missions!$E$6:$E$26*Missions!$J$6:$J$26)+SUMPRODUCT((Missions!$F$6:$F$26="Gift Card")*(Missions!$A$6:$A$26="Gold")*(Missions!$D$6:$D$26&lt;&gt;"One-time")*'Affiliate Projection'!D13*Missions!$E$6:$E$26*Missions!$J$6:$J$26)+SUMPRODUCT((Missions!$F$6:$F$26="Gift Card")*(Missions!$A$6:$A$26="Platinum")*(Missions!$D$6:$D$26="One-time")*'Affiliate Projection'!D23*Missions!$E$6:$E$26*Missions!$J$6:$J$26)+SUMPRODUCT((Missions!$F$6:$F$26="Gift Card")*(Missions!$A$6:$A$26="Platinum")*(Missions!$D$6:$D$26&lt;&gt;"One-time")*'Affiliate Projection'!D14*Missions!$E$6:$E$26*Missions!$J$6:$J$26)+SUMPRODUCT((Missions!$F$6:$F$26="Gift Card")*(Missions!$A$6:$A$26="Diamond")*(Missions!$D$6:$D$26="One-time")*'Affiliate Projection'!D24*Missions!$E$6:$E$26*Missions!$J$6:$J$26)+SUMPRODUCT((Missions!$F$6:$F$26="Gift Card")*(Missions!$A$6:$A$26="Diamond")*(Missions!$D$6:$D$26&lt;&gt;"One-time")*'Affiliate Projection'!D15*Missions!$E$6:$E$26*Missions!$J$6:$J$26)</f>
        <v/>
      </c>
      <c r="E14" s="14">
        <f>SUMPRODUCT((Missions!$F$6:$F$26="Gift Card")*(Missions!$A$6:$A$26="Bronze")*(Missions!$D$6:$D$26="One-time")*'Affiliate Projection'!E20*Missions!$E$6:$E$26*Missions!$J$6:$J$26)+SUMPRODUCT((Missions!$F$6:$F$26="Gift Card")*(Missions!$A$6:$A$26="Bronze")*(Missions!$D$6:$D$26&lt;&gt;"One-time")*'Affiliate Projection'!E11*Missions!$E$6:$E$26*Missions!$J$6:$J$26)+SUMPRODUCT((Missions!$F$6:$F$26="Gift Card")*(Missions!$A$6:$A$26="Silver")*(Missions!$D$6:$D$26="One-time")*'Affiliate Projection'!E21*Missions!$E$6:$E$26*Missions!$J$6:$J$26)+SUMPRODUCT((Missions!$F$6:$F$26="Gift Card")*(Missions!$A$6:$A$26="Silver")*(Missions!$D$6:$D$26&lt;&gt;"One-time")*'Affiliate Projection'!E12*Missions!$E$6:$E$26*Missions!$J$6:$J$26)+SUMPRODUCT((Missions!$F$6:$F$26="Gift Card")*(Missions!$A$6:$A$26="Gold")*(Missions!$D$6:$D$26="One-time")*'Affiliate Projection'!E22*Missions!$E$6:$E$26*Missions!$J$6:$J$26)+SUMPRODUCT((Missions!$F$6:$F$26="Gift Card")*(Missions!$A$6:$A$26="Gold")*(Missions!$D$6:$D$26&lt;&gt;"One-time")*'Affiliate Projection'!E13*Missions!$E$6:$E$26*Missions!$J$6:$J$26)+SUMPRODUCT((Missions!$F$6:$F$26="Gift Card")*(Missions!$A$6:$A$26="Platinum")*(Missions!$D$6:$D$26="One-time")*'Affiliate Projection'!E23*Missions!$E$6:$E$26*Missions!$J$6:$J$26)+SUMPRODUCT((Missions!$F$6:$F$26="Gift Card")*(Missions!$A$6:$A$26="Platinum")*(Missions!$D$6:$D$26&lt;&gt;"One-time")*'Affiliate Projection'!E14*Missions!$E$6:$E$26*Missions!$J$6:$J$26)+SUMPRODUCT((Missions!$F$6:$F$26="Gift Card")*(Missions!$A$6:$A$26="Diamond")*(Missions!$D$6:$D$26="One-time")*'Affiliate Projection'!E24*Missions!$E$6:$E$26*Missions!$J$6:$J$26)+SUMPRODUCT((Missions!$F$6:$F$26="Gift Card")*(Missions!$A$6:$A$26="Diamond")*(Missions!$D$6:$D$26&lt;&gt;"One-time")*'Affiliate Projection'!E15*Missions!$E$6:$E$26*Missions!$J$6:$J$26)</f>
        <v/>
      </c>
      <c r="F14" s="14">
        <f>SUMPRODUCT((Missions!$F$6:$F$26="Gift Card")*(Missions!$A$6:$A$26="Bronze")*(Missions!$D$6:$D$26="One-time")*'Affiliate Projection'!F20*Missions!$E$6:$E$26*Missions!$J$6:$J$26)+SUMPRODUCT((Missions!$F$6:$F$26="Gift Card")*(Missions!$A$6:$A$26="Bronze")*(Missions!$D$6:$D$26&lt;&gt;"One-time")*'Affiliate Projection'!F11*Missions!$E$6:$E$26*Missions!$J$6:$J$26)+SUMPRODUCT((Missions!$F$6:$F$26="Gift Card")*(Missions!$A$6:$A$26="Silver")*(Missions!$D$6:$D$26="One-time")*'Affiliate Projection'!F21*Missions!$E$6:$E$26*Missions!$J$6:$J$26)+SUMPRODUCT((Missions!$F$6:$F$26="Gift Card")*(Missions!$A$6:$A$26="Silver")*(Missions!$D$6:$D$26&lt;&gt;"One-time")*'Affiliate Projection'!F12*Missions!$E$6:$E$26*Missions!$J$6:$J$26)+SUMPRODUCT((Missions!$F$6:$F$26="Gift Card")*(Missions!$A$6:$A$26="Gold")*(Missions!$D$6:$D$26="One-time")*'Affiliate Projection'!F22*Missions!$E$6:$E$26*Missions!$J$6:$J$26)+SUMPRODUCT((Missions!$F$6:$F$26="Gift Card")*(Missions!$A$6:$A$26="Gold")*(Missions!$D$6:$D$26&lt;&gt;"One-time")*'Affiliate Projection'!F13*Missions!$E$6:$E$26*Missions!$J$6:$J$26)+SUMPRODUCT((Missions!$F$6:$F$26="Gift Card")*(Missions!$A$6:$A$26="Platinum")*(Missions!$D$6:$D$26="One-time")*'Affiliate Projection'!F23*Missions!$E$6:$E$26*Missions!$J$6:$J$26)+SUMPRODUCT((Missions!$F$6:$F$26="Gift Card")*(Missions!$A$6:$A$26="Platinum")*(Missions!$D$6:$D$26&lt;&gt;"One-time")*'Affiliate Projection'!F14*Missions!$E$6:$E$26*Missions!$J$6:$J$26)+SUMPRODUCT((Missions!$F$6:$F$26="Gift Card")*(Missions!$A$6:$A$26="Diamond")*(Missions!$D$6:$D$26="One-time")*'Affiliate Projection'!F24*Missions!$E$6:$E$26*Missions!$J$6:$J$26)+SUMPRODUCT((Missions!$F$6:$F$26="Gift Card")*(Missions!$A$6:$A$26="Diamond")*(Missions!$D$6:$D$26&lt;&gt;"One-time")*'Affiliate Projection'!F15*Missions!$E$6:$E$26*Missions!$J$6:$J$26)</f>
        <v/>
      </c>
      <c r="G14" s="14">
        <f>SUMPRODUCT((Missions!$F$6:$F$26="Gift Card")*(Missions!$A$6:$A$26="Bronze")*(Missions!$D$6:$D$26="One-time")*'Affiliate Projection'!G20*Missions!$E$6:$E$26*Missions!$J$6:$J$26)+SUMPRODUCT((Missions!$F$6:$F$26="Gift Card")*(Missions!$A$6:$A$26="Bronze")*(Missions!$D$6:$D$26&lt;&gt;"One-time")*'Affiliate Projection'!G11*Missions!$E$6:$E$26*Missions!$J$6:$J$26)+SUMPRODUCT((Missions!$F$6:$F$26="Gift Card")*(Missions!$A$6:$A$26="Silver")*(Missions!$D$6:$D$26="One-time")*'Affiliate Projection'!G21*Missions!$E$6:$E$26*Missions!$J$6:$J$26)+SUMPRODUCT((Missions!$F$6:$F$26="Gift Card")*(Missions!$A$6:$A$26="Silver")*(Missions!$D$6:$D$26&lt;&gt;"One-time")*'Affiliate Projection'!G12*Missions!$E$6:$E$26*Missions!$J$6:$J$26)+SUMPRODUCT((Missions!$F$6:$F$26="Gift Card")*(Missions!$A$6:$A$26="Gold")*(Missions!$D$6:$D$26="One-time")*'Affiliate Projection'!G22*Missions!$E$6:$E$26*Missions!$J$6:$J$26)+SUMPRODUCT((Missions!$F$6:$F$26="Gift Card")*(Missions!$A$6:$A$26="Gold")*(Missions!$D$6:$D$26&lt;&gt;"One-time")*'Affiliate Projection'!G13*Missions!$E$6:$E$26*Missions!$J$6:$J$26)+SUMPRODUCT((Missions!$F$6:$F$26="Gift Card")*(Missions!$A$6:$A$26="Platinum")*(Missions!$D$6:$D$26="One-time")*'Affiliate Projection'!G23*Missions!$E$6:$E$26*Missions!$J$6:$J$26)+SUMPRODUCT((Missions!$F$6:$F$26="Gift Card")*(Missions!$A$6:$A$26="Platinum")*(Missions!$D$6:$D$26&lt;&gt;"One-time")*'Affiliate Projection'!G14*Missions!$E$6:$E$26*Missions!$J$6:$J$26)+SUMPRODUCT((Missions!$F$6:$F$26="Gift Card")*(Missions!$A$6:$A$26="Diamond")*(Missions!$D$6:$D$26="One-time")*'Affiliate Projection'!G24*Missions!$E$6:$E$26*Missions!$J$6:$J$26)+SUMPRODUCT((Missions!$F$6:$F$26="Gift Card")*(Missions!$A$6:$A$26="Diamond")*(Missions!$D$6:$D$26&lt;&gt;"One-time")*'Affiliate Projection'!G15*Missions!$E$6:$E$26*Missions!$J$6:$J$26)</f>
        <v/>
      </c>
      <c r="H14" s="14">
        <f>SUMPRODUCT((Missions!$F$6:$F$26="Gift Card")*(Missions!$A$6:$A$26="Bronze")*(Missions!$D$6:$D$26="One-time")*'Affiliate Projection'!H20*Missions!$E$6:$E$26*Missions!$J$6:$J$26)+SUMPRODUCT((Missions!$F$6:$F$26="Gift Card")*(Missions!$A$6:$A$26="Bronze")*(Missions!$D$6:$D$26&lt;&gt;"One-time")*'Affiliate Projection'!H11*Missions!$E$6:$E$26*Missions!$J$6:$J$26)+SUMPRODUCT((Missions!$F$6:$F$26="Gift Card")*(Missions!$A$6:$A$26="Silver")*(Missions!$D$6:$D$26="One-time")*'Affiliate Projection'!H21*Missions!$E$6:$E$26*Missions!$J$6:$J$26)+SUMPRODUCT((Missions!$F$6:$F$26="Gift Card")*(Missions!$A$6:$A$26="Silver")*(Missions!$D$6:$D$26&lt;&gt;"One-time")*'Affiliate Projection'!H12*Missions!$E$6:$E$26*Missions!$J$6:$J$26)+SUMPRODUCT((Missions!$F$6:$F$26="Gift Card")*(Missions!$A$6:$A$26="Gold")*(Missions!$D$6:$D$26="One-time")*'Affiliate Projection'!H22*Missions!$E$6:$E$26*Missions!$J$6:$J$26)+SUMPRODUCT((Missions!$F$6:$F$26="Gift Card")*(Missions!$A$6:$A$26="Gold")*(Missions!$D$6:$D$26&lt;&gt;"One-time")*'Affiliate Projection'!H13*Missions!$E$6:$E$26*Missions!$J$6:$J$26)+SUMPRODUCT((Missions!$F$6:$F$26="Gift Card")*(Missions!$A$6:$A$26="Platinum")*(Missions!$D$6:$D$26="One-time")*'Affiliate Projection'!H23*Missions!$E$6:$E$26*Missions!$J$6:$J$26)+SUMPRODUCT((Missions!$F$6:$F$26="Gift Card")*(Missions!$A$6:$A$26="Platinum")*(Missions!$D$6:$D$26&lt;&gt;"One-time")*'Affiliate Projection'!H14*Missions!$E$6:$E$26*Missions!$J$6:$J$26)+SUMPRODUCT((Missions!$F$6:$F$26="Gift Card")*(Missions!$A$6:$A$26="Diamond")*(Missions!$D$6:$D$26="One-time")*'Affiliate Projection'!H24*Missions!$E$6:$E$26*Missions!$J$6:$J$26)+SUMPRODUCT((Missions!$F$6:$F$26="Gift Card")*(Missions!$A$6:$A$26="Diamond")*(Missions!$D$6:$D$26&lt;&gt;"One-time")*'Affiliate Projection'!H15*Missions!$E$6:$E$26*Missions!$J$6:$J$26)</f>
        <v/>
      </c>
      <c r="I14" s="14">
        <f>SUMPRODUCT((Missions!$F$6:$F$26="Gift Card")*(Missions!$A$6:$A$26="Bronze")*(Missions!$D$6:$D$26="One-time")*'Affiliate Projection'!I20*Missions!$E$6:$E$26*Missions!$J$6:$J$26)+SUMPRODUCT((Missions!$F$6:$F$26="Gift Card")*(Missions!$A$6:$A$26="Bronze")*(Missions!$D$6:$D$26&lt;&gt;"One-time")*'Affiliate Projection'!I11*Missions!$E$6:$E$26*Missions!$J$6:$J$26)+SUMPRODUCT((Missions!$F$6:$F$26="Gift Card")*(Missions!$A$6:$A$26="Silver")*(Missions!$D$6:$D$26="One-time")*'Affiliate Projection'!I21*Missions!$E$6:$E$26*Missions!$J$6:$J$26)+SUMPRODUCT((Missions!$F$6:$F$26="Gift Card")*(Missions!$A$6:$A$26="Silver")*(Missions!$D$6:$D$26&lt;&gt;"One-time")*'Affiliate Projection'!I12*Missions!$E$6:$E$26*Missions!$J$6:$J$26)+SUMPRODUCT((Missions!$F$6:$F$26="Gift Card")*(Missions!$A$6:$A$26="Gold")*(Missions!$D$6:$D$26="One-time")*'Affiliate Projection'!I22*Missions!$E$6:$E$26*Missions!$J$6:$J$26)+SUMPRODUCT((Missions!$F$6:$F$26="Gift Card")*(Missions!$A$6:$A$26="Gold")*(Missions!$D$6:$D$26&lt;&gt;"One-time")*'Affiliate Projection'!I13*Missions!$E$6:$E$26*Missions!$J$6:$J$26)+SUMPRODUCT((Missions!$F$6:$F$26="Gift Card")*(Missions!$A$6:$A$26="Platinum")*(Missions!$D$6:$D$26="One-time")*'Affiliate Projection'!I23*Missions!$E$6:$E$26*Missions!$J$6:$J$26)+SUMPRODUCT((Missions!$F$6:$F$26="Gift Card")*(Missions!$A$6:$A$26="Platinum")*(Missions!$D$6:$D$26&lt;&gt;"One-time")*'Affiliate Projection'!I14*Missions!$E$6:$E$26*Missions!$J$6:$J$26)+SUMPRODUCT((Missions!$F$6:$F$26="Gift Card")*(Missions!$A$6:$A$26="Diamond")*(Missions!$D$6:$D$26="One-time")*'Affiliate Projection'!I24*Missions!$E$6:$E$26*Missions!$J$6:$J$26)+SUMPRODUCT((Missions!$F$6:$F$26="Gift Card")*(Missions!$A$6:$A$26="Diamond")*(Missions!$D$6:$D$26&lt;&gt;"One-time")*'Affiliate Projection'!I15*Missions!$E$6:$E$26*Missions!$J$6:$J$26)</f>
        <v/>
      </c>
      <c r="J14" s="14">
        <f>SUMPRODUCT((Missions!$F$6:$F$26="Gift Card")*(Missions!$A$6:$A$26="Bronze")*(Missions!$D$6:$D$26="One-time")*'Affiliate Projection'!J20*Missions!$E$6:$E$26*Missions!$J$6:$J$26)+SUMPRODUCT((Missions!$F$6:$F$26="Gift Card")*(Missions!$A$6:$A$26="Bronze")*(Missions!$D$6:$D$26&lt;&gt;"One-time")*'Affiliate Projection'!J11*Missions!$E$6:$E$26*Missions!$J$6:$J$26)+SUMPRODUCT((Missions!$F$6:$F$26="Gift Card")*(Missions!$A$6:$A$26="Silver")*(Missions!$D$6:$D$26="One-time")*'Affiliate Projection'!J21*Missions!$E$6:$E$26*Missions!$J$6:$J$26)+SUMPRODUCT((Missions!$F$6:$F$26="Gift Card")*(Missions!$A$6:$A$26="Silver")*(Missions!$D$6:$D$26&lt;&gt;"One-time")*'Affiliate Projection'!J12*Missions!$E$6:$E$26*Missions!$J$6:$J$26)+SUMPRODUCT((Missions!$F$6:$F$26="Gift Card")*(Missions!$A$6:$A$26="Gold")*(Missions!$D$6:$D$26="One-time")*'Affiliate Projection'!J22*Missions!$E$6:$E$26*Missions!$J$6:$J$26)+SUMPRODUCT((Missions!$F$6:$F$26="Gift Card")*(Missions!$A$6:$A$26="Gold")*(Missions!$D$6:$D$26&lt;&gt;"One-time")*'Affiliate Projection'!J13*Missions!$E$6:$E$26*Missions!$J$6:$J$26)+SUMPRODUCT((Missions!$F$6:$F$26="Gift Card")*(Missions!$A$6:$A$26="Platinum")*(Missions!$D$6:$D$26="One-time")*'Affiliate Projection'!J23*Missions!$E$6:$E$26*Missions!$J$6:$J$26)+SUMPRODUCT((Missions!$F$6:$F$26="Gift Card")*(Missions!$A$6:$A$26="Platinum")*(Missions!$D$6:$D$26&lt;&gt;"One-time")*'Affiliate Projection'!J14*Missions!$E$6:$E$26*Missions!$J$6:$J$26)+SUMPRODUCT((Missions!$F$6:$F$26="Gift Card")*(Missions!$A$6:$A$26="Diamond")*(Missions!$D$6:$D$26="One-time")*'Affiliate Projection'!J24*Missions!$E$6:$E$26*Missions!$J$6:$J$26)+SUMPRODUCT((Missions!$F$6:$F$26="Gift Card")*(Missions!$A$6:$A$26="Diamond")*(Missions!$D$6:$D$26&lt;&gt;"One-time")*'Affiliate Projection'!J15*Missions!$E$6:$E$26*Missions!$J$6:$J$26)</f>
        <v/>
      </c>
      <c r="K14" s="14">
        <f>SUMPRODUCT((Missions!$F$6:$F$26="Gift Card")*(Missions!$A$6:$A$26="Bronze")*(Missions!$D$6:$D$26="One-time")*'Affiliate Projection'!K20*Missions!$E$6:$E$26*Missions!$J$6:$J$26)+SUMPRODUCT((Missions!$F$6:$F$26="Gift Card")*(Missions!$A$6:$A$26="Bronze")*(Missions!$D$6:$D$26&lt;&gt;"One-time")*'Affiliate Projection'!K11*Missions!$E$6:$E$26*Missions!$J$6:$J$26)+SUMPRODUCT((Missions!$F$6:$F$26="Gift Card")*(Missions!$A$6:$A$26="Silver")*(Missions!$D$6:$D$26="One-time")*'Affiliate Projection'!K21*Missions!$E$6:$E$26*Missions!$J$6:$J$26)+SUMPRODUCT((Missions!$F$6:$F$26="Gift Card")*(Missions!$A$6:$A$26="Silver")*(Missions!$D$6:$D$26&lt;&gt;"One-time")*'Affiliate Projection'!K12*Missions!$E$6:$E$26*Missions!$J$6:$J$26)+SUMPRODUCT((Missions!$F$6:$F$26="Gift Card")*(Missions!$A$6:$A$26="Gold")*(Missions!$D$6:$D$26="One-time")*'Affiliate Projection'!K22*Missions!$E$6:$E$26*Missions!$J$6:$J$26)+SUMPRODUCT((Missions!$F$6:$F$26="Gift Card")*(Missions!$A$6:$A$26="Gold")*(Missions!$D$6:$D$26&lt;&gt;"One-time")*'Affiliate Projection'!K13*Missions!$E$6:$E$26*Missions!$J$6:$J$26)+SUMPRODUCT((Missions!$F$6:$F$26="Gift Card")*(Missions!$A$6:$A$26="Platinum")*(Missions!$D$6:$D$26="One-time")*'Affiliate Projection'!K23*Missions!$E$6:$E$26*Missions!$J$6:$J$26)+SUMPRODUCT((Missions!$F$6:$F$26="Gift Card")*(Missions!$A$6:$A$26="Platinum")*(Missions!$D$6:$D$26&lt;&gt;"One-time")*'Affiliate Projection'!K14*Missions!$E$6:$E$26*Missions!$J$6:$J$26)+SUMPRODUCT((Missions!$F$6:$F$26="Gift Card")*(Missions!$A$6:$A$26="Diamond")*(Missions!$D$6:$D$26="One-time")*'Affiliate Projection'!K24*Missions!$E$6:$E$26*Missions!$J$6:$J$26)+SUMPRODUCT((Missions!$F$6:$F$26="Gift Card")*(Missions!$A$6:$A$26="Diamond")*(Missions!$D$6:$D$26&lt;&gt;"One-time")*'Affiliate Projection'!K15*Missions!$E$6:$E$26*Missions!$J$6:$J$26)</f>
        <v/>
      </c>
      <c r="L14" s="14">
        <f>SUMPRODUCT((Missions!$F$6:$F$26="Gift Card")*(Missions!$A$6:$A$26="Bronze")*(Missions!$D$6:$D$26="One-time")*'Affiliate Projection'!L20*Missions!$E$6:$E$26*Missions!$J$6:$J$26)+SUMPRODUCT((Missions!$F$6:$F$26="Gift Card")*(Missions!$A$6:$A$26="Bronze")*(Missions!$D$6:$D$26&lt;&gt;"One-time")*'Affiliate Projection'!L11*Missions!$E$6:$E$26*Missions!$J$6:$J$26)+SUMPRODUCT((Missions!$F$6:$F$26="Gift Card")*(Missions!$A$6:$A$26="Silver")*(Missions!$D$6:$D$26="One-time")*'Affiliate Projection'!L21*Missions!$E$6:$E$26*Missions!$J$6:$J$26)+SUMPRODUCT((Missions!$F$6:$F$26="Gift Card")*(Missions!$A$6:$A$26="Silver")*(Missions!$D$6:$D$26&lt;&gt;"One-time")*'Affiliate Projection'!L12*Missions!$E$6:$E$26*Missions!$J$6:$J$26)+SUMPRODUCT((Missions!$F$6:$F$26="Gift Card")*(Missions!$A$6:$A$26="Gold")*(Missions!$D$6:$D$26="One-time")*'Affiliate Projection'!L22*Missions!$E$6:$E$26*Missions!$J$6:$J$26)+SUMPRODUCT((Missions!$F$6:$F$26="Gift Card")*(Missions!$A$6:$A$26="Gold")*(Missions!$D$6:$D$26&lt;&gt;"One-time")*'Affiliate Projection'!L13*Missions!$E$6:$E$26*Missions!$J$6:$J$26)+SUMPRODUCT((Missions!$F$6:$F$26="Gift Card")*(Missions!$A$6:$A$26="Platinum")*(Missions!$D$6:$D$26="One-time")*'Affiliate Projection'!L23*Missions!$E$6:$E$26*Missions!$J$6:$J$26)+SUMPRODUCT((Missions!$F$6:$F$26="Gift Card")*(Missions!$A$6:$A$26="Platinum")*(Missions!$D$6:$D$26&lt;&gt;"One-time")*'Affiliate Projection'!L14*Missions!$E$6:$E$26*Missions!$J$6:$J$26)+SUMPRODUCT((Missions!$F$6:$F$26="Gift Card")*(Missions!$A$6:$A$26="Diamond")*(Missions!$D$6:$D$26="One-time")*'Affiliate Projection'!L24*Missions!$E$6:$E$26*Missions!$J$6:$J$26)+SUMPRODUCT((Missions!$F$6:$F$26="Gift Card")*(Missions!$A$6:$A$26="Diamond")*(Missions!$D$6:$D$26&lt;&gt;"One-time")*'Affiliate Projection'!L15*Missions!$E$6:$E$26*Missions!$J$6:$J$26)</f>
        <v/>
      </c>
      <c r="M14" s="14">
        <f>SUMPRODUCT((Missions!$F$6:$F$26="Gift Card")*(Missions!$A$6:$A$26="Bronze")*(Missions!$D$6:$D$26="One-time")*'Affiliate Projection'!M20*Missions!$E$6:$E$26*Missions!$J$6:$J$26)+SUMPRODUCT((Missions!$F$6:$F$26="Gift Card")*(Missions!$A$6:$A$26="Bronze")*(Missions!$D$6:$D$26&lt;&gt;"One-time")*'Affiliate Projection'!M11*Missions!$E$6:$E$26*Missions!$J$6:$J$26)+SUMPRODUCT((Missions!$F$6:$F$26="Gift Card")*(Missions!$A$6:$A$26="Silver")*(Missions!$D$6:$D$26="One-time")*'Affiliate Projection'!M21*Missions!$E$6:$E$26*Missions!$J$6:$J$26)+SUMPRODUCT((Missions!$F$6:$F$26="Gift Card")*(Missions!$A$6:$A$26="Silver")*(Missions!$D$6:$D$26&lt;&gt;"One-time")*'Affiliate Projection'!M12*Missions!$E$6:$E$26*Missions!$J$6:$J$26)+SUMPRODUCT((Missions!$F$6:$F$26="Gift Card")*(Missions!$A$6:$A$26="Gold")*(Missions!$D$6:$D$26="One-time")*'Affiliate Projection'!M22*Missions!$E$6:$E$26*Missions!$J$6:$J$26)+SUMPRODUCT((Missions!$F$6:$F$26="Gift Card")*(Missions!$A$6:$A$26="Gold")*(Missions!$D$6:$D$26&lt;&gt;"One-time")*'Affiliate Projection'!M13*Missions!$E$6:$E$26*Missions!$J$6:$J$26)+SUMPRODUCT((Missions!$F$6:$F$26="Gift Card")*(Missions!$A$6:$A$26="Platinum")*(Missions!$D$6:$D$26="One-time")*'Affiliate Projection'!M23*Missions!$E$6:$E$26*Missions!$J$6:$J$26)+SUMPRODUCT((Missions!$F$6:$F$26="Gift Card")*(Missions!$A$6:$A$26="Platinum")*(Missions!$D$6:$D$26&lt;&gt;"One-time")*'Affiliate Projection'!M14*Missions!$E$6:$E$26*Missions!$J$6:$J$26)+SUMPRODUCT((Missions!$F$6:$F$26="Gift Card")*(Missions!$A$6:$A$26="Diamond")*(Missions!$D$6:$D$26="One-time")*'Affiliate Projection'!M24*Missions!$E$6:$E$26*Missions!$J$6:$J$26)+SUMPRODUCT((Missions!$F$6:$F$26="Gift Card")*(Missions!$A$6:$A$26="Diamond")*(Missions!$D$6:$D$26&lt;&gt;"One-time")*'Affiliate Projection'!M15*Missions!$E$6:$E$26*Missions!$J$6:$J$26)</f>
        <v/>
      </c>
    </row>
    <row r="15">
      <c r="A15" s="13" t="inlineStr">
        <is>
          <t>Total Gift Card Cost</t>
        </is>
      </c>
      <c r="B15" s="14">
        <f>B13+B14</f>
        <v/>
      </c>
      <c r="C15" s="14">
        <f>C13+C14</f>
        <v/>
      </c>
      <c r="D15" s="14">
        <f>D13+D14</f>
        <v/>
      </c>
      <c r="E15" s="14">
        <f>E13+E14</f>
        <v/>
      </c>
      <c r="F15" s="14">
        <f>F13+F14</f>
        <v/>
      </c>
      <c r="G15" s="14">
        <f>G13+G14</f>
        <v/>
      </c>
      <c r="H15" s="14">
        <f>H13+H14</f>
        <v/>
      </c>
      <c r="I15" s="14">
        <f>I13+I14</f>
        <v/>
      </c>
      <c r="J15" s="14">
        <f>J13+J14</f>
        <v/>
      </c>
      <c r="K15" s="14">
        <f>K13+K14</f>
        <v/>
      </c>
      <c r="L15" s="14">
        <f>L13+L14</f>
        <v/>
      </c>
      <c r="M15" s="14">
        <f>M13+M14</f>
        <v/>
      </c>
    </row>
    <row r="16">
      <c r="A16" s="13" t="inlineStr">
        <is>
          <t>Total Loyalty Program Costs</t>
        </is>
      </c>
      <c r="B16" s="15">
        <f>B15</f>
        <v/>
      </c>
      <c r="C16" s="15">
        <f>C15</f>
        <v/>
      </c>
      <c r="D16" s="15">
        <f>D15</f>
        <v/>
      </c>
      <c r="E16" s="15">
        <f>E15</f>
        <v/>
      </c>
      <c r="F16" s="15">
        <f>F15</f>
        <v/>
      </c>
      <c r="G16" s="15">
        <f>G15</f>
        <v/>
      </c>
      <c r="H16" s="15">
        <f>H15</f>
        <v/>
      </c>
      <c r="I16" s="15">
        <f>I15</f>
        <v/>
      </c>
      <c r="J16" s="15">
        <f>J15</f>
        <v/>
      </c>
      <c r="K16" s="15">
        <f>K15</f>
        <v/>
      </c>
      <c r="L16" s="15">
        <f>L15</f>
        <v/>
      </c>
      <c r="M16" s="15">
        <f>M15</f>
        <v/>
      </c>
    </row>
    <row r="17" ht="18.75" customHeight="1" s="32">
      <c r="A17" s="13" t="n"/>
    </row>
    <row r="18" ht="18.75" customHeight="1" s="32">
      <c r="A18" s="1" t="inlineStr">
        <is>
          <t>--- MARKETING OPEX ---</t>
        </is>
      </c>
    </row>
    <row r="19">
      <c r="A19" s="13" t="inlineStr">
        <is>
          <t>Spark Ads Cost (Welcome)</t>
        </is>
      </c>
      <c r="B19" s="14">
        <f>'Affiliate Projection'!B20*'VIP Levels'!$J$14*'VIP Levels'!$K$14+'Affiliate Projection'!B21*'VIP Levels'!$J$15*'VIP Levels'!$K$15+'Affiliate Projection'!B22*'VIP Levels'!$J$16*'VIP Levels'!$K$16+'Affiliate Projection'!B23*'VIP Levels'!$J$17*'VIP Levels'!$K$17+'Affiliate Projection'!B24*'VIP Levels'!$J$18*'VIP Levels'!$K$18</f>
        <v/>
      </c>
      <c r="C19" s="14">
        <f>'Affiliate Projection'!C20*'VIP Levels'!$J$14*'VIP Levels'!$K$14+'Affiliate Projection'!C21*'VIP Levels'!$J$15*'VIP Levels'!$K$15+'Affiliate Projection'!C22*'VIP Levels'!$J$16*'VIP Levels'!$K$16+'Affiliate Projection'!C23*'VIP Levels'!$J$17*'VIP Levels'!$K$17+'Affiliate Projection'!C24*'VIP Levels'!$J$18*'VIP Levels'!$K$18</f>
        <v/>
      </c>
      <c r="D19" s="14">
        <f>'Affiliate Projection'!D20*'VIP Levels'!$J$14*'VIP Levels'!$K$14+'Affiliate Projection'!D21*'VIP Levels'!$J$15*'VIP Levels'!$K$15+'Affiliate Projection'!D22*'VIP Levels'!$J$16*'VIP Levels'!$K$16+'Affiliate Projection'!D23*'VIP Levels'!$J$17*'VIP Levels'!$K$17+'Affiliate Projection'!D24*'VIP Levels'!$J$18*'VIP Levels'!$K$18</f>
        <v/>
      </c>
      <c r="E19" s="14">
        <f>'Affiliate Projection'!E20*'VIP Levels'!$J$14*'VIP Levels'!$K$14+'Affiliate Projection'!E21*'VIP Levels'!$J$15*'VIP Levels'!$K$15+'Affiliate Projection'!E22*'VIP Levels'!$J$16*'VIP Levels'!$K$16+'Affiliate Projection'!E23*'VIP Levels'!$J$17*'VIP Levels'!$K$17+'Affiliate Projection'!E24*'VIP Levels'!$J$18*'VIP Levels'!$K$18</f>
        <v/>
      </c>
      <c r="F19" s="14">
        <f>'Affiliate Projection'!F20*'VIP Levels'!$J$14*'VIP Levels'!$K$14+'Affiliate Projection'!F21*'VIP Levels'!$J$15*'VIP Levels'!$K$15+'Affiliate Projection'!F22*'VIP Levels'!$J$16*'VIP Levels'!$K$16+'Affiliate Projection'!F23*'VIP Levels'!$J$17*'VIP Levels'!$K$17+'Affiliate Projection'!F24*'VIP Levels'!$J$18*'VIP Levels'!$K$18</f>
        <v/>
      </c>
      <c r="G19" s="14">
        <f>'Affiliate Projection'!G20*'VIP Levels'!$J$14*'VIP Levels'!$K$14+'Affiliate Projection'!G21*'VIP Levels'!$J$15*'VIP Levels'!$K$15+'Affiliate Projection'!G22*'VIP Levels'!$J$16*'VIP Levels'!$K$16+'Affiliate Projection'!G23*'VIP Levels'!$J$17*'VIP Levels'!$K$17+'Affiliate Projection'!G24*'VIP Levels'!$J$18*'VIP Levels'!$K$18</f>
        <v/>
      </c>
      <c r="H19" s="14">
        <f>'Affiliate Projection'!H20*'VIP Levels'!$J$14*'VIP Levels'!$K$14+'Affiliate Projection'!H21*'VIP Levels'!$J$15*'VIP Levels'!$K$15+'Affiliate Projection'!H22*'VIP Levels'!$J$16*'VIP Levels'!$K$16+'Affiliate Projection'!H23*'VIP Levels'!$J$17*'VIP Levels'!$K$17+'Affiliate Projection'!H24*'VIP Levels'!$J$18*'VIP Levels'!$K$18</f>
        <v/>
      </c>
      <c r="I19" s="14">
        <f>'Affiliate Projection'!I20*'VIP Levels'!$J$14*'VIP Levels'!$K$14+'Affiliate Projection'!I21*'VIP Levels'!$J$15*'VIP Levels'!$K$15+'Affiliate Projection'!I22*'VIP Levels'!$J$16*'VIP Levels'!$K$16+'Affiliate Projection'!I23*'VIP Levels'!$J$17*'VIP Levels'!$K$17+'Affiliate Projection'!I24*'VIP Levels'!$J$18*'VIP Levels'!$K$18</f>
        <v/>
      </c>
      <c r="J19" s="14">
        <f>'Affiliate Projection'!J20*'VIP Levels'!$J$14*'VIP Levels'!$K$14+'Affiliate Projection'!J21*'VIP Levels'!$J$15*'VIP Levels'!$K$15+'Affiliate Projection'!J22*'VIP Levels'!$J$16*'VIP Levels'!$K$16+'Affiliate Projection'!J23*'VIP Levels'!$J$17*'VIP Levels'!$K$17+'Affiliate Projection'!J24*'VIP Levels'!$J$18*'VIP Levels'!$K$18</f>
        <v/>
      </c>
      <c r="K19" s="14">
        <f>'Affiliate Projection'!K20*'VIP Levels'!$J$14*'VIP Levels'!$K$14+'Affiliate Projection'!K21*'VIP Levels'!$J$15*'VIP Levels'!$K$15+'Affiliate Projection'!K22*'VIP Levels'!$J$16*'VIP Levels'!$K$16+'Affiliate Projection'!K23*'VIP Levels'!$J$17*'VIP Levels'!$K$17+'Affiliate Projection'!K24*'VIP Levels'!$J$18*'VIP Levels'!$K$18</f>
        <v/>
      </c>
      <c r="L19" s="14">
        <f>'Affiliate Projection'!L20*'VIP Levels'!$J$14*'VIP Levels'!$K$14+'Affiliate Projection'!L21*'VIP Levels'!$J$15*'VIP Levels'!$K$15+'Affiliate Projection'!L22*'VIP Levels'!$J$16*'VIP Levels'!$K$16+'Affiliate Projection'!L23*'VIP Levels'!$J$17*'VIP Levels'!$K$17+'Affiliate Projection'!L24*'VIP Levels'!$J$18*'VIP Levels'!$K$18</f>
        <v/>
      </c>
      <c r="M19" s="14">
        <f>'Affiliate Projection'!M20*'VIP Levels'!$J$14*'VIP Levels'!$K$14+'Affiliate Projection'!M21*'VIP Levels'!$J$15*'VIP Levels'!$K$15+'Affiliate Projection'!M22*'VIP Levels'!$J$16*'VIP Levels'!$K$16+'Affiliate Projection'!M23*'VIP Levels'!$J$17*'VIP Levels'!$K$17+'Affiliate Projection'!M24*'VIP Levels'!$J$18*'VIP Levels'!$K$18</f>
        <v/>
      </c>
    </row>
    <row r="20">
      <c r="A20" s="13" t="inlineStr">
        <is>
          <t>Spark Ads Cost (Missions)</t>
        </is>
      </c>
      <c r="B20" s="14">
        <f>SUMPRODUCT((Missions!$F$6:$F$26="Spark Ads")*(Missions!$A$6:$A$26="Bronze")*(Missions!$D$6:$D$26="One-time")*'Affiliate Projection'!B20*Missions!$E$6:$E$26*Missions!$J$6:$J$26)+SUMPRODUCT((Missions!$F$6:$F$26="Spark Ads")*(Missions!$A$6:$A$26="Bronze")*(Missions!$D$6:$D$26&lt;&gt;"One-time")*'Affiliate Projection'!B11*Missions!$E$6:$E$26*Missions!$J$6:$J$26)+SUMPRODUCT((Missions!$F$6:$F$26="Spark Ads")*(Missions!$A$6:$A$26="Silver")*(Missions!$D$6:$D$26="One-time")*'Affiliate Projection'!B21*Missions!$E$6:$E$26*Missions!$J$6:$J$26)+SUMPRODUCT((Missions!$F$6:$F$26="Spark Ads")*(Missions!$A$6:$A$26="Silver")*(Missions!$D$6:$D$26&lt;&gt;"One-time")*'Affiliate Projection'!B12*Missions!$E$6:$E$26*Missions!$J$6:$J$26)+SUMPRODUCT((Missions!$F$6:$F$26="Spark Ads")*(Missions!$A$6:$A$26="Gold")*(Missions!$D$6:$D$26="One-time")*'Affiliate Projection'!B22*Missions!$E$6:$E$26*Missions!$J$6:$J$26)+SUMPRODUCT((Missions!$F$6:$F$26="Spark Ads")*(Missions!$A$6:$A$26="Gold")*(Missions!$D$6:$D$26&lt;&gt;"One-time")*'Affiliate Projection'!B13*Missions!$E$6:$E$26*Missions!$J$6:$J$26)+SUMPRODUCT((Missions!$F$6:$F$26="Spark Ads")*(Missions!$A$6:$A$26="Platinum")*(Missions!$D$6:$D$26="One-time")*'Affiliate Projection'!B23*Missions!$E$6:$E$26*Missions!$J$6:$J$26)+SUMPRODUCT((Missions!$F$6:$F$26="Spark Ads")*(Missions!$A$6:$A$26="Platinum")*(Missions!$D$6:$D$26&lt;&gt;"One-time")*'Affiliate Projection'!B14*Missions!$E$6:$E$26*Missions!$J$6:$J$26)+SUMPRODUCT((Missions!$F$6:$F$26="Spark Ads")*(Missions!$A$6:$A$26="Diamond")*(Missions!$D$6:$D$26="One-time")*'Affiliate Projection'!B24*Missions!$E$6:$E$26*Missions!$J$6:$J$26)+SUMPRODUCT((Missions!$F$6:$F$26="Spark Ads")*(Missions!$A$6:$A$26="Diamond")*(Missions!$D$6:$D$26&lt;&gt;"One-time")*'Affiliate Projection'!B15*Missions!$E$6:$E$26*Missions!$J$6:$J$26)</f>
        <v/>
      </c>
      <c r="C20" s="14">
        <f>SUMPRODUCT((Missions!$F$6:$F$26="Spark Ads")*(Missions!$A$6:$A$26="Bronze")*(Missions!$D$6:$D$26="One-time")*'Affiliate Projection'!C20*Missions!$E$6:$E$26*Missions!$J$6:$J$26)+SUMPRODUCT((Missions!$F$6:$F$26="Spark Ads")*(Missions!$A$6:$A$26="Bronze")*(Missions!$D$6:$D$26&lt;&gt;"One-time")*'Affiliate Projection'!C11*Missions!$E$6:$E$26*Missions!$J$6:$J$26)+SUMPRODUCT((Missions!$F$6:$F$26="Spark Ads")*(Missions!$A$6:$A$26="Silver")*(Missions!$D$6:$D$26="One-time")*'Affiliate Projection'!C21*Missions!$E$6:$E$26*Missions!$J$6:$J$26)+SUMPRODUCT((Missions!$F$6:$F$26="Spark Ads")*(Missions!$A$6:$A$26="Silver")*(Missions!$D$6:$D$26&lt;&gt;"One-time")*'Affiliate Projection'!C12*Missions!$E$6:$E$26*Missions!$J$6:$J$26)+SUMPRODUCT((Missions!$F$6:$F$26="Spark Ads")*(Missions!$A$6:$A$26="Gold")*(Missions!$D$6:$D$26="One-time")*'Affiliate Projection'!C22*Missions!$E$6:$E$26*Missions!$J$6:$J$26)+SUMPRODUCT((Missions!$F$6:$F$26="Spark Ads")*(Missions!$A$6:$A$26="Gold")*(Missions!$D$6:$D$26&lt;&gt;"One-time")*'Affiliate Projection'!C13*Missions!$E$6:$E$26*Missions!$J$6:$J$26)+SUMPRODUCT((Missions!$F$6:$F$26="Spark Ads")*(Missions!$A$6:$A$26="Platinum")*(Missions!$D$6:$D$26="One-time")*'Affiliate Projection'!C23*Missions!$E$6:$E$26*Missions!$J$6:$J$26)+SUMPRODUCT((Missions!$F$6:$F$26="Spark Ads")*(Missions!$A$6:$A$26="Platinum")*(Missions!$D$6:$D$26&lt;&gt;"One-time")*'Affiliate Projection'!C14*Missions!$E$6:$E$26*Missions!$J$6:$J$26)+SUMPRODUCT((Missions!$F$6:$F$26="Spark Ads")*(Missions!$A$6:$A$26="Diamond")*(Missions!$D$6:$D$26="One-time")*'Affiliate Projection'!C24*Missions!$E$6:$E$26*Missions!$J$6:$J$26)+SUMPRODUCT((Missions!$F$6:$F$26="Spark Ads")*(Missions!$A$6:$A$26="Diamond")*(Missions!$D$6:$D$26&lt;&gt;"One-time")*'Affiliate Projection'!C15*Missions!$E$6:$E$26*Missions!$J$6:$J$26)</f>
        <v/>
      </c>
      <c r="D20" s="14">
        <f>SUMPRODUCT((Missions!$F$6:$F$26="Spark Ads")*(Missions!$A$6:$A$26="Bronze")*(Missions!$D$6:$D$26="One-time")*'Affiliate Projection'!D20*Missions!$E$6:$E$26*Missions!$J$6:$J$26)+SUMPRODUCT((Missions!$F$6:$F$26="Spark Ads")*(Missions!$A$6:$A$26="Bronze")*(Missions!$D$6:$D$26&lt;&gt;"One-time")*'Affiliate Projection'!D11*Missions!$E$6:$E$26*Missions!$J$6:$J$26)+SUMPRODUCT((Missions!$F$6:$F$26="Spark Ads")*(Missions!$A$6:$A$26="Silver")*(Missions!$D$6:$D$26="One-time")*'Affiliate Projection'!D21*Missions!$E$6:$E$26*Missions!$J$6:$J$26)+SUMPRODUCT((Missions!$F$6:$F$26="Spark Ads")*(Missions!$A$6:$A$26="Silver")*(Missions!$D$6:$D$26&lt;&gt;"One-time")*'Affiliate Projection'!D12*Missions!$E$6:$E$26*Missions!$J$6:$J$26)+SUMPRODUCT((Missions!$F$6:$F$26="Spark Ads")*(Missions!$A$6:$A$26="Gold")*(Missions!$D$6:$D$26="One-time")*'Affiliate Projection'!D22*Missions!$E$6:$E$26*Missions!$J$6:$J$26)+SUMPRODUCT((Missions!$F$6:$F$26="Spark Ads")*(Missions!$A$6:$A$26="Gold")*(Missions!$D$6:$D$26&lt;&gt;"One-time")*'Affiliate Projection'!D13*Missions!$E$6:$E$26*Missions!$J$6:$J$26)+SUMPRODUCT((Missions!$F$6:$F$26="Spark Ads")*(Missions!$A$6:$A$26="Platinum")*(Missions!$D$6:$D$26="One-time")*'Affiliate Projection'!D23*Missions!$E$6:$E$26*Missions!$J$6:$J$26)+SUMPRODUCT((Missions!$F$6:$F$26="Spark Ads")*(Missions!$A$6:$A$26="Platinum")*(Missions!$D$6:$D$26&lt;&gt;"One-time")*'Affiliate Projection'!D14*Missions!$E$6:$E$26*Missions!$J$6:$J$26)+SUMPRODUCT((Missions!$F$6:$F$26="Spark Ads")*(Missions!$A$6:$A$26="Diamond")*(Missions!$D$6:$D$26="One-time")*'Affiliate Projection'!D24*Missions!$E$6:$E$26*Missions!$J$6:$J$26)+SUMPRODUCT((Missions!$F$6:$F$26="Spark Ads")*(Missions!$A$6:$A$26="Diamond")*(Missions!$D$6:$D$26&lt;&gt;"One-time")*'Affiliate Projection'!D15*Missions!$E$6:$E$26*Missions!$J$6:$J$26)</f>
        <v/>
      </c>
      <c r="E20" s="14">
        <f>SUMPRODUCT((Missions!$F$6:$F$26="Spark Ads")*(Missions!$A$6:$A$26="Bronze")*(Missions!$D$6:$D$26="One-time")*'Affiliate Projection'!E20*Missions!$E$6:$E$26*Missions!$J$6:$J$26)+SUMPRODUCT((Missions!$F$6:$F$26="Spark Ads")*(Missions!$A$6:$A$26="Bronze")*(Missions!$D$6:$D$26&lt;&gt;"One-time")*'Affiliate Projection'!E11*Missions!$E$6:$E$26*Missions!$J$6:$J$26)+SUMPRODUCT((Missions!$F$6:$F$26="Spark Ads")*(Missions!$A$6:$A$26="Silver")*(Missions!$D$6:$D$26="One-time")*'Affiliate Projection'!E21*Missions!$E$6:$E$26*Missions!$J$6:$J$26)+SUMPRODUCT((Missions!$F$6:$F$26="Spark Ads")*(Missions!$A$6:$A$26="Silver")*(Missions!$D$6:$D$26&lt;&gt;"One-time")*'Affiliate Projection'!E12*Missions!$E$6:$E$26*Missions!$J$6:$J$26)+SUMPRODUCT((Missions!$F$6:$F$26="Spark Ads")*(Missions!$A$6:$A$26="Gold")*(Missions!$D$6:$D$26="One-time")*'Affiliate Projection'!E22*Missions!$E$6:$E$26*Missions!$J$6:$J$26)+SUMPRODUCT((Missions!$F$6:$F$26="Spark Ads")*(Missions!$A$6:$A$26="Gold")*(Missions!$D$6:$D$26&lt;&gt;"One-time")*'Affiliate Projection'!E13*Missions!$E$6:$E$26*Missions!$J$6:$J$26)+SUMPRODUCT((Missions!$F$6:$F$26="Spark Ads")*(Missions!$A$6:$A$26="Platinum")*(Missions!$D$6:$D$26="One-time")*'Affiliate Projection'!E23*Missions!$E$6:$E$26*Missions!$J$6:$J$26)+SUMPRODUCT((Missions!$F$6:$F$26="Spark Ads")*(Missions!$A$6:$A$26="Platinum")*(Missions!$D$6:$D$26&lt;&gt;"One-time")*'Affiliate Projection'!E14*Missions!$E$6:$E$26*Missions!$J$6:$J$26)+SUMPRODUCT((Missions!$F$6:$F$26="Spark Ads")*(Missions!$A$6:$A$26="Diamond")*(Missions!$D$6:$D$26="One-time")*'Affiliate Projection'!E24*Missions!$E$6:$E$26*Missions!$J$6:$J$26)+SUMPRODUCT((Missions!$F$6:$F$26="Spark Ads")*(Missions!$A$6:$A$26="Diamond")*(Missions!$D$6:$D$26&lt;&gt;"One-time")*'Affiliate Projection'!E15*Missions!$E$6:$E$26*Missions!$J$6:$J$26)</f>
        <v/>
      </c>
      <c r="F20" s="14">
        <f>SUMPRODUCT((Missions!$F$6:$F$26="Spark Ads")*(Missions!$A$6:$A$26="Bronze")*(Missions!$D$6:$D$26="One-time")*'Affiliate Projection'!F20*Missions!$E$6:$E$26*Missions!$J$6:$J$26)+SUMPRODUCT((Missions!$F$6:$F$26="Spark Ads")*(Missions!$A$6:$A$26="Bronze")*(Missions!$D$6:$D$26&lt;&gt;"One-time")*'Affiliate Projection'!F11*Missions!$E$6:$E$26*Missions!$J$6:$J$26)+SUMPRODUCT((Missions!$F$6:$F$26="Spark Ads")*(Missions!$A$6:$A$26="Silver")*(Missions!$D$6:$D$26="One-time")*'Affiliate Projection'!F21*Missions!$E$6:$E$26*Missions!$J$6:$J$26)+SUMPRODUCT((Missions!$F$6:$F$26="Spark Ads")*(Missions!$A$6:$A$26="Silver")*(Missions!$D$6:$D$26&lt;&gt;"One-time")*'Affiliate Projection'!F12*Missions!$E$6:$E$26*Missions!$J$6:$J$26)+SUMPRODUCT((Missions!$F$6:$F$26="Spark Ads")*(Missions!$A$6:$A$26="Gold")*(Missions!$D$6:$D$26="One-time")*'Affiliate Projection'!F22*Missions!$E$6:$E$26*Missions!$J$6:$J$26)+SUMPRODUCT((Missions!$F$6:$F$26="Spark Ads")*(Missions!$A$6:$A$26="Gold")*(Missions!$D$6:$D$26&lt;&gt;"One-time")*'Affiliate Projection'!F13*Missions!$E$6:$E$26*Missions!$J$6:$J$26)+SUMPRODUCT((Missions!$F$6:$F$26="Spark Ads")*(Missions!$A$6:$A$26="Platinum")*(Missions!$D$6:$D$26="One-time")*'Affiliate Projection'!F23*Missions!$E$6:$E$26*Missions!$J$6:$J$26)+SUMPRODUCT((Missions!$F$6:$F$26="Spark Ads")*(Missions!$A$6:$A$26="Platinum")*(Missions!$D$6:$D$26&lt;&gt;"One-time")*'Affiliate Projection'!F14*Missions!$E$6:$E$26*Missions!$J$6:$J$26)+SUMPRODUCT((Missions!$F$6:$F$26="Spark Ads")*(Missions!$A$6:$A$26="Diamond")*(Missions!$D$6:$D$26="One-time")*'Affiliate Projection'!F24*Missions!$E$6:$E$26*Missions!$J$6:$J$26)+SUMPRODUCT((Missions!$F$6:$F$26="Spark Ads")*(Missions!$A$6:$A$26="Diamond")*(Missions!$D$6:$D$26&lt;&gt;"One-time")*'Affiliate Projection'!F15*Missions!$E$6:$E$26*Missions!$J$6:$J$26)</f>
        <v/>
      </c>
      <c r="G20" s="14">
        <f>SUMPRODUCT((Missions!$F$6:$F$26="Spark Ads")*(Missions!$A$6:$A$26="Bronze")*(Missions!$D$6:$D$26="One-time")*'Affiliate Projection'!G20*Missions!$E$6:$E$26*Missions!$J$6:$J$26)+SUMPRODUCT((Missions!$F$6:$F$26="Spark Ads")*(Missions!$A$6:$A$26="Bronze")*(Missions!$D$6:$D$26&lt;&gt;"One-time")*'Affiliate Projection'!G11*Missions!$E$6:$E$26*Missions!$J$6:$J$26)+SUMPRODUCT((Missions!$F$6:$F$26="Spark Ads")*(Missions!$A$6:$A$26="Silver")*(Missions!$D$6:$D$26="One-time")*'Affiliate Projection'!G21*Missions!$E$6:$E$26*Missions!$J$6:$J$26)+SUMPRODUCT((Missions!$F$6:$F$26="Spark Ads")*(Missions!$A$6:$A$26="Silver")*(Missions!$D$6:$D$26&lt;&gt;"One-time")*'Affiliate Projection'!G12*Missions!$E$6:$E$26*Missions!$J$6:$J$26)+SUMPRODUCT((Missions!$F$6:$F$26="Spark Ads")*(Missions!$A$6:$A$26="Gold")*(Missions!$D$6:$D$26="One-time")*'Affiliate Projection'!G22*Missions!$E$6:$E$26*Missions!$J$6:$J$26)+SUMPRODUCT((Missions!$F$6:$F$26="Spark Ads")*(Missions!$A$6:$A$26="Gold")*(Missions!$D$6:$D$26&lt;&gt;"One-time")*'Affiliate Projection'!G13*Missions!$E$6:$E$26*Missions!$J$6:$J$26)+SUMPRODUCT((Missions!$F$6:$F$26="Spark Ads")*(Missions!$A$6:$A$26="Platinum")*(Missions!$D$6:$D$26="One-time")*'Affiliate Projection'!G23*Missions!$E$6:$E$26*Missions!$J$6:$J$26)+SUMPRODUCT((Missions!$F$6:$F$26="Spark Ads")*(Missions!$A$6:$A$26="Platinum")*(Missions!$D$6:$D$26&lt;&gt;"One-time")*'Affiliate Projection'!G14*Missions!$E$6:$E$26*Missions!$J$6:$J$26)+SUMPRODUCT((Missions!$F$6:$F$26="Spark Ads")*(Missions!$A$6:$A$26="Diamond")*(Missions!$D$6:$D$26="One-time")*'Affiliate Projection'!G24*Missions!$E$6:$E$26*Missions!$J$6:$J$26)+SUMPRODUCT((Missions!$F$6:$F$26="Spark Ads")*(Missions!$A$6:$A$26="Diamond")*(Missions!$D$6:$D$26&lt;&gt;"One-time")*'Affiliate Projection'!G15*Missions!$E$6:$E$26*Missions!$J$6:$J$26)</f>
        <v/>
      </c>
      <c r="H20" s="14">
        <f>SUMPRODUCT((Missions!$F$6:$F$26="Spark Ads")*(Missions!$A$6:$A$26="Bronze")*(Missions!$D$6:$D$26="One-time")*'Affiliate Projection'!H20*Missions!$E$6:$E$26*Missions!$J$6:$J$26)+SUMPRODUCT((Missions!$F$6:$F$26="Spark Ads")*(Missions!$A$6:$A$26="Bronze")*(Missions!$D$6:$D$26&lt;&gt;"One-time")*'Affiliate Projection'!H11*Missions!$E$6:$E$26*Missions!$J$6:$J$26)+SUMPRODUCT((Missions!$F$6:$F$26="Spark Ads")*(Missions!$A$6:$A$26="Silver")*(Missions!$D$6:$D$26="One-time")*'Affiliate Projection'!H21*Missions!$E$6:$E$26*Missions!$J$6:$J$26)+SUMPRODUCT((Missions!$F$6:$F$26="Spark Ads")*(Missions!$A$6:$A$26="Silver")*(Missions!$D$6:$D$26&lt;&gt;"One-time")*'Affiliate Projection'!H12*Missions!$E$6:$E$26*Missions!$J$6:$J$26)+SUMPRODUCT((Missions!$F$6:$F$26="Spark Ads")*(Missions!$A$6:$A$26="Gold")*(Missions!$D$6:$D$26="One-time")*'Affiliate Projection'!H22*Missions!$E$6:$E$26*Missions!$J$6:$J$26)+SUMPRODUCT((Missions!$F$6:$F$26="Spark Ads")*(Missions!$A$6:$A$26="Gold")*(Missions!$D$6:$D$26&lt;&gt;"One-time")*'Affiliate Projection'!H13*Missions!$E$6:$E$26*Missions!$J$6:$J$26)+SUMPRODUCT((Missions!$F$6:$F$26="Spark Ads")*(Missions!$A$6:$A$26="Platinum")*(Missions!$D$6:$D$26="One-time")*'Affiliate Projection'!H23*Missions!$E$6:$E$26*Missions!$J$6:$J$26)+SUMPRODUCT((Missions!$F$6:$F$26="Spark Ads")*(Missions!$A$6:$A$26="Platinum")*(Missions!$D$6:$D$26&lt;&gt;"One-time")*'Affiliate Projection'!H14*Missions!$E$6:$E$26*Missions!$J$6:$J$26)+SUMPRODUCT((Missions!$F$6:$F$26="Spark Ads")*(Missions!$A$6:$A$26="Diamond")*(Missions!$D$6:$D$26="One-time")*'Affiliate Projection'!H24*Missions!$E$6:$E$26*Missions!$J$6:$J$26)+SUMPRODUCT((Missions!$F$6:$F$26="Spark Ads")*(Missions!$A$6:$A$26="Diamond")*(Missions!$D$6:$D$26&lt;&gt;"One-time")*'Affiliate Projection'!H15*Missions!$E$6:$E$26*Missions!$J$6:$J$26)</f>
        <v/>
      </c>
      <c r="I20" s="14">
        <f>SUMPRODUCT((Missions!$F$6:$F$26="Spark Ads")*(Missions!$A$6:$A$26="Bronze")*(Missions!$D$6:$D$26="One-time")*'Affiliate Projection'!I20*Missions!$E$6:$E$26*Missions!$J$6:$J$26)+SUMPRODUCT((Missions!$F$6:$F$26="Spark Ads")*(Missions!$A$6:$A$26="Bronze")*(Missions!$D$6:$D$26&lt;&gt;"One-time")*'Affiliate Projection'!I11*Missions!$E$6:$E$26*Missions!$J$6:$J$26)+SUMPRODUCT((Missions!$F$6:$F$26="Spark Ads")*(Missions!$A$6:$A$26="Silver")*(Missions!$D$6:$D$26="One-time")*'Affiliate Projection'!I21*Missions!$E$6:$E$26*Missions!$J$6:$J$26)+SUMPRODUCT((Missions!$F$6:$F$26="Spark Ads")*(Missions!$A$6:$A$26="Silver")*(Missions!$D$6:$D$26&lt;&gt;"One-time")*'Affiliate Projection'!I12*Missions!$E$6:$E$26*Missions!$J$6:$J$26)+SUMPRODUCT((Missions!$F$6:$F$26="Spark Ads")*(Missions!$A$6:$A$26="Gold")*(Missions!$D$6:$D$26="One-time")*'Affiliate Projection'!I22*Missions!$E$6:$E$26*Missions!$J$6:$J$26)+SUMPRODUCT((Missions!$F$6:$F$26="Spark Ads")*(Missions!$A$6:$A$26="Gold")*(Missions!$D$6:$D$26&lt;&gt;"One-time")*'Affiliate Projection'!I13*Missions!$E$6:$E$26*Missions!$J$6:$J$26)+SUMPRODUCT((Missions!$F$6:$F$26="Spark Ads")*(Missions!$A$6:$A$26="Platinum")*(Missions!$D$6:$D$26="One-time")*'Affiliate Projection'!I23*Missions!$E$6:$E$26*Missions!$J$6:$J$26)+SUMPRODUCT((Missions!$F$6:$F$26="Spark Ads")*(Missions!$A$6:$A$26="Platinum")*(Missions!$D$6:$D$26&lt;&gt;"One-time")*'Affiliate Projection'!I14*Missions!$E$6:$E$26*Missions!$J$6:$J$26)+SUMPRODUCT((Missions!$F$6:$F$26="Spark Ads")*(Missions!$A$6:$A$26="Diamond")*(Missions!$D$6:$D$26="One-time")*'Affiliate Projection'!I24*Missions!$E$6:$E$26*Missions!$J$6:$J$26)+SUMPRODUCT((Missions!$F$6:$F$26="Spark Ads")*(Missions!$A$6:$A$26="Diamond")*(Missions!$D$6:$D$26&lt;&gt;"One-time")*'Affiliate Projection'!I15*Missions!$E$6:$E$26*Missions!$J$6:$J$26)</f>
        <v/>
      </c>
      <c r="J20" s="14">
        <f>SUMPRODUCT((Missions!$F$6:$F$26="Spark Ads")*(Missions!$A$6:$A$26="Bronze")*(Missions!$D$6:$D$26="One-time")*'Affiliate Projection'!J20*Missions!$E$6:$E$26*Missions!$J$6:$J$26)+SUMPRODUCT((Missions!$F$6:$F$26="Spark Ads")*(Missions!$A$6:$A$26="Bronze")*(Missions!$D$6:$D$26&lt;&gt;"One-time")*'Affiliate Projection'!J11*Missions!$E$6:$E$26*Missions!$J$6:$J$26)+SUMPRODUCT((Missions!$F$6:$F$26="Spark Ads")*(Missions!$A$6:$A$26="Silver")*(Missions!$D$6:$D$26="One-time")*'Affiliate Projection'!J21*Missions!$E$6:$E$26*Missions!$J$6:$J$26)+SUMPRODUCT((Missions!$F$6:$F$26="Spark Ads")*(Missions!$A$6:$A$26="Silver")*(Missions!$D$6:$D$26&lt;&gt;"One-time")*'Affiliate Projection'!J12*Missions!$E$6:$E$26*Missions!$J$6:$J$26)+SUMPRODUCT((Missions!$F$6:$F$26="Spark Ads")*(Missions!$A$6:$A$26="Gold")*(Missions!$D$6:$D$26="One-time")*'Affiliate Projection'!J22*Missions!$E$6:$E$26*Missions!$J$6:$J$26)+SUMPRODUCT((Missions!$F$6:$F$26="Spark Ads")*(Missions!$A$6:$A$26="Gold")*(Missions!$D$6:$D$26&lt;&gt;"One-time")*'Affiliate Projection'!J13*Missions!$E$6:$E$26*Missions!$J$6:$J$26)+SUMPRODUCT((Missions!$F$6:$F$26="Spark Ads")*(Missions!$A$6:$A$26="Platinum")*(Missions!$D$6:$D$26="One-time")*'Affiliate Projection'!J23*Missions!$E$6:$E$26*Missions!$J$6:$J$26)+SUMPRODUCT((Missions!$F$6:$F$26="Spark Ads")*(Missions!$A$6:$A$26="Platinum")*(Missions!$D$6:$D$26&lt;&gt;"One-time")*'Affiliate Projection'!J14*Missions!$E$6:$E$26*Missions!$J$6:$J$26)+SUMPRODUCT((Missions!$F$6:$F$26="Spark Ads")*(Missions!$A$6:$A$26="Diamond")*(Missions!$D$6:$D$26="One-time")*'Affiliate Projection'!J24*Missions!$E$6:$E$26*Missions!$J$6:$J$26)+SUMPRODUCT((Missions!$F$6:$F$26="Spark Ads")*(Missions!$A$6:$A$26="Diamond")*(Missions!$D$6:$D$26&lt;&gt;"One-time")*'Affiliate Projection'!J15*Missions!$E$6:$E$26*Missions!$J$6:$J$26)</f>
        <v/>
      </c>
      <c r="K20" s="14">
        <f>SUMPRODUCT((Missions!$F$6:$F$26="Spark Ads")*(Missions!$A$6:$A$26="Bronze")*(Missions!$D$6:$D$26="One-time")*'Affiliate Projection'!K20*Missions!$E$6:$E$26*Missions!$J$6:$J$26)+SUMPRODUCT((Missions!$F$6:$F$26="Spark Ads")*(Missions!$A$6:$A$26="Bronze")*(Missions!$D$6:$D$26&lt;&gt;"One-time")*'Affiliate Projection'!K11*Missions!$E$6:$E$26*Missions!$J$6:$J$26)+SUMPRODUCT((Missions!$F$6:$F$26="Spark Ads")*(Missions!$A$6:$A$26="Silver")*(Missions!$D$6:$D$26="One-time")*'Affiliate Projection'!K21*Missions!$E$6:$E$26*Missions!$J$6:$J$26)+SUMPRODUCT((Missions!$F$6:$F$26="Spark Ads")*(Missions!$A$6:$A$26="Silver")*(Missions!$D$6:$D$26&lt;&gt;"One-time")*'Affiliate Projection'!K12*Missions!$E$6:$E$26*Missions!$J$6:$J$26)+SUMPRODUCT((Missions!$F$6:$F$26="Spark Ads")*(Missions!$A$6:$A$26="Gold")*(Missions!$D$6:$D$26="One-time")*'Affiliate Projection'!K22*Missions!$E$6:$E$26*Missions!$J$6:$J$26)+SUMPRODUCT((Missions!$F$6:$F$26="Spark Ads")*(Missions!$A$6:$A$26="Gold")*(Missions!$D$6:$D$26&lt;&gt;"One-time")*'Affiliate Projection'!K13*Missions!$E$6:$E$26*Missions!$J$6:$J$26)+SUMPRODUCT((Missions!$F$6:$F$26="Spark Ads")*(Missions!$A$6:$A$26="Platinum")*(Missions!$D$6:$D$26="One-time")*'Affiliate Projection'!K23*Missions!$E$6:$E$26*Missions!$J$6:$J$26)+SUMPRODUCT((Missions!$F$6:$F$26="Spark Ads")*(Missions!$A$6:$A$26="Platinum")*(Missions!$D$6:$D$26&lt;&gt;"One-time")*'Affiliate Projection'!K14*Missions!$E$6:$E$26*Missions!$J$6:$J$26)+SUMPRODUCT((Missions!$F$6:$F$26="Spark Ads")*(Missions!$A$6:$A$26="Diamond")*(Missions!$D$6:$D$26="One-time")*'Affiliate Projection'!K24*Missions!$E$6:$E$26*Missions!$J$6:$J$26)+SUMPRODUCT((Missions!$F$6:$F$26="Spark Ads")*(Missions!$A$6:$A$26="Diamond")*(Missions!$D$6:$D$26&lt;&gt;"One-time")*'Affiliate Projection'!K15*Missions!$E$6:$E$26*Missions!$J$6:$J$26)</f>
        <v/>
      </c>
      <c r="L20" s="14">
        <f>SUMPRODUCT((Missions!$F$6:$F$26="Spark Ads")*(Missions!$A$6:$A$26="Bronze")*(Missions!$D$6:$D$26="One-time")*'Affiliate Projection'!L20*Missions!$E$6:$E$26*Missions!$J$6:$J$26)+SUMPRODUCT((Missions!$F$6:$F$26="Spark Ads")*(Missions!$A$6:$A$26="Bronze")*(Missions!$D$6:$D$26&lt;&gt;"One-time")*'Affiliate Projection'!L11*Missions!$E$6:$E$26*Missions!$J$6:$J$26)+SUMPRODUCT((Missions!$F$6:$F$26="Spark Ads")*(Missions!$A$6:$A$26="Silver")*(Missions!$D$6:$D$26="One-time")*'Affiliate Projection'!L21*Missions!$E$6:$E$26*Missions!$J$6:$J$26)+SUMPRODUCT((Missions!$F$6:$F$26="Spark Ads")*(Missions!$A$6:$A$26="Silver")*(Missions!$D$6:$D$26&lt;&gt;"One-time")*'Affiliate Projection'!L12*Missions!$E$6:$E$26*Missions!$J$6:$J$26)+SUMPRODUCT((Missions!$F$6:$F$26="Spark Ads")*(Missions!$A$6:$A$26="Gold")*(Missions!$D$6:$D$26="One-time")*'Affiliate Projection'!L22*Missions!$E$6:$E$26*Missions!$J$6:$J$26)+SUMPRODUCT((Missions!$F$6:$F$26="Spark Ads")*(Missions!$A$6:$A$26="Gold")*(Missions!$D$6:$D$26&lt;&gt;"One-time")*'Affiliate Projection'!L13*Missions!$E$6:$E$26*Missions!$J$6:$J$26)+SUMPRODUCT((Missions!$F$6:$F$26="Spark Ads")*(Missions!$A$6:$A$26="Platinum")*(Missions!$D$6:$D$26="One-time")*'Affiliate Projection'!L23*Missions!$E$6:$E$26*Missions!$J$6:$J$26)+SUMPRODUCT((Missions!$F$6:$F$26="Spark Ads")*(Missions!$A$6:$A$26="Platinum")*(Missions!$D$6:$D$26&lt;&gt;"One-time")*'Affiliate Projection'!L14*Missions!$E$6:$E$26*Missions!$J$6:$J$26)+SUMPRODUCT((Missions!$F$6:$F$26="Spark Ads")*(Missions!$A$6:$A$26="Diamond")*(Missions!$D$6:$D$26="One-time")*'Affiliate Projection'!L24*Missions!$E$6:$E$26*Missions!$J$6:$J$26)+SUMPRODUCT((Missions!$F$6:$F$26="Spark Ads")*(Missions!$A$6:$A$26="Diamond")*(Missions!$D$6:$D$26&lt;&gt;"One-time")*'Affiliate Projection'!L15*Missions!$E$6:$E$26*Missions!$J$6:$J$26)</f>
        <v/>
      </c>
      <c r="M20" s="14">
        <f>SUMPRODUCT((Missions!$F$6:$F$26="Spark Ads")*(Missions!$A$6:$A$26="Bronze")*(Missions!$D$6:$D$26="One-time")*'Affiliate Projection'!M20*Missions!$E$6:$E$26*Missions!$J$6:$J$26)+SUMPRODUCT((Missions!$F$6:$F$26="Spark Ads")*(Missions!$A$6:$A$26="Bronze")*(Missions!$D$6:$D$26&lt;&gt;"One-time")*'Affiliate Projection'!M11*Missions!$E$6:$E$26*Missions!$J$6:$J$26)+SUMPRODUCT((Missions!$F$6:$F$26="Spark Ads")*(Missions!$A$6:$A$26="Silver")*(Missions!$D$6:$D$26="One-time")*'Affiliate Projection'!M21*Missions!$E$6:$E$26*Missions!$J$6:$J$26)+SUMPRODUCT((Missions!$F$6:$F$26="Spark Ads")*(Missions!$A$6:$A$26="Silver")*(Missions!$D$6:$D$26&lt;&gt;"One-time")*'Affiliate Projection'!M12*Missions!$E$6:$E$26*Missions!$J$6:$J$26)+SUMPRODUCT((Missions!$F$6:$F$26="Spark Ads")*(Missions!$A$6:$A$26="Gold")*(Missions!$D$6:$D$26="One-time")*'Affiliate Projection'!M22*Missions!$E$6:$E$26*Missions!$J$6:$J$26)+SUMPRODUCT((Missions!$F$6:$F$26="Spark Ads")*(Missions!$A$6:$A$26="Gold")*(Missions!$D$6:$D$26&lt;&gt;"One-time")*'Affiliate Projection'!M13*Missions!$E$6:$E$26*Missions!$J$6:$J$26)+SUMPRODUCT((Missions!$F$6:$F$26="Spark Ads")*(Missions!$A$6:$A$26="Platinum")*(Missions!$D$6:$D$26="One-time")*'Affiliate Projection'!M23*Missions!$E$6:$E$26*Missions!$J$6:$J$26)+SUMPRODUCT((Missions!$F$6:$F$26="Spark Ads")*(Missions!$A$6:$A$26="Platinum")*(Missions!$D$6:$D$26&lt;&gt;"One-time")*'Affiliate Projection'!M14*Missions!$E$6:$E$26*Missions!$J$6:$J$26)+SUMPRODUCT((Missions!$F$6:$F$26="Spark Ads")*(Missions!$A$6:$A$26="Diamond")*(Missions!$D$6:$D$26="One-time")*'Affiliate Projection'!M24*Missions!$E$6:$E$26*Missions!$J$6:$J$26)+SUMPRODUCT((Missions!$F$6:$F$26="Spark Ads")*(Missions!$A$6:$A$26="Diamond")*(Missions!$D$6:$D$26&lt;&gt;"One-time")*'Affiliate Projection'!M15*Missions!$E$6:$E$26*Missions!$J$6:$J$26)</f>
        <v/>
      </c>
    </row>
    <row r="21">
      <c r="A21" s="13" t="inlineStr">
        <is>
          <t>Physical Gift Cost</t>
        </is>
      </c>
      <c r="B21" s="14">
        <f>'Affiliate Projection'!B20*'VIP Levels'!$L$14*'VIP Levels'!$M$14+'Affiliate Projection'!B21*'VIP Levels'!$L$15*'VIP Levels'!$M$15+'Affiliate Projection'!B22*'VIP Levels'!$L$16*'VIP Levels'!$M$16+'Affiliate Projection'!B23*'VIP Levels'!$L$17*'VIP Levels'!$M$17+'Affiliate Projection'!B24*'VIP Levels'!$L$18*'VIP Levels'!$M$18</f>
        <v/>
      </c>
      <c r="C21" s="14">
        <f>'Affiliate Projection'!C20*'VIP Levels'!$L$14*'VIP Levels'!$M$14+'Affiliate Projection'!C21*'VIP Levels'!$L$15*'VIP Levels'!$M$15+'Affiliate Projection'!C22*'VIP Levels'!$L$16*'VIP Levels'!$M$16+'Affiliate Projection'!C23*'VIP Levels'!$L$17*'VIP Levels'!$M$17+'Affiliate Projection'!C24*'VIP Levels'!$L$18*'VIP Levels'!$M$18</f>
        <v/>
      </c>
      <c r="D21" s="14">
        <f>'Affiliate Projection'!D20*'VIP Levels'!$L$14*'VIP Levels'!$M$14+'Affiliate Projection'!D21*'VIP Levels'!$L$15*'VIP Levels'!$M$15+'Affiliate Projection'!D22*'VIP Levels'!$L$16*'VIP Levels'!$M$16+'Affiliate Projection'!D23*'VIP Levels'!$L$17*'VIP Levels'!$M$17+'Affiliate Projection'!D24*'VIP Levels'!$L$18*'VIP Levels'!$M$18</f>
        <v/>
      </c>
      <c r="E21" s="14">
        <f>'Affiliate Projection'!E20*'VIP Levels'!$L$14*'VIP Levels'!$M$14+'Affiliate Projection'!E21*'VIP Levels'!$L$15*'VIP Levels'!$M$15+'Affiliate Projection'!E22*'VIP Levels'!$L$16*'VIP Levels'!$M$16+'Affiliate Projection'!E23*'VIP Levels'!$L$17*'VIP Levels'!$M$17+'Affiliate Projection'!E24*'VIP Levels'!$L$18*'VIP Levels'!$M$18</f>
        <v/>
      </c>
      <c r="F21" s="14">
        <f>'Affiliate Projection'!F20*'VIP Levels'!$L$14*'VIP Levels'!$M$14+'Affiliate Projection'!F21*'VIP Levels'!$L$15*'VIP Levels'!$M$15+'Affiliate Projection'!F22*'VIP Levels'!$L$16*'VIP Levels'!$M$16+'Affiliate Projection'!F23*'VIP Levels'!$L$17*'VIP Levels'!$M$17+'Affiliate Projection'!F24*'VIP Levels'!$L$18*'VIP Levels'!$M$18</f>
        <v/>
      </c>
      <c r="G21" s="14">
        <f>'Affiliate Projection'!G20*'VIP Levels'!$L$14*'VIP Levels'!$M$14+'Affiliate Projection'!G21*'VIP Levels'!$L$15*'VIP Levels'!$M$15+'Affiliate Projection'!G22*'VIP Levels'!$L$16*'VIP Levels'!$M$16+'Affiliate Projection'!G23*'VIP Levels'!$L$17*'VIP Levels'!$M$17+'Affiliate Projection'!G24*'VIP Levels'!$L$18*'VIP Levels'!$M$18</f>
        <v/>
      </c>
      <c r="H21" s="14">
        <f>'Affiliate Projection'!H20*'VIP Levels'!$L$14*'VIP Levels'!$M$14+'Affiliate Projection'!H21*'VIP Levels'!$L$15*'VIP Levels'!$M$15+'Affiliate Projection'!H22*'VIP Levels'!$L$16*'VIP Levels'!$M$16+'Affiliate Projection'!H23*'VIP Levels'!$L$17*'VIP Levels'!$M$17+'Affiliate Projection'!H24*'VIP Levels'!$L$18*'VIP Levels'!$M$18</f>
        <v/>
      </c>
      <c r="I21" s="14">
        <f>'Affiliate Projection'!I20*'VIP Levels'!$L$14*'VIP Levels'!$M$14+'Affiliate Projection'!I21*'VIP Levels'!$L$15*'VIP Levels'!$M$15+'Affiliate Projection'!I22*'VIP Levels'!$L$16*'VIP Levels'!$M$16+'Affiliate Projection'!I23*'VIP Levels'!$L$17*'VIP Levels'!$M$17+'Affiliate Projection'!I24*'VIP Levels'!$L$18*'VIP Levels'!$M$18</f>
        <v/>
      </c>
      <c r="J21" s="14">
        <f>'Affiliate Projection'!J20*'VIP Levels'!$L$14*'VIP Levels'!$M$14+'Affiliate Projection'!J21*'VIP Levels'!$L$15*'VIP Levels'!$M$15+'Affiliate Projection'!J22*'VIP Levels'!$L$16*'VIP Levels'!$M$16+'Affiliate Projection'!J23*'VIP Levels'!$L$17*'VIP Levels'!$M$17+'Affiliate Projection'!J24*'VIP Levels'!$L$18*'VIP Levels'!$M$18</f>
        <v/>
      </c>
      <c r="K21" s="14">
        <f>'Affiliate Projection'!K20*'VIP Levels'!$L$14*'VIP Levels'!$M$14+'Affiliate Projection'!K21*'VIP Levels'!$L$15*'VIP Levels'!$M$15+'Affiliate Projection'!K22*'VIP Levels'!$L$16*'VIP Levels'!$M$16+'Affiliate Projection'!K23*'VIP Levels'!$L$17*'VIP Levels'!$M$17+'Affiliate Projection'!K24*'VIP Levels'!$L$18*'VIP Levels'!$M$18</f>
        <v/>
      </c>
      <c r="L21" s="14">
        <f>'Affiliate Projection'!L20*'VIP Levels'!$L$14*'VIP Levels'!$M$14+'Affiliate Projection'!L21*'VIP Levels'!$L$15*'VIP Levels'!$M$15+'Affiliate Projection'!L22*'VIP Levels'!$L$16*'VIP Levels'!$M$16+'Affiliate Projection'!L23*'VIP Levels'!$L$17*'VIP Levels'!$M$17+'Affiliate Projection'!L24*'VIP Levels'!$L$18*'VIP Levels'!$M$18</f>
        <v/>
      </c>
      <c r="M21" s="14">
        <f>'Affiliate Projection'!M20*'VIP Levels'!$L$14*'VIP Levels'!$M$14+'Affiliate Projection'!M21*'VIP Levels'!$L$15*'VIP Levels'!$M$15+'Affiliate Projection'!M22*'VIP Levels'!$L$16*'VIP Levels'!$M$16+'Affiliate Projection'!M23*'VIP Levels'!$L$17*'VIP Levels'!$M$17+'Affiliate Projection'!M24*'VIP Levels'!$L$18*'VIP Levels'!$M$18</f>
        <v/>
      </c>
    </row>
    <row r="22">
      <c r="A22" s="13" t="inlineStr">
        <is>
          <t>Experience Cost</t>
        </is>
      </c>
      <c r="B22" s="14">
        <f>'Affiliate Projection'!B20*'VIP Levels'!$N$14*'VIP Levels'!$O$14+'Affiliate Projection'!B21*'VIP Levels'!$N$15*'VIP Levels'!$O$15+'Affiliate Projection'!B22*'VIP Levels'!$N$16*'VIP Levels'!$O$16+'Affiliate Projection'!B23*'VIP Levels'!$N$17*'VIP Levels'!$O$17+'Affiliate Projection'!B24*'VIP Levels'!$N$18*'VIP Levels'!$O$18</f>
        <v/>
      </c>
      <c r="C22" s="14">
        <f>'Affiliate Projection'!C20*'VIP Levels'!$N$14*'VIP Levels'!$O$14+'Affiliate Projection'!C21*'VIP Levels'!$N$15*'VIP Levels'!$O$15+'Affiliate Projection'!C22*'VIP Levels'!$N$16*'VIP Levels'!$O$16+'Affiliate Projection'!C23*'VIP Levels'!$N$17*'VIP Levels'!$O$17+'Affiliate Projection'!C24*'VIP Levels'!$N$18*'VIP Levels'!$O$18</f>
        <v/>
      </c>
      <c r="D22" s="14">
        <f>'Affiliate Projection'!D20*'VIP Levels'!$N$14*'VIP Levels'!$O$14+'Affiliate Projection'!D21*'VIP Levels'!$N$15*'VIP Levels'!$O$15+'Affiliate Projection'!D22*'VIP Levels'!$N$16*'VIP Levels'!$O$16+'Affiliate Projection'!D23*'VIP Levels'!$N$17*'VIP Levels'!$O$17+'Affiliate Projection'!D24*'VIP Levels'!$N$18*'VIP Levels'!$O$18</f>
        <v/>
      </c>
      <c r="E22" s="14">
        <f>'Affiliate Projection'!E20*'VIP Levels'!$N$14*'VIP Levels'!$O$14+'Affiliate Projection'!E21*'VIP Levels'!$N$15*'VIP Levels'!$O$15+'Affiliate Projection'!E22*'VIP Levels'!$N$16*'VIP Levels'!$O$16+'Affiliate Projection'!E23*'VIP Levels'!$N$17*'VIP Levels'!$O$17+'Affiliate Projection'!E24*'VIP Levels'!$N$18*'VIP Levels'!$O$18</f>
        <v/>
      </c>
      <c r="F22" s="14">
        <f>'Affiliate Projection'!F20*'VIP Levels'!$N$14*'VIP Levels'!$O$14+'Affiliate Projection'!F21*'VIP Levels'!$N$15*'VIP Levels'!$O$15+'Affiliate Projection'!F22*'VIP Levels'!$N$16*'VIP Levels'!$O$16+'Affiliate Projection'!F23*'VIP Levels'!$N$17*'VIP Levels'!$O$17+'Affiliate Projection'!F24*'VIP Levels'!$N$18*'VIP Levels'!$O$18</f>
        <v/>
      </c>
      <c r="G22" s="14">
        <f>'Affiliate Projection'!G20*'VIP Levels'!$N$14*'VIP Levels'!$O$14+'Affiliate Projection'!G21*'VIP Levels'!$N$15*'VIP Levels'!$O$15+'Affiliate Projection'!G22*'VIP Levels'!$N$16*'VIP Levels'!$O$16+'Affiliate Projection'!G23*'VIP Levels'!$N$17*'VIP Levels'!$O$17+'Affiliate Projection'!G24*'VIP Levels'!$N$18*'VIP Levels'!$O$18</f>
        <v/>
      </c>
      <c r="H22" s="14">
        <f>'Affiliate Projection'!H20*'VIP Levels'!$N$14*'VIP Levels'!$O$14+'Affiliate Projection'!H21*'VIP Levels'!$N$15*'VIP Levels'!$O$15+'Affiliate Projection'!H22*'VIP Levels'!$N$16*'VIP Levels'!$O$16+'Affiliate Projection'!H23*'VIP Levels'!$N$17*'VIP Levels'!$O$17+'Affiliate Projection'!H24*'VIP Levels'!$N$18*'VIP Levels'!$O$18</f>
        <v/>
      </c>
      <c r="I22" s="14">
        <f>'Affiliate Projection'!I20*'VIP Levels'!$N$14*'VIP Levels'!$O$14+'Affiliate Projection'!I21*'VIP Levels'!$N$15*'VIP Levels'!$O$15+'Affiliate Projection'!I22*'VIP Levels'!$N$16*'VIP Levels'!$O$16+'Affiliate Projection'!I23*'VIP Levels'!$N$17*'VIP Levels'!$O$17+'Affiliate Projection'!I24*'VIP Levels'!$N$18*'VIP Levels'!$O$18</f>
        <v/>
      </c>
      <c r="J22" s="14">
        <f>'Affiliate Projection'!J20*'VIP Levels'!$N$14*'VIP Levels'!$O$14+'Affiliate Projection'!J21*'VIP Levels'!$N$15*'VIP Levels'!$O$15+'Affiliate Projection'!J22*'VIP Levels'!$N$16*'VIP Levels'!$O$16+'Affiliate Projection'!J23*'VIP Levels'!$N$17*'VIP Levels'!$O$17+'Affiliate Projection'!J24*'VIP Levels'!$N$18*'VIP Levels'!$O$18</f>
        <v/>
      </c>
      <c r="K22" s="14">
        <f>'Affiliate Projection'!K20*'VIP Levels'!$N$14*'VIP Levels'!$O$14+'Affiliate Projection'!K21*'VIP Levels'!$N$15*'VIP Levels'!$O$15+'Affiliate Projection'!K22*'VIP Levels'!$N$16*'VIP Levels'!$O$16+'Affiliate Projection'!K23*'VIP Levels'!$N$17*'VIP Levels'!$O$17+'Affiliate Projection'!K24*'VIP Levels'!$N$18*'VIP Levels'!$O$18</f>
        <v/>
      </c>
      <c r="L22" s="14">
        <f>'Affiliate Projection'!L20*'VIP Levels'!$N$14*'VIP Levels'!$O$14+'Affiliate Projection'!L21*'VIP Levels'!$N$15*'VIP Levels'!$O$15+'Affiliate Projection'!L22*'VIP Levels'!$N$16*'VIP Levels'!$O$16+'Affiliate Projection'!L23*'VIP Levels'!$N$17*'VIP Levels'!$O$17+'Affiliate Projection'!L24*'VIP Levels'!$N$18*'VIP Levels'!$O$18</f>
        <v/>
      </c>
      <c r="M22" s="14">
        <f>'Affiliate Projection'!M20*'VIP Levels'!$N$14*'VIP Levels'!$O$14+'Affiliate Projection'!M21*'VIP Levels'!$N$15*'VIP Levels'!$O$15+'Affiliate Projection'!M22*'VIP Levels'!$N$16*'VIP Levels'!$O$16+'Affiliate Projection'!M23*'VIP Levels'!$N$17*'VIP Levels'!$O$17+'Affiliate Projection'!M24*'VIP Levels'!$N$18*'VIP Levels'!$O$18</f>
        <v/>
      </c>
    </row>
    <row r="23">
      <c r="A23" s="13" t="inlineStr">
        <is>
          <t>Sample Cost</t>
        </is>
      </c>
      <c r="B23" s="14">
        <f>'Affiliate Projection'!B4*Inputs!$B$21</f>
        <v/>
      </c>
      <c r="C23" s="14">
        <f>'Affiliate Projection'!C4*Inputs!$B$21</f>
        <v/>
      </c>
      <c r="D23" s="14">
        <f>'Affiliate Projection'!D4*Inputs!$B$21</f>
        <v/>
      </c>
      <c r="E23" s="14">
        <f>'Affiliate Projection'!E4*Inputs!$B$21</f>
        <v/>
      </c>
      <c r="F23" s="14">
        <f>'Affiliate Projection'!F4*Inputs!$B$21</f>
        <v/>
      </c>
      <c r="G23" s="14">
        <f>'Affiliate Projection'!G4*Inputs!$B$21</f>
        <v/>
      </c>
      <c r="H23" s="14">
        <f>'Affiliate Projection'!H4*Inputs!$B$21</f>
        <v/>
      </c>
      <c r="I23" s="14">
        <f>'Affiliate Projection'!I4*Inputs!$B$21</f>
        <v/>
      </c>
      <c r="J23" s="14">
        <f>'Affiliate Projection'!J4*Inputs!$B$21</f>
        <v/>
      </c>
      <c r="K23" s="14">
        <f>'Affiliate Projection'!K4*Inputs!$B$21</f>
        <v/>
      </c>
      <c r="L23" s="14">
        <f>'Affiliate Projection'!L4*Inputs!$B$21</f>
        <v/>
      </c>
      <c r="M23" s="14">
        <f>'Affiliate Projection'!M4*Inputs!$B$21</f>
        <v/>
      </c>
    </row>
    <row r="24">
      <c r="A24" s="13" t="inlineStr">
        <is>
          <t>Total Marketing OpEx</t>
        </is>
      </c>
      <c r="B24" s="15">
        <f>SUM(B19:B23)</f>
        <v/>
      </c>
      <c r="C24" s="15">
        <f>SUM(C19:C23)</f>
        <v/>
      </c>
      <c r="D24" s="15">
        <f>SUM(D19:D23)</f>
        <v/>
      </c>
      <c r="E24" s="15">
        <f>SUM(E19:E23)</f>
        <v/>
      </c>
      <c r="F24" s="15">
        <f>SUM(F19:F23)</f>
        <v/>
      </c>
      <c r="G24" s="15">
        <f>SUM(G19:G23)</f>
        <v/>
      </c>
      <c r="H24" s="15">
        <f>SUM(H19:H23)</f>
        <v/>
      </c>
      <c r="I24" s="15">
        <f>SUM(I19:I23)</f>
        <v/>
      </c>
      <c r="J24" s="15">
        <f>SUM(J19:J23)</f>
        <v/>
      </c>
      <c r="K24" s="15">
        <f>SUM(K19:K23)</f>
        <v/>
      </c>
      <c r="L24" s="15">
        <f>SUM(L19:L23)</f>
        <v/>
      </c>
      <c r="M24" s="15">
        <f>SUM(M19:M23)</f>
        <v/>
      </c>
    </row>
    <row r="25" ht="18.75" customHeight="1" s="32">
      <c r="A25" s="13" t="n"/>
    </row>
    <row r="26" ht="18.75" customHeight="1" s="32">
      <c r="A26" s="1" t="inlineStr">
        <is>
          <t>--- TOTALS ---</t>
        </is>
      </c>
    </row>
    <row r="27">
      <c r="A27" s="13" t="inlineStr">
        <is>
          <t>Total Program Cost</t>
        </is>
      </c>
      <c r="B27" s="15">
        <f>B10+B16+B24</f>
        <v/>
      </c>
      <c r="C27" s="15">
        <f>C10+C16+C24</f>
        <v/>
      </c>
      <c r="D27" s="15">
        <f>D10+D16+D24</f>
        <v/>
      </c>
      <c r="E27" s="15">
        <f>E10+E16+E24</f>
        <v/>
      </c>
      <c r="F27" s="15">
        <f>F10+F16+F24</f>
        <v/>
      </c>
      <c r="G27" s="15">
        <f>G10+G16+G24</f>
        <v/>
      </c>
      <c r="H27" s="15">
        <f>H10+H16+H24</f>
        <v/>
      </c>
      <c r="I27" s="15">
        <f>I10+I16+I24</f>
        <v/>
      </c>
      <c r="J27" s="15">
        <f>J10+J16+J24</f>
        <v/>
      </c>
      <c r="K27" s="15">
        <f>K10+K16+K24</f>
        <v/>
      </c>
      <c r="L27" s="15">
        <f>L10+L16+L24</f>
        <v/>
      </c>
      <c r="M27" s="15">
        <f>M10+M16+M24</f>
        <v/>
      </c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B21" sqref="B21"/>
    </sheetView>
  </sheetViews>
  <sheetFormatPr baseColWidth="8" defaultRowHeight="15"/>
  <cols>
    <col width="32" customWidth="1" style="32" min="1" max="1"/>
    <col width="15" customWidth="1" style="32" min="2" max="2"/>
    <col width="10" customWidth="1" style="32" min="3" max="14"/>
  </cols>
  <sheetData>
    <row r="1" ht="21" customHeight="1" s="32">
      <c r="A1" s="31" t="inlineStr">
        <is>
          <t>SUMMARY DASHBOARD</t>
        </is>
      </c>
    </row>
    <row r="3" ht="18.75" customHeight="1" s="32">
      <c r="A3" s="1" t="inlineStr">
        <is>
          <t>12-MONTH TOTALS</t>
        </is>
      </c>
    </row>
    <row r="4" ht="15.75" customHeight="1" s="32">
      <c r="A4" s="2" t="inlineStr">
        <is>
          <t>Metric</t>
        </is>
      </c>
      <c r="B4" s="2" t="inlineStr">
        <is>
          <t>Value</t>
        </is>
      </c>
    </row>
    <row r="5">
      <c r="A5" s="3" t="inlineStr">
        <is>
          <t>Total Samples Sent</t>
        </is>
      </c>
      <c r="B5" s="12">
        <f>SUM('Affiliate Projection'!B4:M4)</f>
        <v/>
      </c>
    </row>
    <row r="6">
      <c r="A6" s="3" t="inlineStr">
        <is>
          <t>Total New Affiliates</t>
        </is>
      </c>
      <c r="B6" s="12">
        <f>SUM('Affiliate Projection'!B7:M7)</f>
        <v/>
      </c>
    </row>
    <row r="7">
      <c r="A7" s="3" t="inlineStr">
        <is>
          <t>Active Affiliates (Month 12)</t>
        </is>
      </c>
      <c r="B7" s="12">
        <f>'Affiliate Projection'!M8</f>
        <v/>
      </c>
    </row>
    <row r="8">
      <c r="A8" s="3" t="inlineStr">
        <is>
          <t>Total Sales</t>
        </is>
      </c>
      <c r="B8" s="12">
        <f>SUM('Affiliate Projection'!B9:M9)</f>
        <v/>
      </c>
    </row>
    <row r="9">
      <c r="A9" s="3" t="n"/>
    </row>
    <row r="10">
      <c r="A10" s="3" t="inlineStr">
        <is>
          <t>Gross Revenue</t>
        </is>
      </c>
      <c r="B10" s="14">
        <f>SUM(Revenue!B6:M6)</f>
        <v/>
      </c>
    </row>
    <row r="11">
      <c r="A11" s="3" t="inlineStr">
        <is>
          <t>Net Revenue</t>
        </is>
      </c>
      <c r="B11" s="14">
        <f>SUM(Revenue!B11:M11)</f>
        <v/>
      </c>
    </row>
    <row r="12">
      <c r="A12" s="3" t="n"/>
    </row>
    <row r="13">
      <c r="A13" s="3" t="inlineStr">
        <is>
          <t>Total CM1 Costs</t>
        </is>
      </c>
      <c r="B13" s="14">
        <f>SUM(Costs!B10:M10)</f>
        <v/>
      </c>
    </row>
    <row r="14">
      <c r="A14" s="3" t="inlineStr">
        <is>
          <t>Total Loyalty Program Costs</t>
        </is>
      </c>
      <c r="B14" s="14">
        <f>SUM(Costs!B15:M15)</f>
        <v/>
      </c>
    </row>
    <row r="15">
      <c r="A15" s="3" t="inlineStr">
        <is>
          <t>Total Marketing OpEx</t>
        </is>
      </c>
      <c r="B15" s="14">
        <f>SUM(Costs!B24:M24)</f>
        <v/>
      </c>
    </row>
    <row r="16">
      <c r="A16" s="3" t="inlineStr">
        <is>
          <t>Total Program Cost</t>
        </is>
      </c>
      <c r="B16" s="14">
        <f>SUM(Costs!B27:M27)</f>
        <v/>
      </c>
    </row>
    <row r="19" ht="18.75" customHeight="1" s="32">
      <c r="A19" s="1" t="inlineStr">
        <is>
          <t>KEY RATIOS</t>
        </is>
      </c>
    </row>
    <row r="20" ht="15.75" customHeight="1" s="32">
      <c r="A20" s="2" t="inlineStr">
        <is>
          <t>Metric</t>
        </is>
      </c>
      <c r="B20" s="2" t="inlineStr">
        <is>
          <t>Value</t>
        </is>
      </c>
    </row>
    <row r="21">
      <c r="A21" s="3" t="inlineStr">
        <is>
          <t>CM1 as % of Net Revenue</t>
        </is>
      </c>
      <c r="B21" s="10">
        <f>IF(B11&gt;0,B13/B11,0)</f>
        <v/>
      </c>
    </row>
    <row r="22">
      <c r="A22" s="3" t="inlineStr">
        <is>
          <t>Total Cost as % of Net Revenue</t>
        </is>
      </c>
      <c r="B22" s="10">
        <f>IF(B11&gt;0,B16/B11,0)</f>
        <v/>
      </c>
    </row>
    <row r="23">
      <c r="A23" s="3" t="inlineStr">
        <is>
          <t>Cost per Affiliate (12-mo avg)</t>
        </is>
      </c>
      <c r="B23" s="11">
        <f>IF(B6&gt;0,B16/B6,0)</f>
        <v/>
      </c>
    </row>
    <row r="24">
      <c r="A24" s="3" t="inlineStr">
        <is>
          <t>Revenue per Affiliate (12-mo avg)</t>
        </is>
      </c>
      <c r="B24" s="11">
        <f>IF(B6&gt;0,B11/B6,0)</f>
        <v/>
      </c>
    </row>
    <row r="25">
      <c r="A25" s="3" t="inlineStr">
        <is>
          <t>Sample-to-Affiliate Conversion</t>
        </is>
      </c>
      <c r="B25" s="10">
        <f>IF(B5&gt;0,B6/B5,0)</f>
        <v/>
      </c>
    </row>
    <row r="26">
      <c r="A26" s="3" t="inlineStr">
        <is>
          <t>Weighted Avg Commission Rate</t>
        </is>
      </c>
      <c r="B26" s="10">
        <f>SUMPRODUCT('VIP Levels'!$D$5:$D$9,Inputs!$M$26:$M$30)</f>
        <v/>
      </c>
    </row>
    <row r="27">
      <c r="A27" t="inlineStr">
        <is>
          <t>Contribution Margin (12-mo)</t>
        </is>
      </c>
      <c r="B27">
        <f>B11-B13</f>
        <v/>
      </c>
    </row>
    <row r="28">
      <c r="A28" t="inlineStr">
        <is>
          <t>CM per Affiliate (12-mo avg)</t>
        </is>
      </c>
      <c r="B28">
        <f>IF(B6&gt;0,B27/B6,0)</f>
        <v/>
      </c>
    </row>
    <row r="29" ht="18.75" customHeight="1" s="32">
      <c r="A29" s="1" t="inlineStr">
        <is>
          <t>MONTHLY TREND</t>
        </is>
      </c>
    </row>
    <row r="30" ht="15.75" customHeight="1" s="32">
      <c r="A30" s="2" t="inlineStr">
        <is>
          <t>Metric</t>
        </is>
      </c>
      <c r="B30" s="2" t="inlineStr">
        <is>
          <t>M1</t>
        </is>
      </c>
      <c r="C30" s="2" t="inlineStr">
        <is>
          <t>M2</t>
        </is>
      </c>
      <c r="D30" s="2" t="inlineStr">
        <is>
          <t>M3</t>
        </is>
      </c>
      <c r="E30" s="2" t="inlineStr">
        <is>
          <t>M4</t>
        </is>
      </c>
      <c r="F30" s="2" t="inlineStr">
        <is>
          <t>M5</t>
        </is>
      </c>
      <c r="G30" s="2" t="inlineStr">
        <is>
          <t>M6</t>
        </is>
      </c>
      <c r="H30" s="2" t="inlineStr">
        <is>
          <t>M7</t>
        </is>
      </c>
      <c r="I30" s="2" t="inlineStr">
        <is>
          <t>M8</t>
        </is>
      </c>
      <c r="J30" s="2" t="inlineStr">
        <is>
          <t>M9</t>
        </is>
      </c>
      <c r="K30" s="2" t="inlineStr">
        <is>
          <t>M10</t>
        </is>
      </c>
      <c r="L30" s="2" t="inlineStr">
        <is>
          <t>M11</t>
        </is>
      </c>
      <c r="M30" s="2" t="inlineStr">
        <is>
          <t>M12</t>
        </is>
      </c>
      <c r="N30" s="2" t="inlineStr">
        <is>
          <t>Total</t>
        </is>
      </c>
    </row>
    <row r="31">
      <c r="A31" s="3" t="inlineStr">
        <is>
          <t>Active Affiliates</t>
        </is>
      </c>
      <c r="B31" s="12">
        <f>'Affiliate Projection'!B8</f>
        <v/>
      </c>
      <c r="C31" s="12">
        <f>'Affiliate Projection'!C8</f>
        <v/>
      </c>
      <c r="D31" s="12">
        <f>'Affiliate Projection'!D8</f>
        <v/>
      </c>
      <c r="E31" s="12">
        <f>'Affiliate Projection'!E8</f>
        <v/>
      </c>
      <c r="F31" s="12">
        <f>'Affiliate Projection'!F8</f>
        <v/>
      </c>
      <c r="G31" s="12">
        <f>'Affiliate Projection'!G8</f>
        <v/>
      </c>
      <c r="H31" s="12">
        <f>'Affiliate Projection'!H8</f>
        <v/>
      </c>
      <c r="I31" s="12">
        <f>'Affiliate Projection'!I8</f>
        <v/>
      </c>
      <c r="J31" s="12">
        <f>'Affiliate Projection'!J8</f>
        <v/>
      </c>
      <c r="K31" s="12">
        <f>'Affiliate Projection'!K8</f>
        <v/>
      </c>
      <c r="L31" s="12">
        <f>'Affiliate Projection'!L8</f>
        <v/>
      </c>
      <c r="M31" s="12">
        <f>'Affiliate Projection'!M8</f>
        <v/>
      </c>
      <c r="N31" s="12">
        <f>M31</f>
        <v/>
      </c>
    </row>
    <row r="32">
      <c r="A32" s="3" t="inlineStr">
        <is>
          <t>Total Sales</t>
        </is>
      </c>
      <c r="B32" s="12">
        <f>'Affiliate Projection'!B9</f>
        <v/>
      </c>
      <c r="C32" s="12">
        <f>'Affiliate Projection'!C9</f>
        <v/>
      </c>
      <c r="D32" s="12">
        <f>'Affiliate Projection'!D9</f>
        <v/>
      </c>
      <c r="E32" s="12">
        <f>'Affiliate Projection'!E9</f>
        <v/>
      </c>
      <c r="F32" s="12">
        <f>'Affiliate Projection'!F9</f>
        <v/>
      </c>
      <c r="G32" s="12">
        <f>'Affiliate Projection'!G9</f>
        <v/>
      </c>
      <c r="H32" s="12">
        <f>'Affiliate Projection'!H9</f>
        <v/>
      </c>
      <c r="I32" s="12">
        <f>'Affiliate Projection'!I9</f>
        <v/>
      </c>
      <c r="J32" s="12">
        <f>'Affiliate Projection'!J9</f>
        <v/>
      </c>
      <c r="K32" s="12">
        <f>'Affiliate Projection'!K9</f>
        <v/>
      </c>
      <c r="L32" s="12">
        <f>'Affiliate Projection'!L9</f>
        <v/>
      </c>
      <c r="M32" s="12">
        <f>'Affiliate Projection'!M9</f>
        <v/>
      </c>
      <c r="N32" s="12">
        <f>SUM(B32:M32)</f>
        <v/>
      </c>
    </row>
    <row r="33">
      <c r="A33" s="3" t="inlineStr">
        <is>
          <t>Net Revenue</t>
        </is>
      </c>
      <c r="B33" s="14">
        <f>Revenue!B11</f>
        <v/>
      </c>
      <c r="C33" s="14">
        <f>Revenue!C11</f>
        <v/>
      </c>
      <c r="D33" s="14">
        <f>Revenue!D11</f>
        <v/>
      </c>
      <c r="E33" s="14">
        <f>Revenue!E11</f>
        <v/>
      </c>
      <c r="F33" s="14">
        <f>Revenue!F11</f>
        <v/>
      </c>
      <c r="G33" s="14">
        <f>Revenue!G11</f>
        <v/>
      </c>
      <c r="H33" s="14">
        <f>Revenue!H11</f>
        <v/>
      </c>
      <c r="I33" s="14">
        <f>Revenue!I11</f>
        <v/>
      </c>
      <c r="J33" s="14">
        <f>Revenue!J11</f>
        <v/>
      </c>
      <c r="K33" s="14">
        <f>Revenue!K11</f>
        <v/>
      </c>
      <c r="L33" s="14">
        <f>Revenue!L11</f>
        <v/>
      </c>
      <c r="M33" s="14">
        <f>Revenue!M11</f>
        <v/>
      </c>
      <c r="N33" s="14">
        <f>SUM(B33:M33)</f>
        <v/>
      </c>
    </row>
    <row r="34">
      <c r="A34" s="3" t="inlineStr">
        <is>
          <t>Total Program Cost</t>
        </is>
      </c>
      <c r="B34" s="14">
        <f>Costs!B27</f>
        <v/>
      </c>
      <c r="C34" s="14">
        <f>Costs!C27</f>
        <v/>
      </c>
      <c r="D34" s="14">
        <f>Costs!D27</f>
        <v/>
      </c>
      <c r="E34" s="14">
        <f>Costs!E27</f>
        <v/>
      </c>
      <c r="F34" s="14">
        <f>Costs!F27</f>
        <v/>
      </c>
      <c r="G34" s="14">
        <f>Costs!G27</f>
        <v/>
      </c>
      <c r="H34" s="14">
        <f>Costs!H27</f>
        <v/>
      </c>
      <c r="I34" s="14">
        <f>Costs!I27</f>
        <v/>
      </c>
      <c r="J34" s="14">
        <f>Costs!J27</f>
        <v/>
      </c>
      <c r="K34" s="14">
        <f>Costs!K27</f>
        <v/>
      </c>
      <c r="L34" s="14">
        <f>Costs!L27</f>
        <v/>
      </c>
      <c r="M34" s="14">
        <f>Costs!M27</f>
        <v/>
      </c>
      <c r="N34" s="14">
        <f>SUM(B34:M34)</f>
        <v/>
      </c>
    </row>
    <row r="35">
      <c r="A35" s="3" t="inlineStr">
        <is>
          <t>Cost as % of Revenue</t>
        </is>
      </c>
      <c r="B35" s="10">
        <f>IF(B33&gt;0,B34/B33,0)</f>
        <v/>
      </c>
      <c r="C35" s="10">
        <f>IF(C33&gt;0,C34/C33,0)</f>
        <v/>
      </c>
      <c r="D35" s="10">
        <f>IF(D33&gt;0,D34/D33,0)</f>
        <v/>
      </c>
      <c r="E35" s="10">
        <f>IF(E33&gt;0,E34/E33,0)</f>
        <v/>
      </c>
      <c r="F35" s="10">
        <f>IF(F33&gt;0,F34/F33,0)</f>
        <v/>
      </c>
      <c r="G35" s="10">
        <f>IF(G33&gt;0,G34/G33,0)</f>
        <v/>
      </c>
      <c r="H35" s="10">
        <f>IF(H33&gt;0,H34/H33,0)</f>
        <v/>
      </c>
      <c r="I35" s="10">
        <f>IF(I33&gt;0,I34/I33,0)</f>
        <v/>
      </c>
      <c r="J35" s="10">
        <f>IF(J33&gt;0,J34/J33,0)</f>
        <v/>
      </c>
      <c r="K35" s="10">
        <f>IF(K33&gt;0,K34/K33,0)</f>
        <v/>
      </c>
      <c r="L35" s="10">
        <f>IF(L33&gt;0,L34/L33,0)</f>
        <v/>
      </c>
      <c r="M35" s="10">
        <f>IF(M33&gt;0,M34/M33,0)</f>
        <v/>
      </c>
      <c r="N35" s="10">
        <f>IF(N33&gt;0,N34/N33,0)</f>
        <v/>
      </c>
    </row>
    <row r="36">
      <c r="A36" t="inlineStr">
        <is>
          <t>CM1 Costs</t>
        </is>
      </c>
      <c r="B36">
        <f>Costs!B10</f>
        <v/>
      </c>
      <c r="C36">
        <f>Costs!C10</f>
        <v/>
      </c>
      <c r="D36">
        <f>Costs!D10</f>
        <v/>
      </c>
      <c r="E36">
        <f>Costs!E10</f>
        <v/>
      </c>
      <c r="F36">
        <f>Costs!F10</f>
        <v/>
      </c>
      <c r="G36">
        <f>Costs!G10</f>
        <v/>
      </c>
      <c r="H36">
        <f>Costs!H10</f>
        <v/>
      </c>
      <c r="I36">
        <f>Costs!I10</f>
        <v/>
      </c>
      <c r="J36">
        <f>Costs!J10</f>
        <v/>
      </c>
      <c r="K36">
        <f>Costs!K10</f>
        <v/>
      </c>
      <c r="L36">
        <f>Costs!L10</f>
        <v/>
      </c>
      <c r="M36">
        <f>Costs!M10</f>
        <v/>
      </c>
    </row>
    <row r="37">
      <c r="A37" t="inlineStr">
        <is>
          <t>Contribution Margin</t>
        </is>
      </c>
      <c r="B37">
        <f>B33-B36</f>
        <v/>
      </c>
      <c r="C37">
        <f>C33-C36</f>
        <v/>
      </c>
      <c r="D37">
        <f>D33-D36</f>
        <v/>
      </c>
      <c r="E37">
        <f>E33-E36</f>
        <v/>
      </c>
      <c r="F37">
        <f>F33-F36</f>
        <v/>
      </c>
      <c r="G37">
        <f>G33-G36</f>
        <v/>
      </c>
      <c r="H37">
        <f>H33-H36</f>
        <v/>
      </c>
      <c r="I37">
        <f>I33-I36</f>
        <v/>
      </c>
      <c r="J37">
        <f>J33-J36</f>
        <v/>
      </c>
      <c r="K37">
        <f>K33-K36</f>
        <v/>
      </c>
      <c r="L37">
        <f>L33-L36</f>
        <v/>
      </c>
      <c r="M37">
        <f>M33-M36</f>
        <v/>
      </c>
    </row>
    <row r="38">
      <c r="A38" t="inlineStr">
        <is>
          <t>CM per Affiliate</t>
        </is>
      </c>
      <c r="B38">
        <f>IF(B31&gt;0,B37/B31,0)</f>
        <v/>
      </c>
      <c r="C38">
        <f>IF(C31&gt;0,C37/C31,0)</f>
        <v/>
      </c>
      <c r="D38">
        <f>IF(D31&gt;0,D37/D31,0)</f>
        <v/>
      </c>
      <c r="E38">
        <f>IF(E31&gt;0,E37/E31,0)</f>
        <v/>
      </c>
      <c r="F38">
        <f>IF(F31&gt;0,F37/F31,0)</f>
        <v/>
      </c>
      <c r="G38">
        <f>IF(G31&gt;0,G37/G31,0)</f>
        <v/>
      </c>
      <c r="H38">
        <f>IF(H31&gt;0,H37/H31,0)</f>
        <v/>
      </c>
      <c r="I38">
        <f>IF(I31&gt;0,I37/I31,0)</f>
        <v/>
      </c>
      <c r="J38">
        <f>IF(J31&gt;0,J37/J31,0)</f>
        <v/>
      </c>
      <c r="K38">
        <f>IF(K31&gt;0,K37/K31,0)</f>
        <v/>
      </c>
      <c r="L38">
        <f>IF(L31&gt;0,L37/L31,0)</f>
        <v/>
      </c>
      <c r="M38">
        <f>IF(M31&gt;0,M37/M31,0)</f>
        <v/>
      </c>
    </row>
    <row r="39">
      <c r="A39" t="inlineStr">
        <is>
          <t>CM % of Net Revenue</t>
        </is>
      </c>
      <c r="B39">
        <f>IF(B33&gt;0,B37/B33,0)</f>
        <v/>
      </c>
      <c r="C39">
        <f>IF(C33&gt;0,C37/C33,0)</f>
        <v/>
      </c>
      <c r="D39">
        <f>IF(D33&gt;0,D37/D33,0)</f>
        <v/>
      </c>
      <c r="E39">
        <f>IF(E33&gt;0,E37/E33,0)</f>
        <v/>
      </c>
      <c r="F39">
        <f>IF(F33&gt;0,F37/F33,0)</f>
        <v/>
      </c>
      <c r="G39">
        <f>IF(G33&gt;0,G37/G33,0)</f>
        <v/>
      </c>
      <c r="H39">
        <f>IF(H33&gt;0,H37/H33,0)</f>
        <v/>
      </c>
      <c r="I39">
        <f>IF(I33&gt;0,I37/I33,0)</f>
        <v/>
      </c>
      <c r="J39">
        <f>IF(J33&gt;0,J37/J33,0)</f>
        <v/>
      </c>
      <c r="K39">
        <f>IF(K33&gt;0,K37/K33,0)</f>
        <v/>
      </c>
      <c r="L39">
        <f>IF(L33&gt;0,L37/L33,0)</f>
        <v/>
      </c>
      <c r="M39">
        <f>IF(M33&gt;0,M37/M33,0)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2025-12-13T15:56:41Z</dcterms:created>
  <dcterms:modified xmlns:dcterms="http://purl.org/dc/terms/" xmlns:xsi="http://www.w3.org/2001/XMLSchema-instance" xsi:type="dcterms:W3CDTF">2025-12-18T22:51:51Z</dcterms:modified>
  <cp:lastModifiedBy>Jorge Naupari</cp:lastModifiedBy>
</cp:coreProperties>
</file>