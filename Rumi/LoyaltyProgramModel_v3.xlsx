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53CD0769-8D08-42BD-9D68-7557C642531C}" xr6:coauthVersionLast="47" xr6:coauthVersionMax="47" xr10:uidLastSave="{00000000-0000-0000-0000-000000000000}"/>
  <bookViews>
    <workbookView xWindow="-120" yWindow="-120" windowWidth="29040" windowHeight="15720" activeTab="10" xr2:uid="{00000000-000D-0000-FFFF-FFFF00000000}"/>
  </bookViews>
  <sheets>
    <sheet name="Inputs" sheetId="1" r:id="rId1"/>
    <sheet name="VIP Levels" sheetId="2" r:id="rId2"/>
    <sheet name="Missions" sheetId="3" r:id="rId3"/>
    <sheet name="Affiliate Projection" sheetId="4" r:id="rId4"/>
    <sheet name="Revenue" sheetId="5" r:id="rId5"/>
    <sheet name="Costs" sheetId="6" r:id="rId6"/>
    <sheet name="Summary" sheetId="7" r:id="rId7"/>
    <sheet name="Scenarios (Sc)" sheetId="8" r:id="rId8"/>
    <sheet name="Sc.Planning" sheetId="9" r:id="rId9"/>
    <sheet name="Sc.Calc" sheetId="10" r:id="rId10"/>
    <sheet name="TestSc" sheetId="11" r:id="rId11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11" l="1"/>
  <c r="C48" i="11"/>
  <c r="B48" i="11"/>
  <c r="D47" i="11"/>
  <c r="C47" i="11"/>
  <c r="B47" i="11"/>
  <c r="D46" i="11"/>
  <c r="C46" i="11"/>
  <c r="B46" i="11"/>
  <c r="D45" i="11"/>
  <c r="C45" i="11"/>
  <c r="B45" i="11"/>
  <c r="T34" i="11"/>
  <c r="AO33" i="11"/>
  <c r="AN33" i="11"/>
  <c r="AM33" i="11"/>
  <c r="AL33" i="11"/>
  <c r="AK33" i="11"/>
  <c r="AJ33" i="11"/>
  <c r="AJ34" i="11" s="1"/>
  <c r="AI33" i="11"/>
  <c r="AH33" i="11"/>
  <c r="AH34" i="11" s="1"/>
  <c r="AG33" i="11"/>
  <c r="AG34" i="11" s="1"/>
  <c r="AF33" i="11"/>
  <c r="AF34" i="11" s="1"/>
  <c r="AE33" i="11"/>
  <c r="AD33" i="11"/>
  <c r="AA33" i="11"/>
  <c r="Z33" i="11"/>
  <c r="Y33" i="11"/>
  <c r="X33" i="11"/>
  <c r="W33" i="11"/>
  <c r="V33" i="11"/>
  <c r="U33" i="11"/>
  <c r="T33" i="11"/>
  <c r="S33" i="11"/>
  <c r="R33" i="11"/>
  <c r="Q33" i="11"/>
  <c r="P33" i="11"/>
  <c r="M33" i="11"/>
  <c r="L33" i="11"/>
  <c r="K33" i="11"/>
  <c r="J33" i="11"/>
  <c r="J34" i="11" s="1"/>
  <c r="I33" i="11"/>
  <c r="I34" i="11" s="1"/>
  <c r="H33" i="11"/>
  <c r="G33" i="11"/>
  <c r="F33" i="11"/>
  <c r="E33" i="11"/>
  <c r="D33" i="11"/>
  <c r="C33" i="11"/>
  <c r="B33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A32" i="11"/>
  <c r="Z32" i="11"/>
  <c r="Y32" i="11"/>
  <c r="X32" i="11"/>
  <c r="W32" i="11"/>
  <c r="V32" i="11"/>
  <c r="U32" i="11"/>
  <c r="U34" i="11" s="1"/>
  <c r="T32" i="11"/>
  <c r="S32" i="11"/>
  <c r="R32" i="11"/>
  <c r="Q32" i="11"/>
  <c r="P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O31" i="11"/>
  <c r="AO34" i="11" s="1"/>
  <c r="AN31" i="11"/>
  <c r="AN34" i="11" s="1"/>
  <c r="AM31" i="11"/>
  <c r="AM34" i="11" s="1"/>
  <c r="AL31" i="11"/>
  <c r="AL34" i="11" s="1"/>
  <c r="AK31" i="11"/>
  <c r="AJ31" i="11"/>
  <c r="AI31" i="11"/>
  <c r="AH31" i="11"/>
  <c r="AG31" i="11"/>
  <c r="AF31" i="11"/>
  <c r="AE31" i="11"/>
  <c r="AD31" i="11"/>
  <c r="AA31" i="11"/>
  <c r="Z31" i="11"/>
  <c r="Y31" i="11"/>
  <c r="X31" i="11"/>
  <c r="W31" i="11"/>
  <c r="V31" i="11"/>
  <c r="U31" i="11"/>
  <c r="T31" i="11"/>
  <c r="S31" i="11"/>
  <c r="S34" i="11" s="1"/>
  <c r="R31" i="11"/>
  <c r="R34" i="11" s="1"/>
  <c r="Q31" i="11"/>
  <c r="Q34" i="11" s="1"/>
  <c r="P31" i="11"/>
  <c r="P34" i="11" s="1"/>
  <c r="M31" i="11"/>
  <c r="M34" i="11" s="1"/>
  <c r="L31" i="11"/>
  <c r="L34" i="11" s="1"/>
  <c r="K31" i="11"/>
  <c r="K34" i="11" s="1"/>
  <c r="J31" i="11"/>
  <c r="I31" i="11"/>
  <c r="H31" i="11"/>
  <c r="G31" i="11"/>
  <c r="F31" i="11"/>
  <c r="E31" i="11"/>
  <c r="D31" i="11"/>
  <c r="C31" i="11"/>
  <c r="B31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D34" i="11" s="1"/>
  <c r="AA30" i="11"/>
  <c r="AA34" i="11" s="1"/>
  <c r="Z30" i="11"/>
  <c r="Y30" i="11"/>
  <c r="X30" i="11"/>
  <c r="W30" i="11"/>
  <c r="V30" i="11"/>
  <c r="U30" i="11"/>
  <c r="T30" i="11"/>
  <c r="S30" i="11"/>
  <c r="R30" i="11"/>
  <c r="Q30" i="11"/>
  <c r="P30" i="11"/>
  <c r="M30" i="11"/>
  <c r="L30" i="11"/>
  <c r="K30" i="11"/>
  <c r="J30" i="11"/>
  <c r="I30" i="11"/>
  <c r="H30" i="11"/>
  <c r="H34" i="11" s="1"/>
  <c r="G30" i="11"/>
  <c r="G34" i="11" s="1"/>
  <c r="F30" i="11"/>
  <c r="F34" i="11" s="1"/>
  <c r="E30" i="11"/>
  <c r="D30" i="11"/>
  <c r="D34" i="11" s="1"/>
  <c r="C30" i="11"/>
  <c r="C34" i="11" s="1"/>
  <c r="B30" i="11"/>
  <c r="D25" i="11"/>
  <c r="C25" i="11"/>
  <c r="B25" i="11"/>
  <c r="D17" i="11"/>
  <c r="C17" i="11"/>
  <c r="B17" i="11"/>
  <c r="M72" i="9"/>
  <c r="L72" i="9"/>
  <c r="K72" i="9"/>
  <c r="J72" i="9"/>
  <c r="I72" i="9"/>
  <c r="H72" i="9"/>
  <c r="G72" i="9"/>
  <c r="F72" i="9"/>
  <c r="E72" i="9"/>
  <c r="D72" i="9"/>
  <c r="C72" i="9"/>
  <c r="B72" i="9"/>
  <c r="M56" i="9"/>
  <c r="L56" i="9"/>
  <c r="K56" i="9"/>
  <c r="J56" i="9"/>
  <c r="I56" i="9"/>
  <c r="H56" i="9"/>
  <c r="G56" i="9"/>
  <c r="F56" i="9"/>
  <c r="E56" i="9"/>
  <c r="D56" i="9"/>
  <c r="C56" i="9"/>
  <c r="B56" i="9"/>
  <c r="D20" i="9"/>
  <c r="C20" i="9"/>
  <c r="B20" i="9"/>
  <c r="N43" i="8"/>
  <c r="N42" i="8"/>
  <c r="N41" i="8"/>
  <c r="N40" i="8"/>
  <c r="N35" i="8"/>
  <c r="N34" i="8"/>
  <c r="N33" i="8"/>
  <c r="N32" i="8"/>
  <c r="N27" i="8"/>
  <c r="N26" i="8"/>
  <c r="N25" i="8"/>
  <c r="N24" i="8"/>
  <c r="B14" i="8"/>
  <c r="M13" i="8"/>
  <c r="M14" i="8" s="1"/>
  <c r="L13" i="8"/>
  <c r="L14" i="8" s="1"/>
  <c r="K13" i="8"/>
  <c r="K14" i="8" s="1"/>
  <c r="J13" i="8"/>
  <c r="J14" i="8" s="1"/>
  <c r="I13" i="8"/>
  <c r="I14" i="8" s="1"/>
  <c r="H13" i="8"/>
  <c r="H14" i="8" s="1"/>
  <c r="G13" i="8"/>
  <c r="G14" i="8" s="1"/>
  <c r="F13" i="8"/>
  <c r="F14" i="8" s="1"/>
  <c r="E13" i="8"/>
  <c r="E14" i="8" s="1"/>
  <c r="D13" i="8"/>
  <c r="D14" i="8" s="1"/>
  <c r="C13" i="8"/>
  <c r="C14" i="8" s="1"/>
  <c r="B13" i="8"/>
  <c r="D12" i="8"/>
  <c r="C12" i="8"/>
  <c r="B12" i="8"/>
  <c r="B17" i="8" s="1"/>
  <c r="M11" i="8"/>
  <c r="M12" i="8" s="1"/>
  <c r="L11" i="8"/>
  <c r="L12" i="8" s="1"/>
  <c r="K11" i="8"/>
  <c r="K12" i="8" s="1"/>
  <c r="J11" i="8"/>
  <c r="J12" i="8" s="1"/>
  <c r="I11" i="8"/>
  <c r="I12" i="8" s="1"/>
  <c r="H11" i="8"/>
  <c r="H12" i="8" s="1"/>
  <c r="G11" i="8"/>
  <c r="G12" i="8" s="1"/>
  <c r="F11" i="8"/>
  <c r="F12" i="8" s="1"/>
  <c r="E11" i="8"/>
  <c r="E12" i="8" s="1"/>
  <c r="D11" i="8"/>
  <c r="C11" i="8"/>
  <c r="B11" i="8"/>
  <c r="M28" i="6"/>
  <c r="L28" i="6"/>
  <c r="K28" i="6"/>
  <c r="J28" i="6"/>
  <c r="I28" i="6"/>
  <c r="H28" i="6"/>
  <c r="G28" i="6"/>
  <c r="F28" i="6"/>
  <c r="E28" i="6"/>
  <c r="C28" i="6"/>
  <c r="B28" i="6"/>
  <c r="M7" i="5"/>
  <c r="L7" i="5"/>
  <c r="I7" i="5"/>
  <c r="H7" i="5"/>
  <c r="M5" i="5"/>
  <c r="L5" i="5"/>
  <c r="K5" i="5"/>
  <c r="K7" i="5" s="1"/>
  <c r="J5" i="5"/>
  <c r="J7" i="5" s="1"/>
  <c r="I5" i="5"/>
  <c r="H5" i="5"/>
  <c r="G5" i="5"/>
  <c r="G7" i="5" s="1"/>
  <c r="F5" i="5"/>
  <c r="F7" i="5" s="1"/>
  <c r="E5" i="5"/>
  <c r="E7" i="5" s="1"/>
  <c r="D5" i="5"/>
  <c r="D7" i="5" s="1"/>
  <c r="C5" i="5"/>
  <c r="C7" i="5" s="1"/>
  <c r="B5" i="5"/>
  <c r="B7" i="5" s="1"/>
  <c r="J15" i="3" s="1"/>
  <c r="G19" i="4"/>
  <c r="L7" i="4"/>
  <c r="L19" i="4" s="1"/>
  <c r="K7" i="4"/>
  <c r="K19" i="4" s="1"/>
  <c r="G7" i="4"/>
  <c r="E7" i="4"/>
  <c r="E19" i="4" s="1"/>
  <c r="M6" i="4"/>
  <c r="L6" i="4"/>
  <c r="K6" i="4"/>
  <c r="J6" i="4"/>
  <c r="I6" i="4"/>
  <c r="H6" i="4"/>
  <c r="G6" i="4"/>
  <c r="F6" i="4"/>
  <c r="E6" i="4"/>
  <c r="D6" i="4"/>
  <c r="C6" i="4"/>
  <c r="B6" i="4"/>
  <c r="M5" i="4"/>
  <c r="M7" i="4" s="1"/>
  <c r="M19" i="4" s="1"/>
  <c r="L5" i="4"/>
  <c r="K5" i="4"/>
  <c r="J5" i="4"/>
  <c r="J7" i="4" s="1"/>
  <c r="J19" i="4" s="1"/>
  <c r="I5" i="4"/>
  <c r="I7" i="4" s="1"/>
  <c r="I19" i="4" s="1"/>
  <c r="H5" i="4"/>
  <c r="H7" i="4" s="1"/>
  <c r="H19" i="4" s="1"/>
  <c r="G5" i="4"/>
  <c r="F5" i="4"/>
  <c r="F7" i="4" s="1"/>
  <c r="F19" i="4" s="1"/>
  <c r="M4" i="4"/>
  <c r="L4" i="4"/>
  <c r="K4" i="4"/>
  <c r="J4" i="4"/>
  <c r="I4" i="4"/>
  <c r="H4" i="4"/>
  <c r="G4" i="4"/>
  <c r="F4" i="4"/>
  <c r="E4" i="4"/>
  <c r="E5" i="4" s="1"/>
  <c r="D4" i="4"/>
  <c r="C4" i="4"/>
  <c r="C5" i="4" s="1"/>
  <c r="B4" i="4"/>
  <c r="B5" i="4" s="1" a="1"/>
  <c r="B5" i="4" s="1"/>
  <c r="J26" i="3"/>
  <c r="J25" i="3"/>
  <c r="J24" i="3"/>
  <c r="J23" i="3"/>
  <c r="J22" i="3"/>
  <c r="J21" i="3"/>
  <c r="J20" i="3"/>
  <c r="J19" i="3"/>
  <c r="J18" i="3"/>
  <c r="J17" i="3"/>
  <c r="J16" i="3"/>
  <c r="J14" i="3"/>
  <c r="J13" i="3"/>
  <c r="J11" i="3"/>
  <c r="J10" i="3"/>
  <c r="J8" i="3"/>
  <c r="J7" i="3"/>
  <c r="J6" i="3"/>
  <c r="J5" i="3"/>
  <c r="R19" i="1"/>
  <c r="Q19" i="1"/>
  <c r="P19" i="1"/>
  <c r="O19" i="1"/>
  <c r="N19" i="1"/>
  <c r="M19" i="1"/>
  <c r="L19" i="1"/>
  <c r="K19" i="1"/>
  <c r="J19" i="1"/>
  <c r="I19" i="1"/>
  <c r="H19" i="1"/>
  <c r="G19" i="1"/>
  <c r="R18" i="1"/>
  <c r="Q18" i="1"/>
  <c r="P18" i="1"/>
  <c r="O18" i="1"/>
  <c r="N18" i="1"/>
  <c r="M18" i="1"/>
  <c r="L18" i="1"/>
  <c r="K18" i="1"/>
  <c r="J18" i="1"/>
  <c r="I18" i="1"/>
  <c r="H18" i="1"/>
  <c r="G18" i="1"/>
  <c r="R17" i="1"/>
  <c r="Q17" i="1"/>
  <c r="P17" i="1"/>
  <c r="O17" i="1"/>
  <c r="N17" i="1"/>
  <c r="M17" i="1"/>
  <c r="L17" i="1"/>
  <c r="K17" i="1"/>
  <c r="J17" i="1"/>
  <c r="I17" i="1"/>
  <c r="H17" i="1"/>
  <c r="G17" i="1"/>
  <c r="R16" i="1"/>
  <c r="Q16" i="1"/>
  <c r="P16" i="1"/>
  <c r="O16" i="1"/>
  <c r="N16" i="1"/>
  <c r="M16" i="1"/>
  <c r="L16" i="1"/>
  <c r="K16" i="1"/>
  <c r="J16" i="1"/>
  <c r="I16" i="1"/>
  <c r="H16" i="1"/>
  <c r="G16" i="1"/>
  <c r="R11" i="1"/>
  <c r="Q11" i="1"/>
  <c r="P11" i="1"/>
  <c r="O11" i="1"/>
  <c r="N11" i="1"/>
  <c r="M11" i="1"/>
  <c r="L11" i="1"/>
  <c r="K11" i="1"/>
  <c r="J11" i="1"/>
  <c r="I11" i="1"/>
  <c r="H11" i="1"/>
  <c r="G11" i="1"/>
  <c r="B19" i="8" l="1"/>
  <c r="AI34" i="11"/>
  <c r="AE34" i="11"/>
  <c r="AK34" i="11"/>
  <c r="E34" i="11"/>
  <c r="J9" i="3"/>
  <c r="V34" i="11"/>
  <c r="B7" i="4"/>
  <c r="C7" i="4"/>
  <c r="C19" i="4" s="1"/>
  <c r="B16" i="8"/>
  <c r="W34" i="11"/>
  <c r="B18" i="8"/>
  <c r="J12" i="3"/>
  <c r="Y34" i="11"/>
  <c r="D5" i="4"/>
  <c r="D7" i="4" s="1"/>
  <c r="D19" i="4" s="1"/>
  <c r="D28" i="6"/>
  <c r="X34" i="11"/>
  <c r="B34" i="11"/>
  <c r="Z34" i="11"/>
  <c r="B19" i="4" l="1"/>
  <c r="B8" i="4"/>
  <c r="B15" i="4" l="1"/>
  <c r="B21" i="4" s="1"/>
  <c r="B17" i="4"/>
  <c r="B23" i="4" s="1"/>
  <c r="B4" i="7"/>
  <c r="C8" i="4"/>
  <c r="B16" i="4"/>
  <c r="B22" i="4" s="1"/>
  <c r="B13" i="4"/>
  <c r="B14" i="4"/>
  <c r="B20" i="4" s="1"/>
  <c r="B24" i="6"/>
  <c r="B7" i="6" a="1"/>
  <c r="B7" i="6" s="1"/>
  <c r="B11" i="7" s="1"/>
  <c r="B14" i="6" a="1"/>
  <c r="B14" i="6" s="1"/>
  <c r="B13" i="7" s="1"/>
  <c r="B13" i="6"/>
  <c r="B27" i="6"/>
  <c r="B26" i="6"/>
  <c r="B11" i="4"/>
  <c r="B8" i="6"/>
  <c r="B18" i="7" s="1"/>
  <c r="B25" i="6"/>
  <c r="B9" i="6" a="1"/>
  <c r="B9" i="6" s="1"/>
  <c r="B19" i="7" s="1"/>
  <c r="B6" i="6"/>
  <c r="B10" i="7" s="1"/>
  <c r="B29" i="6" l="1"/>
  <c r="C17" i="4"/>
  <c r="C23" i="4" s="1"/>
  <c r="C15" i="4"/>
  <c r="C21" i="4" s="1"/>
  <c r="C13" i="4"/>
  <c r="C4" i="7"/>
  <c r="C16" i="4"/>
  <c r="C22" i="4" s="1"/>
  <c r="D8" i="4"/>
  <c r="C14" i="4"/>
  <c r="C20" i="4" s="1"/>
  <c r="B15" i="6"/>
  <c r="B16" i="6" s="1"/>
  <c r="B12" i="7"/>
  <c r="B10" i="4"/>
  <c r="B9" i="4" s="1"/>
  <c r="B5" i="7" l="1"/>
  <c r="B4" i="5"/>
  <c r="D13" i="4"/>
  <c r="D17" i="4"/>
  <c r="D23" i="4" s="1"/>
  <c r="D15" i="4"/>
  <c r="D21" i="4" s="1"/>
  <c r="D16" i="4"/>
  <c r="D22" i="4" s="1"/>
  <c r="D4" i="7"/>
  <c r="D14" i="4"/>
  <c r="D20" i="4" s="1"/>
  <c r="E8" i="4"/>
  <c r="C10" i="4"/>
  <c r="C7" i="6"/>
  <c r="C11" i="7" s="1"/>
  <c r="C9" i="6"/>
  <c r="C19" i="7" s="1"/>
  <c r="C25" i="6"/>
  <c r="C14" i="6"/>
  <c r="C13" i="7" s="1"/>
  <c r="C27" i="6"/>
  <c r="C26" i="6"/>
  <c r="C24" i="6"/>
  <c r="C11" i="4"/>
  <c r="C8" i="6"/>
  <c r="C18" i="7" s="1"/>
  <c r="C6" i="6"/>
  <c r="C10" i="7" s="1"/>
  <c r="C13" i="6"/>
  <c r="C12" i="7" l="1"/>
  <c r="C15" i="6"/>
  <c r="C16" i="6" s="1"/>
  <c r="C29" i="6"/>
  <c r="C9" i="4"/>
  <c r="D10" i="4"/>
  <c r="D9" i="6"/>
  <c r="D19" i="7" s="1"/>
  <c r="D25" i="6"/>
  <c r="D14" i="6"/>
  <c r="D13" i="7" s="1"/>
  <c r="D7" i="6"/>
  <c r="D11" i="7" s="1"/>
  <c r="E17" i="4"/>
  <c r="E23" i="4" s="1"/>
  <c r="E15" i="4"/>
  <c r="E21" i="4" s="1"/>
  <c r="E13" i="4"/>
  <c r="E4" i="7"/>
  <c r="F8" i="4"/>
  <c r="E16" i="4"/>
  <c r="E22" i="4" s="1"/>
  <c r="E14" i="4"/>
  <c r="E20" i="4" s="1"/>
  <c r="B6" i="5"/>
  <c r="B8" i="5"/>
  <c r="D6" i="6"/>
  <c r="D10" i="7" s="1"/>
  <c r="D8" i="6"/>
  <c r="D18" i="7" s="1"/>
  <c r="D26" i="6"/>
  <c r="D24" i="6"/>
  <c r="D11" i="4"/>
  <c r="D13" i="6"/>
  <c r="D27" i="6"/>
  <c r="B20" i="7"/>
  <c r="B21" i="7" s="1"/>
  <c r="D29" i="6" l="1"/>
  <c r="B5" i="6"/>
  <c r="B6" i="7"/>
  <c r="E11" i="4"/>
  <c r="E24" i="6"/>
  <c r="E6" i="6"/>
  <c r="E10" i="7" s="1"/>
  <c r="E27" i="6"/>
  <c r="E13" i="6"/>
  <c r="E26" i="6"/>
  <c r="E8" i="6"/>
  <c r="E18" i="7" s="1"/>
  <c r="F15" i="4"/>
  <c r="F21" i="4" s="1"/>
  <c r="G8" i="4"/>
  <c r="F13" i="4"/>
  <c r="F4" i="7"/>
  <c r="F17" i="4"/>
  <c r="F23" i="4" s="1"/>
  <c r="F14" i="4"/>
  <c r="F20" i="4" s="1"/>
  <c r="F16" i="4"/>
  <c r="F22" i="4" s="1"/>
  <c r="E10" i="4"/>
  <c r="E9" i="6"/>
  <c r="E19" i="7" s="1"/>
  <c r="E7" i="6"/>
  <c r="E11" i="7" s="1"/>
  <c r="E25" i="6"/>
  <c r="E14" i="6"/>
  <c r="E13" i="7" s="1"/>
  <c r="D9" i="4"/>
  <c r="C5" i="7"/>
  <c r="C4" i="5"/>
  <c r="D12" i="7"/>
  <c r="D15" i="6"/>
  <c r="D16" i="6" s="1"/>
  <c r="F8" i="6" l="1"/>
  <c r="F18" i="7" s="1"/>
  <c r="F27" i="6"/>
  <c r="F6" i="6"/>
  <c r="F10" i="7" s="1"/>
  <c r="F13" i="6"/>
  <c r="F26" i="6"/>
  <c r="F24" i="6"/>
  <c r="F11" i="4"/>
  <c r="E12" i="7"/>
  <c r="E15" i="6"/>
  <c r="E16" i="6" s="1"/>
  <c r="E29" i="6"/>
  <c r="C8" i="5"/>
  <c r="C6" i="5"/>
  <c r="C20" i="7"/>
  <c r="C21" i="7" s="1"/>
  <c r="B9" i="7"/>
  <c r="B14" i="7" s="1"/>
  <c r="B15" i="7" s="1"/>
  <c r="B10" i="6"/>
  <c r="B21" i="6" s="1"/>
  <c r="E9" i="4"/>
  <c r="F10" i="4"/>
  <c r="F14" i="6"/>
  <c r="F13" i="7" s="1"/>
  <c r="F9" i="6"/>
  <c r="F19" i="7" s="1"/>
  <c r="F25" i="6"/>
  <c r="F7" i="6"/>
  <c r="F11" i="7" s="1"/>
  <c r="G15" i="4"/>
  <c r="G21" i="4" s="1"/>
  <c r="G13" i="4"/>
  <c r="H8" i="4"/>
  <c r="G4" i="7"/>
  <c r="G14" i="4"/>
  <c r="G20" i="4" s="1"/>
  <c r="G17" i="4"/>
  <c r="G23" i="4" s="1"/>
  <c r="G16" i="4"/>
  <c r="G22" i="4" s="1"/>
  <c r="D5" i="7"/>
  <c r="D4" i="5"/>
  <c r="E5" i="7" l="1"/>
  <c r="E4" i="5"/>
  <c r="F12" i="7"/>
  <c r="F15" i="6"/>
  <c r="F16" i="6" s="1"/>
  <c r="F9" i="4"/>
  <c r="C5" i="6"/>
  <c r="C6" i="7"/>
  <c r="G6" i="6"/>
  <c r="G10" i="7" s="1"/>
  <c r="G13" i="6"/>
  <c r="G26" i="6"/>
  <c r="G11" i="4"/>
  <c r="G24" i="6"/>
  <c r="G8" i="6"/>
  <c r="G18" i="7" s="1"/>
  <c r="G27" i="6"/>
  <c r="G10" i="4"/>
  <c r="G9" i="6"/>
  <c r="G19" i="7" s="1"/>
  <c r="G25" i="6"/>
  <c r="G14" i="6"/>
  <c r="G13" i="7" s="1"/>
  <c r="G7" i="6"/>
  <c r="G11" i="7" s="1"/>
  <c r="D6" i="5"/>
  <c r="D8" i="5"/>
  <c r="D20" i="7"/>
  <c r="D21" i="7" s="1"/>
  <c r="F29" i="6"/>
  <c r="H13" i="4"/>
  <c r="I8" i="4"/>
  <c r="H4" i="7"/>
  <c r="H15" i="4"/>
  <c r="H21" i="4" s="1"/>
  <c r="H17" i="4"/>
  <c r="H23" i="4" s="1"/>
  <c r="H14" i="4"/>
  <c r="H20" i="4" s="1"/>
  <c r="H16" i="4"/>
  <c r="H22" i="4" s="1"/>
  <c r="G9" i="4" l="1"/>
  <c r="D5" i="6"/>
  <c r="D6" i="7"/>
  <c r="G12" i="7"/>
  <c r="G15" i="6"/>
  <c r="G16" i="6" s="1"/>
  <c r="F5" i="7"/>
  <c r="F4" i="5"/>
  <c r="H10" i="4"/>
  <c r="H14" i="6"/>
  <c r="H13" i="7" s="1"/>
  <c r="H9" i="6"/>
  <c r="H19" i="7" s="1"/>
  <c r="H7" i="6"/>
  <c r="H11" i="7" s="1"/>
  <c r="H25" i="6"/>
  <c r="E6" i="5"/>
  <c r="E8" i="5"/>
  <c r="G29" i="6"/>
  <c r="H13" i="6"/>
  <c r="H27" i="6"/>
  <c r="H24" i="6"/>
  <c r="H8" i="6"/>
  <c r="H18" i="7" s="1"/>
  <c r="H6" i="6"/>
  <c r="H10" i="7" s="1"/>
  <c r="H11" i="4"/>
  <c r="H26" i="6"/>
  <c r="C10" i="6"/>
  <c r="C21" i="6" s="1"/>
  <c r="C9" i="7"/>
  <c r="C14" i="7" s="1"/>
  <c r="C15" i="7" s="1"/>
  <c r="I13" i="4"/>
  <c r="J8" i="4"/>
  <c r="I15" i="4"/>
  <c r="I21" i="4" s="1"/>
  <c r="I14" i="4"/>
  <c r="I20" i="4" s="1"/>
  <c r="I4" i="7"/>
  <c r="I17" i="4"/>
  <c r="I23" i="4" s="1"/>
  <c r="I16" i="4"/>
  <c r="I22" i="4" s="1"/>
  <c r="E20" i="7"/>
  <c r="E21" i="7" s="1"/>
  <c r="H29" i="6" l="1"/>
  <c r="H12" i="7"/>
  <c r="H15" i="6"/>
  <c r="H16" i="6" s="1"/>
  <c r="E5" i="6"/>
  <c r="E6" i="7"/>
  <c r="H9" i="4"/>
  <c r="F6" i="5"/>
  <c r="F8" i="5"/>
  <c r="I27" i="6"/>
  <c r="I6" i="6"/>
  <c r="I10" i="7" s="1"/>
  <c r="I13" i="6"/>
  <c r="I8" i="6"/>
  <c r="I18" i="7" s="1"/>
  <c r="I24" i="6"/>
  <c r="I26" i="6"/>
  <c r="I11" i="4"/>
  <c r="F20" i="7"/>
  <c r="F21" i="7" s="1"/>
  <c r="K8" i="4"/>
  <c r="J15" i="4"/>
  <c r="J21" i="4" s="1"/>
  <c r="J14" i="4"/>
  <c r="J20" i="4" s="1"/>
  <c r="J16" i="4"/>
  <c r="J22" i="4" s="1"/>
  <c r="J17" i="4"/>
  <c r="J23" i="4" s="1"/>
  <c r="J13" i="4"/>
  <c r="J4" i="7"/>
  <c r="I10" i="4"/>
  <c r="I25" i="6"/>
  <c r="I14" i="6"/>
  <c r="I13" i="7" s="1"/>
  <c r="I7" i="6"/>
  <c r="I11" i="7" s="1"/>
  <c r="I9" i="6"/>
  <c r="I19" i="7" s="1"/>
  <c r="D9" i="7"/>
  <c r="D14" i="7" s="1"/>
  <c r="D15" i="7" s="1"/>
  <c r="D10" i="6"/>
  <c r="D21" i="6" s="1"/>
  <c r="G5" i="7"/>
  <c r="G4" i="5"/>
  <c r="G6" i="5" l="1"/>
  <c r="G8" i="5"/>
  <c r="G20" i="7"/>
  <c r="G21" i="7" s="1"/>
  <c r="H5" i="7"/>
  <c r="H4" i="5"/>
  <c r="J11" i="4"/>
  <c r="J6" i="6"/>
  <c r="J10" i="7" s="1"/>
  <c r="J27" i="6"/>
  <c r="J8" i="6"/>
  <c r="J18" i="7" s="1"/>
  <c r="J24" i="6"/>
  <c r="J26" i="6"/>
  <c r="J13" i="6"/>
  <c r="L8" i="4"/>
  <c r="K16" i="4"/>
  <c r="K22" i="4" s="1"/>
  <c r="K4" i="7"/>
  <c r="K14" i="4"/>
  <c r="K20" i="4" s="1"/>
  <c r="K13" i="4"/>
  <c r="K15" i="4"/>
  <c r="K21" i="4" s="1"/>
  <c r="K17" i="4"/>
  <c r="K23" i="4" s="1"/>
  <c r="I29" i="6"/>
  <c r="I12" i="7"/>
  <c r="I15" i="6"/>
  <c r="I16" i="6" s="1"/>
  <c r="F5" i="6"/>
  <c r="F6" i="7"/>
  <c r="E10" i="6"/>
  <c r="E21" i="6" s="1"/>
  <c r="E9" i="7"/>
  <c r="E14" i="7" s="1"/>
  <c r="E15" i="7" s="1"/>
  <c r="I9" i="4"/>
  <c r="J10" i="4"/>
  <c r="J25" i="6"/>
  <c r="J7" i="6"/>
  <c r="J11" i="7" s="1"/>
  <c r="J9" i="6"/>
  <c r="J19" i="7" s="1"/>
  <c r="J14" i="6"/>
  <c r="J13" i="7" s="1"/>
  <c r="K24" i="6" l="1"/>
  <c r="K8" i="6"/>
  <c r="K18" i="7" s="1"/>
  <c r="K27" i="6"/>
  <c r="K6" i="6"/>
  <c r="K10" i="7" s="1"/>
  <c r="K26" i="6"/>
  <c r="K11" i="4"/>
  <c r="K13" i="6"/>
  <c r="J12" i="7"/>
  <c r="J15" i="6"/>
  <c r="J16" i="6" s="1"/>
  <c r="J29" i="6"/>
  <c r="K10" i="4"/>
  <c r="K9" i="6"/>
  <c r="K19" i="7" s="1"/>
  <c r="K7" i="6"/>
  <c r="K11" i="7" s="1"/>
  <c r="K14" i="6"/>
  <c r="K13" i="7" s="1"/>
  <c r="K25" i="6"/>
  <c r="M8" i="4"/>
  <c r="L16" i="4"/>
  <c r="L22" i="4" s="1"/>
  <c r="L4" i="7"/>
  <c r="L15" i="4"/>
  <c r="L21" i="4" s="1"/>
  <c r="L13" i="4"/>
  <c r="L17" i="4"/>
  <c r="L23" i="4" s="1"/>
  <c r="L14" i="4"/>
  <c r="L20" i="4" s="1"/>
  <c r="J9" i="4"/>
  <c r="I4" i="5"/>
  <c r="I5" i="7"/>
  <c r="H6" i="5"/>
  <c r="H8" i="5"/>
  <c r="G5" i="6"/>
  <c r="G6" i="7"/>
  <c r="H20" i="7"/>
  <c r="H21" i="7" s="1"/>
  <c r="F10" i="6"/>
  <c r="F21" i="6" s="1"/>
  <c r="F9" i="7"/>
  <c r="F14" i="7" s="1"/>
  <c r="F15" i="7" s="1"/>
  <c r="L10" i="4" l="1"/>
  <c r="L14" i="6"/>
  <c r="L13" i="7" s="1"/>
  <c r="L25" i="6"/>
  <c r="L9" i="6"/>
  <c r="L19" i="7" s="1"/>
  <c r="L7" i="6"/>
  <c r="L11" i="7" s="1"/>
  <c r="M16" i="4"/>
  <c r="M22" i="4" s="1"/>
  <c r="M14" i="4"/>
  <c r="M20" i="4" s="1"/>
  <c r="M4" i="7"/>
  <c r="M15" i="4"/>
  <c r="M21" i="4" s="1"/>
  <c r="M17" i="4"/>
  <c r="M23" i="4" s="1"/>
  <c r="M13" i="4"/>
  <c r="L24" i="6"/>
  <c r="L8" i="6"/>
  <c r="L18" i="7" s="1"/>
  <c r="L13" i="6"/>
  <c r="L26" i="6"/>
  <c r="L27" i="6"/>
  <c r="L11" i="4"/>
  <c r="L6" i="6"/>
  <c r="L10" i="7" s="1"/>
  <c r="K12" i="7"/>
  <c r="K15" i="6"/>
  <c r="K16" i="6" s="1"/>
  <c r="K9" i="4"/>
  <c r="G10" i="6"/>
  <c r="G21" i="6" s="1"/>
  <c r="G9" i="7"/>
  <c r="G14" i="7" s="1"/>
  <c r="G15" i="7" s="1"/>
  <c r="H5" i="6"/>
  <c r="H6" i="7"/>
  <c r="I20" i="7"/>
  <c r="I21" i="7" s="1"/>
  <c r="I6" i="5"/>
  <c r="I8" i="5"/>
  <c r="J4" i="5"/>
  <c r="J5" i="7"/>
  <c r="K29" i="6"/>
  <c r="K4" i="5" l="1"/>
  <c r="K5" i="7"/>
  <c r="J20" i="7"/>
  <c r="J21" i="7" s="1"/>
  <c r="L12" i="7"/>
  <c r="L15" i="6"/>
  <c r="L16" i="6" s="1"/>
  <c r="L29" i="6"/>
  <c r="M10" i="4"/>
  <c r="M25" i="6"/>
  <c r="M7" i="6"/>
  <c r="M11" i="7" s="1"/>
  <c r="M9" i="6"/>
  <c r="M19" i="7" s="1"/>
  <c r="M14" i="6"/>
  <c r="M13" i="7" s="1"/>
  <c r="J8" i="5"/>
  <c r="J6" i="5"/>
  <c r="I6" i="7"/>
  <c r="I5" i="6"/>
  <c r="M6" i="6"/>
  <c r="M10" i="7" s="1"/>
  <c r="M26" i="6"/>
  <c r="M24" i="6"/>
  <c r="M8" i="6"/>
  <c r="M18" i="7" s="1"/>
  <c r="M13" i="6"/>
  <c r="M11" i="4"/>
  <c r="M27" i="6"/>
  <c r="H10" i="6"/>
  <c r="H21" i="6" s="1"/>
  <c r="H9" i="7"/>
  <c r="H14" i="7" s="1"/>
  <c r="H15" i="7" s="1"/>
  <c r="L9" i="4"/>
  <c r="M29" i="6" l="1"/>
  <c r="I10" i="6"/>
  <c r="I21" i="6" s="1"/>
  <c r="I9" i="7"/>
  <c r="I14" i="7" s="1"/>
  <c r="I15" i="7" s="1"/>
  <c r="M15" i="6"/>
  <c r="M16" i="6" s="1"/>
  <c r="M12" i="7"/>
  <c r="J6" i="7"/>
  <c r="J5" i="6"/>
  <c r="M9" i="4"/>
  <c r="L5" i="7"/>
  <c r="L4" i="5"/>
  <c r="K20" i="7"/>
  <c r="K21" i="7" s="1"/>
  <c r="K8" i="5"/>
  <c r="K6" i="5"/>
  <c r="J9" i="7" l="1"/>
  <c r="J14" i="7" s="1"/>
  <c r="J15" i="7" s="1"/>
  <c r="J10" i="6"/>
  <c r="J21" i="6" s="1"/>
  <c r="K6" i="7"/>
  <c r="K5" i="6"/>
  <c r="M5" i="7"/>
  <c r="M4" i="5"/>
  <c r="L8" i="5"/>
  <c r="L6" i="5"/>
  <c r="L20" i="7"/>
  <c r="L21" i="7" s="1"/>
  <c r="L6" i="7" l="1"/>
  <c r="L5" i="6"/>
  <c r="M6" i="5"/>
  <c r="M8" i="5"/>
  <c r="M20" i="7"/>
  <c r="M21" i="7" s="1"/>
  <c r="K10" i="6"/>
  <c r="K21" i="6" s="1"/>
  <c r="K9" i="7"/>
  <c r="K14" i="7" s="1"/>
  <c r="K15" i="7" s="1"/>
  <c r="M6" i="7" l="1"/>
  <c r="M5" i="6"/>
  <c r="L9" i="7"/>
  <c r="L14" i="7" s="1"/>
  <c r="L15" i="7" s="1"/>
  <c r="L10" i="6"/>
  <c r="L21" i="6" s="1"/>
  <c r="M10" i="6" l="1"/>
  <c r="M21" i="6" s="1"/>
  <c r="M9" i="7"/>
  <c r="M14" i="7" s="1"/>
  <c r="M15" i="7" s="1"/>
</calcChain>
</file>

<file path=xl/sharedStrings.xml><?xml version="1.0" encoding="utf-8"?>
<sst xmlns="http://schemas.openxmlformats.org/spreadsheetml/2006/main" count="828" uniqueCount="277">
  <si>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</si>
  <si>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</si>
  <si>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</si>
  <si>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</si>
  <si>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</si>
  <si>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</si>
  <si>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</si>
  <si>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</si>
  <si>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</si>
  <si>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</si>
  <si>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</si>
  <si>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</si>
  <si>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</si>
  <si>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</si>
  <si>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</si>
  <si>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</si>
  <si>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</si>
  <si>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</si>
  <si>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</si>
  <si>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</si>
  <si>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</si>
  <si>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</si>
  <si>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</si>
  <si>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</si>
  <si>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</si>
  <si>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</si>
  <si>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</si>
  <si>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</si>
  <si>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</si>
  <si>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</si>
  <si>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</si>
  <si>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</si>
  <si>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</si>
  <si>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</si>
  <si>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</si>
  <si>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</si>
  <si>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</si>
  <si>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</si>
  <si>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</si>
  <si>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</si>
  <si>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</si>
  <si>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</si>
  <si>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</si>
  <si>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</si>
  <si>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</si>
  <si>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</si>
  <si>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</si>
  <si>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</si>
  <si>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</si>
  <si>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</si>
  <si>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</si>
  <si>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</si>
  <si>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</si>
  <si>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</si>
  <si>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</si>
  <si>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</si>
  <si>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</si>
  <si>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</si>
  <si>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Level #</t>
  </si>
  <si>
    <t>Sales Threshold</t>
  </si>
  <si>
    <t>Base Commission %</t>
  </si>
  <si>
    <t>WELCOME REWARDS</t>
  </si>
  <si>
    <t>--- Commission Boost ---</t>
  </si>
  <si>
    <t>--- Gift Card ---</t>
  </si>
  <si>
    <t>Quantity</t>
  </si>
  <si>
    <t>Value %</t>
  </si>
  <si>
    <t>Duration (Days)</t>
  </si>
  <si>
    <t>Value $</t>
  </si>
  <si>
    <t>Spark Ads Qty</t>
  </si>
  <si>
    <t>Spark Ads $</t>
  </si>
  <si>
    <t>--- Follower Discount  ---</t>
  </si>
  <si>
    <t>--- Physical Gift  ---</t>
  </si>
  <si>
    <t>--- Experience ---</t>
  </si>
  <si>
    <t>Experience Qty</t>
  </si>
  <si>
    <t>Experience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</si>
  <si>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</si>
  <si>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</si>
  <si>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</si>
  <si>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</si>
  <si>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</si>
  <si>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</si>
  <si>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</si>
  <si>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Type</t>
  </si>
  <si>
    <t>Reward Value</t>
  </si>
  <si>
    <t>Reward Duration</t>
  </si>
  <si>
    <t>Active?</t>
  </si>
  <si>
    <t>Cost per Completion</t>
  </si>
  <si>
    <t>Sales</t>
  </si>
  <si>
    <t>One-time</t>
  </si>
  <si>
    <t>Gift Card</t>
  </si>
  <si>
    <t>Yes</t>
  </si>
  <si>
    <t>Views</t>
  </si>
  <si>
    <t>Discount</t>
  </si>
  <si>
    <t>Monthly</t>
  </si>
  <si>
    <t>Videos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</si>
  <si>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</si>
  <si>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</si>
  <si>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</si>
  <si>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</si>
  <si>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</si>
  <si>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</si>
  <si>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</si>
  <si>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</si>
  <si>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</si>
  <si>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</si>
  <si>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</si>
  <si>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</si>
  <si>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</si>
  <si>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</si>
  <si>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</si>
  <si>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</si>
  <si>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</si>
  <si>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</si>
  <si>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</si>
  <si>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</si>
  <si>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</si>
  <si>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</si>
  <si>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</si>
  <si>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</si>
  <si>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</si>
  <si>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</si>
  <si>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</si>
  <si>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</si>
  <si>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</si>
  <si>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</si>
  <si>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</si>
  <si>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</si>
  <si>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</si>
  <si>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</si>
  <si>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</si>
  <si>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</si>
  <si>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</si>
  <si>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</si>
  <si>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</si>
  <si>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</si>
  <si>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</si>
  <si>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</si>
  <si>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</si>
  <si>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</si>
  <si>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</si>
  <si>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</si>
  <si>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</si>
  <si>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</si>
  <si>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</si>
  <si>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</si>
  <si>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</si>
  <si>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</si>
  <si>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</si>
  <si>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</si>
  <si>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</si>
  <si>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</si>
  <si>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</si>
  <si>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</si>
  <si>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</si>
  <si>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</si>
  <si>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</si>
  <si>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</si>
  <si>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</si>
  <si>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</si>
  <si>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</si>
  <si>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</si>
  <si>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</si>
  <si>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</si>
  <si>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</si>
  <si>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</si>
  <si>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</si>
  <si>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SCENARIO COMPARISON</t>
  </si>
  <si>
    <t>INPUT ASSUMPTIONS</t>
  </si>
  <si>
    <t>Variable</t>
  </si>
  <si>
    <t>Conservative</t>
  </si>
  <si>
    <t>Base Case</t>
  </si>
  <si>
    <t>Optimistic</t>
  </si>
  <si>
    <t>Performer Distribution</t>
  </si>
  <si>
    <t>Base</t>
  </si>
  <si>
    <t>Uplift Factor</t>
  </si>
  <si>
    <t>1.05x</t>
  </si>
  <si>
    <t>1.5x</t>
  </si>
  <si>
    <t>1.95x</t>
  </si>
  <si>
    <t>Mission Variance Multiplier</t>
  </si>
  <si>
    <t>0.7x</t>
  </si>
  <si>
    <t>1.0x</t>
  </si>
  <si>
    <t>1.3x</t>
  </si>
  <si>
    <t>AVERAGE FROM THREE SCENARIOS</t>
  </si>
  <si>
    <t>Loyalty Cost per Sale</t>
  </si>
  <si>
    <t>Loyalty Cost % Margin</t>
  </si>
  <si>
    <t>Discount Cost per Sale</t>
  </si>
  <si>
    <t>Discount Cost % Margin</t>
  </si>
  <si>
    <t>Loyalty Cost per Unit</t>
  </si>
  <si>
    <t>% of Margin</t>
  </si>
  <si>
    <t>Discount Cost per Unit</t>
  </si>
  <si>
    <t>CONSERVATIVE - MONTHLY UNIT COST TRAJECTORY</t>
  </si>
  <si>
    <t>Average</t>
  </si>
  <si>
    <t>BASE - MONTHLY UNIT COST TRAJECTORY</t>
  </si>
  <si>
    <t>OPTIMISTIC - MONTHLY UNIT COST TRAJECTORY</t>
  </si>
  <si>
    <t>SCENARIO PLANNING - INPUTS</t>
  </si>
  <si>
    <t>These inputs feed into ScenarioCalc.md methodology</t>
  </si>
  <si>
    <t>1. PERFORMER SALES RANGES</t>
  </si>
  <si>
    <t>Performer</t>
  </si>
  <si>
    <t>Min Sales/Mo</t>
  </si>
  <si>
    <t>Max Sales/Mo</t>
  </si>
  <si>
    <t>Inactive</t>
  </si>
  <si>
    <t>Casual</t>
  </si>
  <si>
    <t>Active</t>
  </si>
  <si>
    <t>Power</t>
  </si>
  <si>
    <t>Viral</t>
  </si>
  <si>
    <t>2. PERFORMER DISTRIBUTION (% per scenario)</t>
  </si>
  <si>
    <t>Total</t>
  </si>
  <si>
    <t>3. UPLIFT FACTORS</t>
  </si>
  <si>
    <t>Scenario</t>
  </si>
  <si>
    <t>4. SALES THRESHOLDS</t>
  </si>
  <si>
    <t>Tier</t>
  </si>
  <si>
    <t>Cumulative Sales</t>
  </si>
  <si>
    <t>5. Mission Completion Variance Multiplier</t>
  </si>
  <si>
    <t>Variance</t>
  </si>
  <si>
    <t>SCENARIO PLANNING - Outputs</t>
  </si>
  <si>
    <t>STEP 1: VIP Level Growth</t>
  </si>
  <si>
    <t>CONSERVATIVE</t>
  </si>
  <si>
    <t>BASE</t>
  </si>
  <si>
    <t>OPTIMISTIC</t>
  </si>
  <si>
    <t>STEP 2: AVG SALES/MO PER TIER</t>
  </si>
  <si>
    <t>STEP 4: MISSION COMPLETION RATES</t>
  </si>
  <si>
    <t>Mission</t>
  </si>
  <si>
    <t>Frequency</t>
  </si>
  <si>
    <t>Cons.</t>
  </si>
  <si>
    <t>Optim.</t>
  </si>
  <si>
    <t>CONSERVATIVE SCENARIO CALCULATION</t>
  </si>
  <si>
    <t>OPTIMISTIC SCENARIO CALCULATION</t>
  </si>
  <si>
    <t>Uplift Factor: 1.5x</t>
  </si>
  <si>
    <t>Uplift Factor: 4.5x</t>
  </si>
  <si>
    <t>1. VIP LEVEL DISTRIBUTION</t>
  </si>
  <si>
    <t>2. AVG SALES/MO PER TIER</t>
  </si>
  <si>
    <t>Avg Sales/Mo</t>
  </si>
  <si>
    <t>3. BUCKET CREATION SUMMARY</t>
  </si>
  <si>
    <t>Original</t>
  </si>
  <si>
    <t>Uplifted</t>
  </si>
  <si>
    <t>Buckets</t>
  </si>
  <si>
    <t>% per Bucket</t>
  </si>
  <si>
    <t>0-1</t>
  </si>
  <si>
    <t>0.0-1.5</t>
  </si>
  <si>
    <t>0.0-4.5</t>
  </si>
  <si>
    <t>2-4</t>
  </si>
  <si>
    <t>3.0-6.0</t>
  </si>
  <si>
    <t>9.0-18.0</t>
  </si>
  <si>
    <t>5-10</t>
  </si>
  <si>
    <t>7.5-15.0</t>
  </si>
  <si>
    <t>22.5-45.0</t>
  </si>
  <si>
    <t>15-30</t>
  </si>
  <si>
    <t>50-100</t>
  </si>
  <si>
    <t>4. M12 TIER COMPOSITION</t>
  </si>
  <si>
    <t>Who's Here</t>
  </si>
  <si>
    <t>Total %</t>
  </si>
  <si>
    <t>Inactive (0, 0.5, 1.0 buckets)</t>
  </si>
  <si>
    <t>Inactive (low buckets)</t>
  </si>
  <si>
    <t>Inactive (1.5) + All Casual + Low Active</t>
  </si>
  <si>
    <t>Inactive (high) + Casual</t>
  </si>
  <si>
    <t>Mid Active</t>
  </si>
  <si>
    <t>Active (low-mid)</t>
  </si>
  <si>
    <t>High Active + All Power + All Viral</t>
  </si>
  <si>
    <t>Active (high) + Power + Viral</t>
  </si>
  <si>
    <t>5. MISSION COMPLETION RATES</t>
  </si>
  <si>
    <t>Variance Multiplier: 0.7, One-Time Factor: 0.25</t>
  </si>
  <si>
    <t>Calculation</t>
  </si>
  <si>
    <t>(0.5×12/10)×0.7×0.25</t>
  </si>
  <si>
    <t>(3.7/20)×0.7</t>
  </si>
  <si>
    <t>(9.7/50)×0.7</t>
  </si>
  <si>
    <t>(21.4/100)×0.7</t>
  </si>
  <si>
    <t>SCENARIO CONFIGURATION (v2)</t>
  </si>
  <si>
    <t>Yellow = Input | Green = Derived</t>
  </si>
  <si>
    <t>1. AVG SALES/MO PER TIER</t>
  </si>
  <si>
    <t>2. M1 VIP DISTRIBUTION (Starting Point)</t>
  </si>
  <si>
    <t>Sum</t>
  </si>
  <si>
    <t>3. M12 VIP DISTRIBUTION (Target)</t>
  </si>
  <si>
    <t>4. DERIVED: MONTHLY VIP DISTRIBUTION</t>
  </si>
  <si>
    <t>5. MISSION CONFIG</t>
  </si>
  <si>
    <t>Reward</t>
  </si>
  <si>
    <t>One-Time Factor</t>
  </si>
  <si>
    <t>6. DERIVED: MISSION COMPLETION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</si>
</sst>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\$#,##0"/>
    <numFmt numFmtId="166" formatCode="0.0"/>
    <numFmt numFmtId="167" formatCode="0.0%"/>
  </numFmts>
  <fonts count="44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4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4"/>
      <name val="Calibri"/>
      <family val="2"/>
    </font>
    <font>
      <i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57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rgb="FFFFF2CC"/>
      </patternFill>
    </fill>
    <fill>
      <patternFill patternType="solid">
        <fgColor rgb="FF4472C4"/>
        <bgColor rgb="FF4472C4"/>
      </patternFill>
    </fill>
    <fill>
      <patternFill patternType="solid">
        <fgColor rgb="FFEBF1DE"/>
        <bgColor rgb="FFFFF2CC"/>
      </patternFill>
    </fill>
    <fill>
      <patternFill patternType="solid">
        <fgColor rgb="FFFFF2CC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FFF2CC"/>
        <bgColor rgb="FFFFF2CC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E2EFDA"/>
        <bgColor rgb="FFE2EFDA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16"/>
    <xf numFmtId="9" fontId="15" fillId="0" borderId="16"/>
  </cellStyleXfs>
  <cellXfs count="240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17" fillId="0" borderId="0" xfId="0" applyFont="1" applyBorder="1"/>
    <xf numFmtId="0" fontId="18" fillId="22" borderId="5" xfId="0" applyFont="1" applyFill="1" applyBorder="1" applyAlignment="1">
      <alignment horizontal="center" vertical="center"/>
    </xf>
    <xf numFmtId="0" fontId="0" fillId="0" borderId="5" xfId="0" applyBorder="1"/>
    <xf numFmtId="0" fontId="2" fillId="23" borderId="0" xfId="0" applyFont="1" applyFill="1" applyBorder="1"/>
    <xf numFmtId="0" fontId="5" fillId="23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165" fontId="0" fillId="17" borderId="5" xfId="0" applyNumberFormat="1" applyFill="1" applyBorder="1" applyAlignment="1">
      <alignment horizontal="center"/>
    </xf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19" fillId="0" borderId="0" xfId="0" applyFont="1" applyBorder="1"/>
    <xf numFmtId="0" fontId="20" fillId="0" borderId="0" xfId="0" applyFont="1" applyBorder="1"/>
    <xf numFmtId="0" fontId="0" fillId="0" borderId="6" xfId="0" applyBorder="1"/>
    <xf numFmtId="9" fontId="0" fillId="25" borderId="6" xfId="0" applyNumberFormat="1" applyFill="1" applyBorder="1" applyAlignment="1">
      <alignment horizontal="center" vertical="center"/>
    </xf>
    <xf numFmtId="0" fontId="21" fillId="0" borderId="6" xfId="0" applyFont="1" applyBorder="1"/>
    <xf numFmtId="9" fontId="21" fillId="26" borderId="6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0" borderId="8" xfId="0" applyBorder="1" applyAlignment="1">
      <alignment horizontal="center" vertical="center"/>
    </xf>
    <xf numFmtId="9" fontId="0" fillId="29" borderId="8" xfId="0" applyNumberFormat="1" applyFill="1" applyBorder="1" applyAlignment="1">
      <alignment horizontal="center" vertical="center"/>
    </xf>
    <xf numFmtId="0" fontId="0" fillId="29" borderId="8" xfId="0" applyFill="1" applyBorder="1" applyAlignment="1">
      <alignment horizontal="center" vertical="center"/>
    </xf>
    <xf numFmtId="0" fontId="0" fillId="31" borderId="8" xfId="0" applyFill="1" applyBorder="1" applyAlignment="1">
      <alignment horizontal="center" vertical="center"/>
    </xf>
    <xf numFmtId="0" fontId="23" fillId="0" borderId="0" xfId="0" applyFont="1" applyBorder="1"/>
    <xf numFmtId="0" fontId="24" fillId="0" borderId="0" xfId="0" applyFont="1" applyBorder="1"/>
    <xf numFmtId="0" fontId="25" fillId="24" borderId="6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9" fontId="0" fillId="32" borderId="6" xfId="0" applyNumberFormat="1" applyFill="1" applyBorder="1" applyAlignment="1">
      <alignment horizontal="center" vertical="center"/>
    </xf>
    <xf numFmtId="9" fontId="0" fillId="33" borderId="6" xfId="0" applyNumberFormat="1" applyFill="1" applyBorder="1" applyAlignment="1">
      <alignment horizontal="center" vertical="center"/>
    </xf>
    <xf numFmtId="0" fontId="27" fillId="0" borderId="7" xfId="0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 vertical="center"/>
    </xf>
    <xf numFmtId="0" fontId="28" fillId="0" borderId="7" xfId="0" applyFont="1" applyBorder="1"/>
    <xf numFmtId="9" fontId="26" fillId="0" borderId="7" xfId="0" applyNumberFormat="1" applyFont="1" applyBorder="1" applyAlignment="1">
      <alignment horizontal="center" vertical="center"/>
    </xf>
    <xf numFmtId="0" fontId="26" fillId="0" borderId="0" xfId="0" applyFont="1" applyBorder="1"/>
    <xf numFmtId="0" fontId="26" fillId="0" borderId="8" xfId="0" applyFont="1" applyBorder="1" applyAlignment="1">
      <alignment horizontal="center"/>
    </xf>
    <xf numFmtId="0" fontId="27" fillId="0" borderId="4" xfId="0" applyFont="1" applyBorder="1"/>
    <xf numFmtId="9" fontId="26" fillId="0" borderId="10" xfId="0" applyNumberFormat="1" applyFont="1" applyBorder="1" applyAlignment="1">
      <alignment horizontal="center" vertical="center"/>
    </xf>
    <xf numFmtId="0" fontId="26" fillId="0" borderId="11" xfId="0" applyFont="1" applyBorder="1"/>
    <xf numFmtId="9" fontId="26" fillId="0" borderId="11" xfId="0" applyNumberFormat="1" applyFont="1" applyBorder="1" applyAlignment="1">
      <alignment horizontal="center" vertical="center"/>
    </xf>
    <xf numFmtId="0" fontId="9" fillId="28" borderId="8" xfId="0" applyFont="1" applyFill="1" applyBorder="1" applyAlignment="1">
      <alignment horizontal="center" vertical="center"/>
    </xf>
    <xf numFmtId="9" fontId="9" fillId="28" borderId="8" xfId="0" applyNumberFormat="1" applyFont="1" applyFill="1" applyBorder="1" applyAlignment="1">
      <alignment horizontal="center" vertical="center"/>
    </xf>
    <xf numFmtId="9" fontId="0" fillId="31" borderId="8" xfId="0" applyNumberFormat="1" applyFill="1" applyBorder="1" applyAlignment="1">
      <alignment horizontal="center" vertical="center"/>
    </xf>
    <xf numFmtId="0" fontId="4" fillId="0" borderId="8" xfId="0" applyFont="1" applyBorder="1"/>
    <xf numFmtId="9" fontId="26" fillId="31" borderId="8" xfId="0" applyNumberFormat="1" applyFont="1" applyFill="1" applyBorder="1" applyAlignment="1">
      <alignment horizontal="center" vertical="center"/>
    </xf>
    <xf numFmtId="0" fontId="4" fillId="0" borderId="9" xfId="0" applyFont="1" applyBorder="1"/>
    <xf numFmtId="9" fontId="4" fillId="30" borderId="9" xfId="0" applyNumberFormat="1" applyFont="1" applyFill="1" applyBorder="1" applyAlignment="1">
      <alignment horizontal="center" vertical="center"/>
    </xf>
    <xf numFmtId="9" fontId="0" fillId="27" borderId="8" xfId="0" applyNumberFormat="1" applyFill="1" applyBorder="1" applyAlignment="1">
      <alignment horizontal="center" vertical="center"/>
    </xf>
    <xf numFmtId="9" fontId="22" fillId="27" borderId="8" xfId="0" applyNumberFormat="1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9" fillId="28" borderId="4" xfId="0" applyFont="1" applyFill="1" applyBorder="1" applyAlignment="1">
      <alignment horizontal="center" vertical="center"/>
    </xf>
    <xf numFmtId="0" fontId="28" fillId="0" borderId="12" xfId="0" applyFont="1" applyBorder="1"/>
    <xf numFmtId="0" fontId="26" fillId="0" borderId="12" xfId="0" applyFont="1" applyBorder="1" applyAlignment="1">
      <alignment horizontal="center" vertical="center"/>
    </xf>
    <xf numFmtId="0" fontId="26" fillId="0" borderId="12" xfId="0" applyFont="1" applyBorder="1"/>
    <xf numFmtId="0" fontId="0" fillId="27" borderId="8" xfId="0" applyFill="1" applyBorder="1" applyAlignment="1">
      <alignment horizontal="center" vertical="center"/>
    </xf>
    <xf numFmtId="0" fontId="27" fillId="0" borderId="12" xfId="0" applyFont="1" applyBorder="1"/>
    <xf numFmtId="0" fontId="0" fillId="0" borderId="9" xfId="0" applyBorder="1"/>
    <xf numFmtId="0" fontId="0" fillId="31" borderId="9" xfId="0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9" fontId="9" fillId="28" borderId="4" xfId="0" applyNumberFormat="1" applyFont="1" applyFill="1" applyBorder="1" applyAlignment="1">
      <alignment horizontal="center" vertical="center"/>
    </xf>
    <xf numFmtId="0" fontId="26" fillId="32" borderId="8" xfId="0" applyFont="1" applyFill="1" applyBorder="1" applyAlignment="1">
      <alignment horizontal="center"/>
    </xf>
    <xf numFmtId="0" fontId="29" fillId="0" borderId="13" xfId="0" applyFont="1" applyBorder="1"/>
    <xf numFmtId="2" fontId="0" fillId="25" borderId="6" xfId="0" applyNumberFormat="1" applyFill="1" applyBorder="1" applyAlignment="1">
      <alignment horizontal="center" vertical="center"/>
    </xf>
    <xf numFmtId="2" fontId="0" fillId="33" borderId="6" xfId="0" applyNumberFormat="1" applyFill="1" applyBorder="1" applyAlignment="1">
      <alignment horizontal="center" vertical="center"/>
    </xf>
    <xf numFmtId="0" fontId="26" fillId="0" borderId="13" xfId="0" applyFont="1" applyBorder="1"/>
    <xf numFmtId="9" fontId="26" fillId="0" borderId="13" xfId="0" applyNumberFormat="1" applyFont="1" applyBorder="1" applyAlignment="1">
      <alignment horizontal="center" vertical="center"/>
    </xf>
    <xf numFmtId="0" fontId="0" fillId="0" borderId="13" xfId="0" applyBorder="1"/>
    <xf numFmtId="0" fontId="4" fillId="0" borderId="4" xfId="0" applyFont="1" applyBorder="1"/>
    <xf numFmtId="9" fontId="0" fillId="31" borderId="14" xfId="0" applyNumberFormat="1" applyFill="1" applyBorder="1" applyAlignment="1">
      <alignment horizontal="center" vertical="center"/>
    </xf>
    <xf numFmtId="9" fontId="0" fillId="29" borderId="14" xfId="0" applyNumberFormat="1" applyFill="1" applyBorder="1" applyAlignment="1">
      <alignment horizontal="center" vertical="center"/>
    </xf>
    <xf numFmtId="9" fontId="0" fillId="27" borderId="14" xfId="0" applyNumberFormat="1" applyFill="1" applyBorder="1" applyAlignment="1">
      <alignment horizontal="center" vertical="center"/>
    </xf>
    <xf numFmtId="166" fontId="26" fillId="0" borderId="12" xfId="0" applyNumberFormat="1" applyFont="1" applyBorder="1" applyAlignment="1">
      <alignment horizontal="center" vertical="center"/>
    </xf>
    <xf numFmtId="0" fontId="17" fillId="0" borderId="13" xfId="0" applyFont="1" applyBorder="1"/>
    <xf numFmtId="0" fontId="4" fillId="0" borderId="12" xfId="0" applyFont="1" applyBorder="1"/>
    <xf numFmtId="0" fontId="0" fillId="0" borderId="15" xfId="0" applyBorder="1"/>
    <xf numFmtId="0" fontId="0" fillId="0" borderId="15" xfId="0" applyBorder="1" applyAlignment="1">
      <alignment horizontal="center" vertical="center"/>
    </xf>
    <xf numFmtId="0" fontId="30" fillId="0" borderId="16" xfId="0" applyFont="1"/>
    <xf numFmtId="0" fontId="31" fillId="0" borderId="16" xfId="0" applyFont="1"/>
    <xf numFmtId="0" fontId="32" fillId="34" borderId="17" xfId="0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/>
    </xf>
    <xf numFmtId="0" fontId="0" fillId="0" borderId="16" xfId="0"/>
    <xf numFmtId="9" fontId="0" fillId="29" borderId="6" xfId="0" applyNumberFormat="1" applyFill="1" applyBorder="1" applyAlignment="1">
      <alignment horizontal="center" vertical="center"/>
    </xf>
    <xf numFmtId="9" fontId="0" fillId="35" borderId="6" xfId="0" applyNumberFormat="1" applyFill="1" applyBorder="1" applyAlignment="1">
      <alignment horizontal="center" vertical="center"/>
    </xf>
    <xf numFmtId="0" fontId="0" fillId="32" borderId="5" xfId="0" applyFill="1" applyBorder="1" applyAlignment="1">
      <alignment horizontal="center" vertical="center"/>
    </xf>
    <xf numFmtId="0" fontId="0" fillId="36" borderId="5" xfId="0" applyFill="1" applyBorder="1" applyAlignment="1">
      <alignment horizontal="center" vertical="center"/>
    </xf>
    <xf numFmtId="0" fontId="0" fillId="37" borderId="5" xfId="0" applyFill="1" applyBorder="1" applyAlignment="1">
      <alignment horizontal="center" vertical="center"/>
    </xf>
    <xf numFmtId="0" fontId="4" fillId="0" borderId="16" xfId="0" applyFont="1"/>
    <xf numFmtId="0" fontId="9" fillId="34" borderId="17" xfId="0" applyFont="1" applyFill="1" applyBorder="1" applyAlignment="1">
      <alignment horizontal="center" vertical="center"/>
    </xf>
    <xf numFmtId="0" fontId="25" fillId="38" borderId="17" xfId="0" applyFont="1" applyFill="1" applyBorder="1" applyAlignment="1">
      <alignment horizontal="left" vertical="center"/>
    </xf>
    <xf numFmtId="9" fontId="15" fillId="0" borderId="16" xfId="1" applyAlignment="1">
      <alignment horizontal="center"/>
    </xf>
    <xf numFmtId="0" fontId="1" fillId="0" borderId="16" xfId="0" applyFont="1"/>
    <xf numFmtId="164" fontId="0" fillId="39" borderId="17" xfId="0" applyNumberFormat="1" applyFill="1" applyBorder="1" applyAlignment="1">
      <alignment horizontal="center"/>
    </xf>
    <xf numFmtId="9" fontId="15" fillId="0" borderId="17" xfId="1" applyBorder="1" applyAlignment="1">
      <alignment horizontal="center"/>
    </xf>
    <xf numFmtId="164" fontId="30" fillId="12" borderId="17" xfId="0" applyNumberFormat="1" applyFont="1" applyFill="1" applyBorder="1" applyAlignment="1">
      <alignment horizontal="center"/>
    </xf>
    <xf numFmtId="9" fontId="15" fillId="0" borderId="16" xfId="1"/>
    <xf numFmtId="9" fontId="15" fillId="12" borderId="17" xfId="1" applyFill="1" applyBorder="1" applyAlignment="1">
      <alignment horizontal="center"/>
    </xf>
    <xf numFmtId="164" fontId="30" fillId="0" borderId="17" xfId="0" applyNumberFormat="1" applyFont="1" applyBorder="1" applyAlignment="1">
      <alignment horizontal="center" vertical="center"/>
    </xf>
    <xf numFmtId="164" fontId="33" fillId="38" borderId="17" xfId="0" applyNumberFormat="1" applyFont="1" applyFill="1" applyBorder="1" applyAlignment="1">
      <alignment horizontal="center" vertical="center"/>
    </xf>
    <xf numFmtId="9" fontId="33" fillId="38" borderId="17" xfId="0" applyNumberFormat="1" applyFont="1" applyFill="1" applyBorder="1" applyAlignment="1">
      <alignment horizontal="center" vertical="center"/>
    </xf>
    <xf numFmtId="2" fontId="0" fillId="0" borderId="0" xfId="0" applyNumberFormat="1" applyBorder="1"/>
    <xf numFmtId="0" fontId="14" fillId="0" borderId="0" xfId="0" applyFont="1" applyBorder="1" applyAlignment="1">
      <alignment horizontal="center"/>
    </xf>
    <xf numFmtId="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34" fillId="0" borderId="0" xfId="0" applyFont="1" applyBorder="1"/>
    <xf numFmtId="0" fontId="35" fillId="40" borderId="18" xfId="0" applyFont="1" applyFill="1" applyBorder="1" applyAlignment="1">
      <alignment horizontal="center" vertical="center"/>
    </xf>
    <xf numFmtId="0" fontId="0" fillId="41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0" fillId="43" borderId="18" xfId="0" applyFill="1" applyBorder="1" applyAlignment="1">
      <alignment horizontal="center" vertical="center"/>
    </xf>
    <xf numFmtId="0" fontId="0" fillId="44" borderId="18" xfId="0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0" fillId="0" borderId="18" xfId="0" applyBorder="1"/>
    <xf numFmtId="2" fontId="36" fillId="0" borderId="18" xfId="0" applyNumberFormat="1" applyFont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29" fillId="0" borderId="16" xfId="0" applyFont="1"/>
    <xf numFmtId="0" fontId="37" fillId="0" borderId="16" xfId="0" applyFont="1"/>
    <xf numFmtId="0" fontId="38" fillId="0" borderId="16" xfId="0" applyFont="1"/>
    <xf numFmtId="0" fontId="39" fillId="45" borderId="19" xfId="0" applyFont="1" applyFill="1" applyBorder="1" applyAlignment="1">
      <alignment horizontal="center" vertical="center"/>
    </xf>
    <xf numFmtId="0" fontId="29" fillId="46" borderId="19" xfId="0" applyFont="1" applyFill="1" applyBorder="1" applyAlignment="1">
      <alignment horizontal="center" vertical="center"/>
    </xf>
    <xf numFmtId="167" fontId="29" fillId="0" borderId="19" xfId="0" applyNumberFormat="1" applyFont="1" applyBorder="1" applyAlignment="1">
      <alignment horizontal="center" vertical="center"/>
    </xf>
    <xf numFmtId="0" fontId="29" fillId="47" borderId="19" xfId="0" applyFont="1" applyFill="1" applyBorder="1" applyAlignment="1">
      <alignment horizontal="center" vertical="center"/>
    </xf>
    <xf numFmtId="0" fontId="29" fillId="48" borderId="19" xfId="0" applyFont="1" applyFill="1" applyBorder="1" applyAlignment="1">
      <alignment horizontal="center" vertical="center"/>
    </xf>
    <xf numFmtId="0" fontId="29" fillId="49" borderId="19" xfId="0" applyFont="1" applyFill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9" fontId="29" fillId="0" borderId="19" xfId="0" applyNumberFormat="1" applyFont="1" applyBorder="1" applyAlignment="1">
      <alignment horizontal="center" vertical="center"/>
    </xf>
    <xf numFmtId="166" fontId="29" fillId="0" borderId="19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10" fontId="29" fillId="0" borderId="19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left" vertical="center"/>
    </xf>
    <xf numFmtId="0" fontId="37" fillId="0" borderId="0" xfId="0" applyFont="1" applyBorder="1"/>
    <xf numFmtId="0" fontId="38" fillId="0" borderId="0" xfId="0" applyFont="1" applyBorder="1"/>
    <xf numFmtId="0" fontId="0" fillId="46" borderId="19" xfId="0" applyFill="1" applyBorder="1" applyAlignment="1">
      <alignment horizontal="center" vertical="center"/>
    </xf>
    <xf numFmtId="167" fontId="0" fillId="0" borderId="19" xfId="0" applyNumberFormat="1" applyBorder="1" applyAlignment="1">
      <alignment horizontal="center" vertical="center"/>
    </xf>
    <xf numFmtId="0" fontId="0" fillId="47" borderId="19" xfId="0" applyFill="1" applyBorder="1" applyAlignment="1">
      <alignment horizontal="center" vertical="center"/>
    </xf>
    <xf numFmtId="0" fontId="0" fillId="48" borderId="19" xfId="0" applyFill="1" applyBorder="1" applyAlignment="1">
      <alignment horizontal="center" vertical="center"/>
    </xf>
    <xf numFmtId="0" fontId="0" fillId="49" borderId="19" xfId="0" applyFill="1" applyBorder="1" applyAlignment="1">
      <alignment horizontal="center" vertical="center"/>
    </xf>
    <xf numFmtId="9" fontId="0" fillId="0" borderId="19" xfId="0" applyNumberFormat="1" applyBorder="1" applyAlignment="1">
      <alignment horizontal="center" vertical="center"/>
    </xf>
    <xf numFmtId="166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40" fillId="0" borderId="0" xfId="0" applyFont="1" applyBorder="1"/>
    <xf numFmtId="0" fontId="41" fillId="0" borderId="0" xfId="0" applyFont="1" applyBorder="1"/>
    <xf numFmtId="0" fontId="42" fillId="0" borderId="0" xfId="0" applyFont="1" applyBorder="1"/>
    <xf numFmtId="0" fontId="43" fillId="50" borderId="20" xfId="0" applyFont="1" applyFill="1" applyBorder="1" applyAlignment="1">
      <alignment horizontal="center" vertical="center"/>
    </xf>
    <xf numFmtId="0" fontId="0" fillId="51" borderId="20" xfId="0" applyFill="1" applyBorder="1" applyAlignment="1">
      <alignment horizontal="center" vertical="center"/>
    </xf>
    <xf numFmtId="166" fontId="0" fillId="52" borderId="20" xfId="0" applyNumberFormat="1" applyFill="1" applyBorder="1" applyAlignment="1">
      <alignment horizontal="center" vertical="center"/>
    </xf>
    <xf numFmtId="0" fontId="0" fillId="53" borderId="20" xfId="0" applyFill="1" applyBorder="1" applyAlignment="1">
      <alignment horizontal="center" vertical="center"/>
    </xf>
    <xf numFmtId="0" fontId="0" fillId="54" borderId="20" xfId="0" applyFill="1" applyBorder="1" applyAlignment="1">
      <alignment horizontal="center" vertical="center"/>
    </xf>
    <xf numFmtId="0" fontId="0" fillId="55" borderId="20" xfId="0" applyFill="1" applyBorder="1" applyAlignment="1">
      <alignment horizontal="center" vertical="center"/>
    </xf>
    <xf numFmtId="9" fontId="0" fillId="52" borderId="20" xfId="0" applyNumberFormat="1" applyFill="1" applyBorder="1" applyAlignment="1">
      <alignment horizontal="center" vertical="center"/>
    </xf>
    <xf numFmtId="0" fontId="42" fillId="0" borderId="20" xfId="0" applyFont="1" applyBorder="1" applyAlignment="1">
      <alignment horizontal="center" vertical="center"/>
    </xf>
    <xf numFmtId="9" fontId="0" fillId="0" borderId="20" xfId="0" applyNumberFormat="1" applyBorder="1" applyAlignment="1">
      <alignment horizontal="center" vertical="center"/>
    </xf>
    <xf numFmtId="0" fontId="0" fillId="52" borderId="20" xfId="0" applyFill="1" applyBorder="1" applyAlignment="1">
      <alignment horizontal="center" vertical="center"/>
    </xf>
    <xf numFmtId="9" fontId="0" fillId="56" borderId="20" xfId="0" applyNumberFormat="1" applyFill="1" applyBorder="1" applyAlignment="1">
      <alignment horizontal="center" vertical="center"/>
    </xf>
    <xf numFmtId="167" fontId="0" fillId="56" borderId="20" xfId="0" applyNumberFormat="1" applyFill="1" applyBorder="1" applyAlignment="1">
      <alignment horizontal="center" vertical="center"/>
    </xf>
    <xf numFmtId="165" fontId="0" fillId="52" borderId="20" xfId="0" applyNumberFormat="1" applyFill="1" applyBorder="1" applyAlignment="1">
      <alignment horizontal="center" vertical="center"/>
    </xf>
    <xf numFmtId="0" fontId="4" fillId="0" borderId="0" xfId="0" applyFont="1" applyBorder="1"/>
    <xf numFmtId="0" fontId="14" fillId="0" borderId="16" xfId="0" applyFont="1"/>
    <xf numFmtId="0" fontId="1" fillId="0" borderId="16" xfId="0" applyFont="1"/>
    <xf numFmtId="0" fontId="0" fillId="0" borderId="0" xfId="0" applyBorder="1"/>
    <xf numFmtId="0" fontId="1" fillId="0" borderId="16" xfId="0" quotePrefix="1" applyFont="1"/>
    <xf numFmtId="0" fontId="16" fillId="0" borderId="16" xfId="0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6"/>
  <sheetViews>
    <sheetView topLeftCell="B3" zoomScaleNormal="100" workbookViewId="0">
      <selection activeCell="G6" sqref="G6:R9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20.42578125" customWidth="1"/>
    <col min="7" max="7" width="15.140625" customWidth="1"/>
  </cols>
  <sheetData>
    <row r="1" spans="1:18" ht="21" customHeight="1" x14ac:dyDescent="0.35">
      <c r="A1" s="236" t="s">
        <v>0</v>
      </c>
      <c r="B1" s="237"/>
      <c r="C1" s="237"/>
      <c r="D1" s="237"/>
      <c r="E1" s="237"/>
    </row>
    <row r="3" spans="1:18" ht="18.75" customHeight="1" x14ac:dyDescent="0.3">
      <c r="A3" s="1" t="s">
        <v>1</v>
      </c>
      <c r="F3" s="14" t="s">
        <v>2</v>
      </c>
    </row>
    <row r="4" spans="1:18" ht="15.75" customHeight="1" x14ac:dyDescent="0.25">
      <c r="A4" s="2" t="s">
        <v>3</v>
      </c>
      <c r="B4" s="2" t="s">
        <v>4</v>
      </c>
      <c r="C4" s="2" t="s">
        <v>5</v>
      </c>
      <c r="D4" s="2" t="s">
        <v>6</v>
      </c>
      <c r="F4" s="15" t="s">
        <v>7</v>
      </c>
      <c r="G4" s="24"/>
    </row>
    <row r="5" spans="1:18" x14ac:dyDescent="0.25">
      <c r="A5" s="3" t="s">
        <v>8</v>
      </c>
      <c r="B5" s="4">
        <v>150</v>
      </c>
      <c r="C5" s="25" t="s">
        <v>9</v>
      </c>
      <c r="D5" s="3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6" t="s">
        <v>18</v>
      </c>
      <c r="N5" s="16" t="s">
        <v>19</v>
      </c>
      <c r="O5" s="16" t="s">
        <v>20</v>
      </c>
      <c r="P5" s="16" t="s">
        <v>21</v>
      </c>
      <c r="Q5" s="16" t="s">
        <v>22</v>
      </c>
      <c r="R5" s="16" t="s">
        <v>23</v>
      </c>
    </row>
    <row r="6" spans="1:18" x14ac:dyDescent="0.25">
      <c r="A6" s="3" t="s">
        <v>24</v>
      </c>
      <c r="B6" s="4">
        <v>100</v>
      </c>
      <c r="C6" s="25" t="s">
        <v>9</v>
      </c>
      <c r="D6" s="3" t="s">
        <v>25</v>
      </c>
      <c r="F6" s="17" t="s">
        <v>26</v>
      </c>
      <c r="G6" s="18">
        <v>0.93749999999999956</v>
      </c>
      <c r="H6" s="18">
        <v>0.75000000000000022</v>
      </c>
      <c r="I6" s="18">
        <v>0.60000000000000009</v>
      </c>
      <c r="J6" s="18">
        <v>0.5</v>
      </c>
      <c r="K6" s="18">
        <v>0.4</v>
      </c>
      <c r="L6" s="18">
        <v>0.4</v>
      </c>
      <c r="M6" s="18">
        <v>0.4</v>
      </c>
      <c r="N6" s="18">
        <v>0.4</v>
      </c>
      <c r="O6" s="18">
        <v>0.4</v>
      </c>
      <c r="P6" s="18">
        <v>0.3</v>
      </c>
      <c r="Q6" s="18">
        <v>0.3</v>
      </c>
      <c r="R6" s="18">
        <v>0.3</v>
      </c>
    </row>
    <row r="7" spans="1:18" x14ac:dyDescent="0.25">
      <c r="A7" s="3" t="s">
        <v>27</v>
      </c>
      <c r="B7" s="5">
        <v>0.7</v>
      </c>
      <c r="C7" s="25" t="s">
        <v>28</v>
      </c>
      <c r="D7" s="3" t="s">
        <v>29</v>
      </c>
      <c r="F7" s="17" t="s">
        <v>30</v>
      </c>
      <c r="G7" s="18">
        <v>5.7450495049504932E-2</v>
      </c>
      <c r="H7" s="18">
        <v>0.2399999999999998</v>
      </c>
      <c r="I7" s="18">
        <v>0.37580645161290321</v>
      </c>
      <c r="J7" s="18">
        <v>0.46032258064516129</v>
      </c>
      <c r="K7" s="18">
        <v>0.53749999999999998</v>
      </c>
      <c r="L7" s="18">
        <v>0.47500000000000009</v>
      </c>
      <c r="M7" s="18">
        <v>0.43750000000000011</v>
      </c>
      <c r="N7" s="18">
        <v>0.4</v>
      </c>
      <c r="O7" s="18">
        <v>0.375</v>
      </c>
      <c r="P7" s="18">
        <v>0.45</v>
      </c>
      <c r="Q7" s="18">
        <v>0.45</v>
      </c>
      <c r="R7" s="18">
        <v>0.45</v>
      </c>
    </row>
    <row r="8" spans="1:18" x14ac:dyDescent="0.25">
      <c r="F8" s="17" t="s">
        <v>31</v>
      </c>
      <c r="G8" s="18">
        <v>5.0495049504950531E-3</v>
      </c>
      <c r="H8" s="18">
        <v>4.950495049504954E-3</v>
      </c>
      <c r="I8" s="18">
        <v>1.419354838709677E-2</v>
      </c>
      <c r="J8" s="18">
        <v>2.96774193548387E-2</v>
      </c>
      <c r="K8" s="18">
        <v>5.1209677419354817E-2</v>
      </c>
      <c r="L8" s="18">
        <v>0.1008064516129033</v>
      </c>
      <c r="M8" s="18">
        <v>0.1292741935483871</v>
      </c>
      <c r="N8" s="18">
        <v>0.16032258064516119</v>
      </c>
      <c r="O8" s="18">
        <v>0.1801612903225806</v>
      </c>
      <c r="P8" s="18">
        <v>0.1875</v>
      </c>
      <c r="Q8" s="18">
        <v>0.16250000000000001</v>
      </c>
      <c r="R8" s="18">
        <v>0.125</v>
      </c>
    </row>
    <row r="9" spans="1:18" ht="18.75" customHeight="1" x14ac:dyDescent="0.3">
      <c r="A9" s="1" t="s">
        <v>32</v>
      </c>
      <c r="F9" s="17" t="s">
        <v>33</v>
      </c>
      <c r="G9" s="18">
        <v>0</v>
      </c>
      <c r="H9" s="18">
        <v>5.0495049504950531E-3</v>
      </c>
      <c r="I9" s="18">
        <v>1.0000000000000011E-2</v>
      </c>
      <c r="J9" s="18">
        <v>1.0000000000000011E-2</v>
      </c>
      <c r="K9" s="18">
        <v>1.1290322580645169E-2</v>
      </c>
      <c r="L9" s="18">
        <v>2.419354838709678E-2</v>
      </c>
      <c r="M9" s="18">
        <v>3.3225806451612903E-2</v>
      </c>
      <c r="N9" s="18">
        <v>3.9677419354838712E-2</v>
      </c>
      <c r="O9" s="18">
        <v>4.4838709677419347E-2</v>
      </c>
      <c r="P9" s="18">
        <v>6.2499999999999993E-2</v>
      </c>
      <c r="Q9" s="18">
        <v>8.7500000000000064E-2</v>
      </c>
      <c r="R9" s="18">
        <v>0.12500000000000019</v>
      </c>
    </row>
    <row r="10" spans="1:18" ht="18.75" hidden="1" customHeight="1" x14ac:dyDescent="0.3">
      <c r="A10" s="1"/>
      <c r="F10" s="17" t="s">
        <v>34</v>
      </c>
      <c r="G10" s="18">
        <v>0</v>
      </c>
      <c r="H10" s="18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</row>
    <row r="11" spans="1:18" ht="15.75" customHeight="1" x14ac:dyDescent="0.25">
      <c r="A11" s="2" t="s">
        <v>3</v>
      </c>
      <c r="B11" s="2" t="s">
        <v>4</v>
      </c>
      <c r="C11" s="2" t="s">
        <v>5</v>
      </c>
      <c r="D11" s="2" t="s">
        <v>6</v>
      </c>
      <c r="F11" s="19" t="s">
        <v>35</v>
      </c>
      <c r="G11" s="20">
        <f t="shared" ref="G11:R11" si="0">SUM(G6:G10)</f>
        <v>0.99999999999999956</v>
      </c>
      <c r="H11" s="20">
        <f t="shared" si="0"/>
        <v>1</v>
      </c>
      <c r="I11" s="20">
        <f t="shared" si="0"/>
        <v>1</v>
      </c>
      <c r="J11" s="20">
        <f t="shared" si="0"/>
        <v>1</v>
      </c>
      <c r="K11" s="20">
        <f t="shared" si="0"/>
        <v>1</v>
      </c>
      <c r="L11" s="20">
        <f t="shared" si="0"/>
        <v>1.0000000000000002</v>
      </c>
      <c r="M11" s="20">
        <f t="shared" si="0"/>
        <v>1.0000000000000002</v>
      </c>
      <c r="N11" s="20">
        <f t="shared" si="0"/>
        <v>0.99999999999999989</v>
      </c>
      <c r="O11" s="20">
        <f t="shared" si="0"/>
        <v>0.99999999999999989</v>
      </c>
      <c r="P11" s="20">
        <f t="shared" si="0"/>
        <v>1</v>
      </c>
      <c r="Q11" s="20">
        <f t="shared" si="0"/>
        <v>1</v>
      </c>
      <c r="R11" s="20">
        <f t="shared" si="0"/>
        <v>1.0000000000000002</v>
      </c>
    </row>
    <row r="12" spans="1:18" ht="18.75" customHeight="1" x14ac:dyDescent="0.25">
      <c r="A12" s="3" t="s">
        <v>36</v>
      </c>
      <c r="B12" s="6">
        <v>40</v>
      </c>
      <c r="C12" s="25" t="s">
        <v>37</v>
      </c>
      <c r="D12" s="3" t="s">
        <v>38</v>
      </c>
    </row>
    <row r="13" spans="1:18" ht="15.75" customHeight="1" x14ac:dyDescent="0.25">
      <c r="A13" s="3" t="s">
        <v>39</v>
      </c>
      <c r="B13" s="4">
        <v>120</v>
      </c>
      <c r="C13" s="25" t="s">
        <v>40</v>
      </c>
      <c r="D13" s="3" t="s">
        <v>41</v>
      </c>
      <c r="F13" s="14" t="s">
        <v>2</v>
      </c>
    </row>
    <row r="14" spans="1:18" ht="15.75" customHeight="1" x14ac:dyDescent="0.25">
      <c r="A14" s="64" t="s">
        <v>42</v>
      </c>
      <c r="B14" s="4">
        <v>1.3</v>
      </c>
      <c r="C14" s="60" t="s">
        <v>43</v>
      </c>
      <c r="D14" s="64" t="s">
        <v>44</v>
      </c>
      <c r="F14" s="62" t="s">
        <v>45</v>
      </c>
    </row>
    <row r="15" spans="1:18" ht="18.75" customHeight="1" x14ac:dyDescent="0.25">
      <c r="F15" s="16" t="s">
        <v>46</v>
      </c>
      <c r="G15" s="16">
        <v>105</v>
      </c>
      <c r="H15" s="16">
        <v>175</v>
      </c>
      <c r="I15" s="16">
        <v>250</v>
      </c>
      <c r="J15" s="16">
        <v>330</v>
      </c>
      <c r="K15" s="16">
        <v>410</v>
      </c>
      <c r="L15" s="16">
        <v>490</v>
      </c>
      <c r="M15" s="16">
        <v>570</v>
      </c>
      <c r="N15" s="16">
        <v>650</v>
      </c>
      <c r="O15" s="16">
        <v>730</v>
      </c>
      <c r="P15" s="16">
        <v>810</v>
      </c>
      <c r="Q15" s="16">
        <v>890</v>
      </c>
      <c r="R15" s="16">
        <v>970</v>
      </c>
    </row>
    <row r="16" spans="1:18" ht="15.75" customHeight="1" x14ac:dyDescent="0.25">
      <c r="F16" s="17" t="s">
        <v>26</v>
      </c>
      <c r="G16" s="61">
        <f>$G$15*G6</f>
        <v>98.437499999999957</v>
      </c>
      <c r="H16" s="61">
        <f>$H$15*H6</f>
        <v>131.25000000000003</v>
      </c>
      <c r="I16" s="61">
        <f>$I$15*I6</f>
        <v>150.00000000000003</v>
      </c>
      <c r="J16" s="61">
        <f>$J$15*J6</f>
        <v>165</v>
      </c>
      <c r="K16" s="61">
        <f>$K$15*K6</f>
        <v>164</v>
      </c>
      <c r="L16" s="61">
        <f>$L$15*L6</f>
        <v>196</v>
      </c>
      <c r="M16" s="61">
        <f>$M$15*M6</f>
        <v>228</v>
      </c>
      <c r="N16" s="61">
        <f>$N$15*N6</f>
        <v>260</v>
      </c>
      <c r="O16" s="61">
        <f>$O$15*O6</f>
        <v>292</v>
      </c>
      <c r="P16" s="61">
        <f>$P$15*P6</f>
        <v>243</v>
      </c>
      <c r="Q16" s="61">
        <f>$Q$15*Q6</f>
        <v>267</v>
      </c>
      <c r="R16" s="61">
        <f>$R$15*R6</f>
        <v>291</v>
      </c>
    </row>
    <row r="17" spans="1:18" ht="18.75" customHeight="1" x14ac:dyDescent="0.25">
      <c r="F17" s="17" t="s">
        <v>30</v>
      </c>
      <c r="G17" s="61">
        <f>$G$15*G7</f>
        <v>6.0323019801980182</v>
      </c>
      <c r="H17" s="61">
        <f>$H$15*H7</f>
        <v>41.999999999999964</v>
      </c>
      <c r="I17" s="61">
        <f>$I$15*I7</f>
        <v>93.951612903225808</v>
      </c>
      <c r="J17" s="61">
        <f>$J$15*J7</f>
        <v>151.90645161290323</v>
      </c>
      <c r="K17" s="61">
        <f>$K$15*K7</f>
        <v>220.375</v>
      </c>
      <c r="L17" s="61">
        <f>$L$15*L7</f>
        <v>232.75000000000006</v>
      </c>
      <c r="M17" s="61">
        <f>$M$15*M7</f>
        <v>249.37500000000006</v>
      </c>
      <c r="N17" s="61">
        <f>$N$15*N7</f>
        <v>260</v>
      </c>
      <c r="O17" s="61">
        <f>$O$15*O7</f>
        <v>273.75</v>
      </c>
      <c r="P17" s="61">
        <f>$P$15*P7</f>
        <v>364.5</v>
      </c>
      <c r="Q17" s="61">
        <f>$Q$15*Q7</f>
        <v>400.5</v>
      </c>
      <c r="R17" s="61">
        <f>$R$15*R7</f>
        <v>436.5</v>
      </c>
    </row>
    <row r="18" spans="1:18" x14ac:dyDescent="0.25">
      <c r="F18" s="17" t="s">
        <v>31</v>
      </c>
      <c r="G18" s="61">
        <f>$G$15*G8</f>
        <v>0.53019801980198056</v>
      </c>
      <c r="H18" s="61">
        <f>$H$15*H8</f>
        <v>0.866336633663367</v>
      </c>
      <c r="I18" s="61">
        <f>$I$15*I8</f>
        <v>3.5483870967741926</v>
      </c>
      <c r="J18" s="61">
        <f>$J$15*J8</f>
        <v>9.7935483870967719</v>
      </c>
      <c r="K18" s="61">
        <f>$K$15*K8</f>
        <v>20.995967741935473</v>
      </c>
      <c r="L18" s="61">
        <f>$L$15*L8</f>
        <v>49.395161290322619</v>
      </c>
      <c r="M18" s="61">
        <f>$M$15*M8</f>
        <v>73.686290322580646</v>
      </c>
      <c r="N18" s="61">
        <f>$N$15*N8</f>
        <v>104.20967741935478</v>
      </c>
      <c r="O18" s="61">
        <f>$O$15*O8</f>
        <v>131.51774193548383</v>
      </c>
      <c r="P18" s="61">
        <f>$P$15*P8</f>
        <v>151.875</v>
      </c>
      <c r="Q18" s="61">
        <f>$Q$15*Q8</f>
        <v>144.625</v>
      </c>
      <c r="R18" s="61">
        <f>$R$15*R8</f>
        <v>121.25</v>
      </c>
    </row>
    <row r="19" spans="1:18" ht="18.75" customHeight="1" x14ac:dyDescent="0.25">
      <c r="F19" s="17" t="s">
        <v>33</v>
      </c>
      <c r="G19" s="61">
        <f>$G$15*G9</f>
        <v>0</v>
      </c>
      <c r="H19" s="61">
        <f>$H$15*H9</f>
        <v>0.88366336633663434</v>
      </c>
      <c r="I19" s="61">
        <f>$I$15*I9</f>
        <v>2.5000000000000027</v>
      </c>
      <c r="J19" s="61">
        <f>$J$15*J9</f>
        <v>3.3000000000000034</v>
      </c>
      <c r="K19" s="61">
        <f>$K$15*K9</f>
        <v>4.6290322580645196</v>
      </c>
      <c r="L19" s="61">
        <f>$L$15*L9</f>
        <v>11.854838709677422</v>
      </c>
      <c r="M19" s="61">
        <f>$M$15*M9</f>
        <v>18.938709677419354</v>
      </c>
      <c r="N19" s="61">
        <f>$N$15*N9</f>
        <v>25.790322580645164</v>
      </c>
      <c r="O19" s="61">
        <f>$O$15*O9</f>
        <v>32.732258064516124</v>
      </c>
      <c r="P19" s="61">
        <f>$P$15*P9</f>
        <v>50.624999999999993</v>
      </c>
      <c r="Q19" s="61">
        <f>$Q$15*Q9</f>
        <v>77.875000000000057</v>
      </c>
      <c r="R19" s="61">
        <f>$R$15*R9</f>
        <v>121.25000000000018</v>
      </c>
    </row>
    <row r="20" spans="1:18" ht="15.75" customHeight="1" x14ac:dyDescent="0.25"/>
    <row r="21" spans="1:18" ht="47.25" hidden="1" customHeight="1" x14ac:dyDescent="0.25">
      <c r="F21" s="2" t="s">
        <v>47</v>
      </c>
      <c r="G21" s="2" t="s">
        <v>48</v>
      </c>
    </row>
    <row r="22" spans="1:18" ht="15.75" hidden="1" customHeight="1" x14ac:dyDescent="0.25">
      <c r="F22" s="37" t="s">
        <v>26</v>
      </c>
      <c r="G22" s="48">
        <v>2</v>
      </c>
    </row>
    <row r="23" spans="1:18" ht="18.75" hidden="1" customHeight="1" x14ac:dyDescent="0.25">
      <c r="F23" s="29" t="s">
        <v>30</v>
      </c>
      <c r="G23" s="35">
        <v>12</v>
      </c>
    </row>
    <row r="24" spans="1:18" ht="15.75" hidden="1" customHeight="1" x14ac:dyDescent="0.25">
      <c r="F24" s="40" t="s">
        <v>31</v>
      </c>
      <c r="G24" s="54">
        <v>20</v>
      </c>
    </row>
    <row r="25" spans="1:18" ht="31.5" hidden="1" customHeight="1" x14ac:dyDescent="0.25">
      <c r="F25" s="50" t="s">
        <v>33</v>
      </c>
      <c r="G25" s="52">
        <v>25</v>
      </c>
    </row>
    <row r="26" spans="1:18" hidden="1" x14ac:dyDescent="0.25"/>
    <row r="27" spans="1:18" hidden="1" x14ac:dyDescent="0.25"/>
    <row r="28" spans="1:18" ht="18.75" hidden="1" customHeight="1" x14ac:dyDescent="0.3">
      <c r="A28" s="1" t="s">
        <v>49</v>
      </c>
    </row>
    <row r="29" spans="1:18" ht="15.75" hidden="1" customHeight="1" x14ac:dyDescent="0.25">
      <c r="A29" s="2" t="s">
        <v>3</v>
      </c>
      <c r="B29" s="2" t="s">
        <v>4</v>
      </c>
      <c r="C29" s="2" t="s">
        <v>5</v>
      </c>
      <c r="D29" s="2" t="s">
        <v>6</v>
      </c>
    </row>
    <row r="30" spans="1:18" hidden="1" x14ac:dyDescent="0.25">
      <c r="A30" s="3" t="s">
        <v>50</v>
      </c>
      <c r="B30" s="6">
        <v>15</v>
      </c>
      <c r="C30" s="25" t="s">
        <v>37</v>
      </c>
      <c r="D30" s="3" t="s">
        <v>51</v>
      </c>
    </row>
    <row r="32" spans="1:18" ht="15.75" customHeight="1" x14ac:dyDescent="0.25">
      <c r="F32" s="14" t="s">
        <v>52</v>
      </c>
    </row>
    <row r="33" spans="5:18" x14ac:dyDescent="0.25">
      <c r="F33" s="15" t="s">
        <v>53</v>
      </c>
    </row>
    <row r="34" spans="5:18" ht="18.75" customHeight="1" x14ac:dyDescent="0.25">
      <c r="F34" s="16" t="s">
        <v>54</v>
      </c>
      <c r="G34" s="16" t="s">
        <v>12</v>
      </c>
      <c r="H34" s="16" t="s">
        <v>13</v>
      </c>
      <c r="I34" s="16" t="s">
        <v>14</v>
      </c>
      <c r="J34" s="16" t="s">
        <v>15</v>
      </c>
      <c r="K34" s="16" t="s">
        <v>16</v>
      </c>
      <c r="L34" s="16" t="s">
        <v>17</v>
      </c>
      <c r="M34" s="16" t="s">
        <v>18</v>
      </c>
      <c r="N34" s="16" t="s">
        <v>19</v>
      </c>
      <c r="O34" s="16" t="s">
        <v>20</v>
      </c>
      <c r="P34" s="16" t="s">
        <v>21</v>
      </c>
      <c r="Q34" s="16" t="s">
        <v>22</v>
      </c>
      <c r="R34" s="16" t="s">
        <v>23</v>
      </c>
    </row>
    <row r="35" spans="5:18" x14ac:dyDescent="0.25">
      <c r="F35" s="17" t="s">
        <v>55</v>
      </c>
      <c r="G35" s="21">
        <v>0</v>
      </c>
      <c r="H35" s="21">
        <v>0</v>
      </c>
      <c r="I35" s="21">
        <v>5</v>
      </c>
      <c r="J35" s="21">
        <v>10</v>
      </c>
      <c r="K35" s="21">
        <v>10</v>
      </c>
      <c r="L35" s="21">
        <v>10</v>
      </c>
      <c r="M35" s="21">
        <v>10</v>
      </c>
      <c r="N35" s="21">
        <v>10</v>
      </c>
      <c r="O35" s="21">
        <v>10</v>
      </c>
      <c r="P35" s="21">
        <v>10</v>
      </c>
      <c r="Q35" s="21">
        <v>10</v>
      </c>
      <c r="R35" s="21">
        <v>10</v>
      </c>
    </row>
    <row r="38" spans="5:18" x14ac:dyDescent="0.25">
      <c r="F38" s="177"/>
    </row>
    <row r="39" spans="5:18" x14ac:dyDescent="0.25">
      <c r="E39" s="63"/>
      <c r="F39" s="176"/>
      <c r="G39" s="178"/>
      <c r="H39" s="178"/>
      <c r="I39" s="178"/>
      <c r="J39" s="178"/>
      <c r="K39" s="178"/>
      <c r="L39" s="178"/>
      <c r="M39" s="178"/>
      <c r="N39" s="178"/>
      <c r="O39" s="178"/>
      <c r="P39" s="178"/>
      <c r="Q39" s="178"/>
      <c r="R39" s="178"/>
    </row>
    <row r="40" spans="5:18" x14ac:dyDescent="0.25">
      <c r="E40" s="63"/>
      <c r="F40" s="176"/>
      <c r="G40" s="178"/>
      <c r="H40" s="178"/>
      <c r="I40" s="178"/>
      <c r="J40" s="178"/>
      <c r="K40" s="178"/>
      <c r="L40" s="178"/>
      <c r="M40" s="178"/>
      <c r="N40" s="178"/>
      <c r="O40" s="178"/>
      <c r="P40" s="178"/>
      <c r="Q40" s="178"/>
      <c r="R40" s="178"/>
    </row>
    <row r="41" spans="5:18" x14ac:dyDescent="0.25">
      <c r="E41" s="63"/>
      <c r="F41" s="176"/>
      <c r="G41" s="178"/>
      <c r="H41" s="178"/>
      <c r="I41" s="178"/>
      <c r="J41" s="178"/>
      <c r="K41" s="178"/>
      <c r="L41" s="178"/>
      <c r="M41" s="178"/>
      <c r="N41" s="178"/>
      <c r="O41" s="178"/>
      <c r="P41" s="178"/>
      <c r="Q41" s="178"/>
      <c r="R41" s="178"/>
    </row>
    <row r="42" spans="5:18" x14ac:dyDescent="0.25">
      <c r="E42" s="63"/>
      <c r="F42" s="176"/>
      <c r="G42" s="178"/>
      <c r="H42" s="178"/>
      <c r="I42" s="178"/>
      <c r="J42" s="178"/>
      <c r="K42" s="178"/>
      <c r="L42" s="178"/>
      <c r="M42" s="178"/>
      <c r="N42" s="178"/>
      <c r="O42" s="178"/>
      <c r="P42" s="178"/>
      <c r="Q42" s="178"/>
      <c r="R42" s="178"/>
    </row>
    <row r="43" spans="5:18" x14ac:dyDescent="0.25">
      <c r="F43" s="177"/>
    </row>
    <row r="44" spans="5:18" x14ac:dyDescent="0.25">
      <c r="F44" s="177"/>
    </row>
    <row r="45" spans="5:18" x14ac:dyDescent="0.25">
      <c r="F45" s="175"/>
    </row>
    <row r="46" spans="5:18" x14ac:dyDescent="0.25">
      <c r="E46" s="63"/>
      <c r="F46" s="177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</row>
    <row r="47" spans="5:18" x14ac:dyDescent="0.25">
      <c r="E47" s="63"/>
      <c r="F47" s="175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</row>
    <row r="48" spans="5:18" x14ac:dyDescent="0.25">
      <c r="E48" s="63"/>
      <c r="F48" s="175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</row>
    <row r="49" spans="5:18" x14ac:dyDescent="0.25">
      <c r="E49" s="63"/>
      <c r="F49" s="175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</row>
    <row r="51" spans="5:18" ht="18.75" customHeight="1" x14ac:dyDescent="0.25">
      <c r="F51" s="63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</row>
    <row r="53" spans="5:18" x14ac:dyDescent="0.25">
      <c r="F53" s="63"/>
    </row>
    <row r="54" spans="5:18" x14ac:dyDescent="0.25">
      <c r="G54" s="169"/>
      <c r="H54" s="169"/>
      <c r="I54" s="169"/>
      <c r="J54" s="169"/>
      <c r="K54" s="169"/>
      <c r="L54" s="169"/>
      <c r="M54" s="169"/>
      <c r="N54" s="169"/>
      <c r="O54" s="169"/>
      <c r="P54" s="169"/>
      <c r="Q54" s="169"/>
      <c r="R54" s="169"/>
    </row>
    <row r="58" spans="5:18" x14ac:dyDescent="0.25">
      <c r="E58" s="179"/>
    </row>
    <row r="59" spans="5:18" x14ac:dyDescent="0.25">
      <c r="E59" s="180"/>
      <c r="F59" s="180"/>
      <c r="G59" s="180"/>
      <c r="H59" s="180"/>
      <c r="I59" s="180"/>
      <c r="J59" s="180"/>
      <c r="K59" s="180"/>
      <c r="L59" s="180"/>
      <c r="M59" s="180"/>
      <c r="N59" s="180"/>
      <c r="O59" s="180"/>
      <c r="P59" s="180"/>
      <c r="Q59" s="180"/>
      <c r="R59" s="180"/>
    </row>
    <row r="60" spans="5:18" x14ac:dyDescent="0.25">
      <c r="E60" s="181"/>
      <c r="F60" s="182"/>
      <c r="G60" s="183"/>
      <c r="H60" s="183"/>
      <c r="I60" s="183"/>
      <c r="J60" s="183"/>
      <c r="K60" s="183"/>
      <c r="L60" s="183"/>
      <c r="M60" s="183"/>
      <c r="N60" s="183"/>
      <c r="O60" s="183"/>
      <c r="P60" s="183"/>
      <c r="Q60" s="183"/>
      <c r="R60" s="183"/>
    </row>
    <row r="61" spans="5:18" x14ac:dyDescent="0.25">
      <c r="E61" s="184"/>
      <c r="F61" s="182"/>
      <c r="G61" s="183"/>
      <c r="H61" s="183"/>
      <c r="I61" s="183"/>
      <c r="J61" s="183"/>
      <c r="K61" s="183"/>
      <c r="L61" s="183"/>
      <c r="M61" s="183"/>
      <c r="N61" s="183"/>
      <c r="O61" s="183"/>
      <c r="P61" s="183"/>
      <c r="Q61" s="183"/>
      <c r="R61" s="183"/>
    </row>
    <row r="62" spans="5:18" x14ac:dyDescent="0.25">
      <c r="E62" s="185"/>
      <c r="F62" s="182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</row>
    <row r="63" spans="5:18" x14ac:dyDescent="0.25">
      <c r="E63" s="186"/>
      <c r="F63" s="182"/>
      <c r="G63" s="183"/>
      <c r="H63" s="183"/>
      <c r="I63" s="183"/>
      <c r="J63" s="183"/>
      <c r="K63" s="183"/>
      <c r="L63" s="183"/>
      <c r="M63" s="183"/>
      <c r="N63" s="183"/>
      <c r="O63" s="183"/>
      <c r="P63" s="183"/>
      <c r="Q63" s="183"/>
      <c r="R63" s="183"/>
    </row>
    <row r="64" spans="5:18" x14ac:dyDescent="0.25">
      <c r="E64" s="187"/>
      <c r="F64" s="188"/>
      <c r="G64" s="189"/>
      <c r="H64" s="189"/>
      <c r="I64" s="189"/>
      <c r="J64" s="189"/>
      <c r="K64" s="189"/>
      <c r="L64" s="189"/>
      <c r="M64" s="189"/>
      <c r="N64" s="189"/>
      <c r="O64" s="189"/>
      <c r="P64" s="189"/>
      <c r="Q64" s="189"/>
      <c r="R64" s="189"/>
    </row>
    <row r="65" spans="5:18" x14ac:dyDescent="0.25">
      <c r="E65" s="182"/>
      <c r="F65" s="188"/>
      <c r="G65" s="190"/>
      <c r="H65" s="190"/>
      <c r="I65" s="190"/>
      <c r="J65" s="190"/>
      <c r="K65" s="190"/>
      <c r="L65" s="190"/>
      <c r="M65" s="190"/>
      <c r="N65" s="190"/>
      <c r="O65" s="190"/>
      <c r="P65" s="190"/>
      <c r="Q65" s="190"/>
      <c r="R65" s="190"/>
    </row>
    <row r="66" spans="5:18" x14ac:dyDescent="0.25">
      <c r="E66" s="182"/>
      <c r="F66" s="188"/>
      <c r="G66" s="183"/>
      <c r="H66" s="183"/>
      <c r="I66" s="183"/>
      <c r="J66" s="183"/>
      <c r="K66" s="183"/>
      <c r="L66" s="183"/>
      <c r="M66" s="183"/>
      <c r="N66" s="183"/>
      <c r="O66" s="183"/>
      <c r="P66" s="183"/>
      <c r="Q66" s="183"/>
      <c r="R66" s="183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"/>
  <sheetViews>
    <sheetView topLeftCell="A3" workbookViewId="0">
      <selection activeCell="C5" sqref="C5:C8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9" width="13" customWidth="1"/>
    <col min="10" max="10" width="13" hidden="1" customWidth="1"/>
    <col min="11" max="11" width="16.85546875" hidden="1" customWidth="1"/>
    <col min="12" max="12" width="13" hidden="1" customWidth="1"/>
    <col min="13" max="14" width="13" customWidth="1"/>
    <col min="15" max="15" width="14.42578125" customWidth="1"/>
  </cols>
  <sheetData>
    <row r="1" spans="1:15" ht="21" customHeight="1" x14ac:dyDescent="0.35">
      <c r="A1" s="236" t="s">
        <v>56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</row>
    <row r="3" spans="1:15" ht="18.75" customHeight="1" x14ac:dyDescent="0.3">
      <c r="A3" s="1" t="s">
        <v>57</v>
      </c>
    </row>
    <row r="4" spans="1:15" ht="47.25" customHeight="1" x14ac:dyDescent="0.25">
      <c r="A4" s="2" t="s">
        <v>58</v>
      </c>
      <c r="B4" s="2" t="s">
        <v>47</v>
      </c>
      <c r="C4" s="2" t="s">
        <v>59</v>
      </c>
      <c r="D4" s="2" t="s">
        <v>60</v>
      </c>
      <c r="E4" s="2" t="s">
        <v>48</v>
      </c>
    </row>
    <row r="5" spans="1:15" x14ac:dyDescent="0.25">
      <c r="A5" s="47">
        <v>1</v>
      </c>
      <c r="B5" s="37" t="s">
        <v>26</v>
      </c>
      <c r="C5" s="37">
        <v>0</v>
      </c>
      <c r="D5" s="38">
        <v>0.2</v>
      </c>
      <c r="E5" s="48">
        <v>1</v>
      </c>
    </row>
    <row r="6" spans="1:15" x14ac:dyDescent="0.25">
      <c r="A6" s="36">
        <v>2</v>
      </c>
      <c r="B6" s="29" t="s">
        <v>30</v>
      </c>
      <c r="C6" s="29">
        <v>15</v>
      </c>
      <c r="D6" s="30">
        <v>0.2</v>
      </c>
      <c r="E6" s="35">
        <v>3.8</v>
      </c>
    </row>
    <row r="7" spans="1:15" x14ac:dyDescent="0.25">
      <c r="A7" s="53">
        <v>3</v>
      </c>
      <c r="B7" s="40" t="s">
        <v>31</v>
      </c>
      <c r="C7" s="40">
        <v>75</v>
      </c>
      <c r="D7" s="41">
        <v>0.2</v>
      </c>
      <c r="E7" s="54">
        <v>9.8000000000000007</v>
      </c>
    </row>
    <row r="8" spans="1:15" x14ac:dyDescent="0.25">
      <c r="A8" s="49">
        <v>4</v>
      </c>
      <c r="B8" s="50" t="s">
        <v>33</v>
      </c>
      <c r="C8" s="50">
        <v>150</v>
      </c>
      <c r="D8" s="51">
        <v>0.2</v>
      </c>
      <c r="E8" s="52">
        <v>21.4</v>
      </c>
    </row>
    <row r="9" spans="1:15" hidden="1" x14ac:dyDescent="0.25">
      <c r="A9" s="34">
        <v>5</v>
      </c>
      <c r="B9" s="4" t="s">
        <v>34</v>
      </c>
      <c r="C9" s="4">
        <v>0</v>
      </c>
      <c r="D9" s="5">
        <v>0</v>
      </c>
      <c r="E9" s="13">
        <v>0</v>
      </c>
    </row>
    <row r="12" spans="1:15" ht="18.75" customHeight="1" x14ac:dyDescent="0.3">
      <c r="A12" s="1" t="s">
        <v>61</v>
      </c>
    </row>
    <row r="13" spans="1:15" ht="18.75" customHeight="1" x14ac:dyDescent="0.3">
      <c r="A13" s="74" t="s">
        <v>62</v>
      </c>
      <c r="F13" s="74" t="s">
        <v>63</v>
      </c>
    </row>
    <row r="14" spans="1:15" ht="18.75" customHeight="1" x14ac:dyDescent="0.25">
      <c r="A14" s="79" t="s">
        <v>11</v>
      </c>
      <c r="B14" s="79" t="s">
        <v>64</v>
      </c>
      <c r="C14" s="79" t="s">
        <v>65</v>
      </c>
      <c r="D14" s="79" t="s">
        <v>66</v>
      </c>
      <c r="F14" s="79" t="s">
        <v>11</v>
      </c>
      <c r="G14" s="79" t="s">
        <v>64</v>
      </c>
      <c r="H14" s="79" t="s">
        <v>67</v>
      </c>
      <c r="J14" s="55" t="s">
        <v>11</v>
      </c>
      <c r="K14" s="79" t="s">
        <v>68</v>
      </c>
      <c r="L14" s="79" t="s">
        <v>69</v>
      </c>
    </row>
    <row r="15" spans="1:15" x14ac:dyDescent="0.25">
      <c r="A15" s="82" t="s">
        <v>26</v>
      </c>
      <c r="B15" s="80">
        <v>0</v>
      </c>
      <c r="C15" s="84">
        <v>0.15</v>
      </c>
      <c r="D15" s="80">
        <v>0</v>
      </c>
      <c r="F15" s="82" t="s">
        <v>26</v>
      </c>
      <c r="G15" s="80">
        <v>0</v>
      </c>
      <c r="H15" s="81">
        <v>0</v>
      </c>
      <c r="J15" s="59" t="s">
        <v>26</v>
      </c>
      <c r="K15" s="80">
        <v>0</v>
      </c>
      <c r="L15" s="81">
        <v>0</v>
      </c>
    </row>
    <row r="16" spans="1:15" x14ac:dyDescent="0.25">
      <c r="A16" s="82" t="s">
        <v>30</v>
      </c>
      <c r="B16" s="80">
        <v>1</v>
      </c>
      <c r="C16" s="84">
        <v>0.15</v>
      </c>
      <c r="D16" s="80">
        <v>4</v>
      </c>
      <c r="F16" s="82" t="s">
        <v>30</v>
      </c>
      <c r="G16" s="80">
        <v>1</v>
      </c>
      <c r="H16" s="81">
        <v>50</v>
      </c>
      <c r="J16" s="59" t="s">
        <v>30</v>
      </c>
      <c r="K16" s="80">
        <v>0</v>
      </c>
      <c r="L16" s="81">
        <v>0</v>
      </c>
    </row>
    <row r="17" spans="1:12" x14ac:dyDescent="0.25">
      <c r="A17" s="82" t="s">
        <v>31</v>
      </c>
      <c r="B17" s="80">
        <v>1</v>
      </c>
      <c r="C17" s="84">
        <v>0.2</v>
      </c>
      <c r="D17" s="80">
        <v>7</v>
      </c>
      <c r="F17" s="82" t="s">
        <v>31</v>
      </c>
      <c r="G17" s="80">
        <v>1</v>
      </c>
      <c r="H17" s="81">
        <v>100</v>
      </c>
      <c r="J17" s="59" t="s">
        <v>31</v>
      </c>
      <c r="K17" s="80">
        <v>0</v>
      </c>
      <c r="L17" s="81">
        <v>0</v>
      </c>
    </row>
    <row r="18" spans="1:12" ht="15.75" customHeight="1" x14ac:dyDescent="0.25">
      <c r="A18" s="82" t="s">
        <v>33</v>
      </c>
      <c r="B18" s="80">
        <v>2</v>
      </c>
      <c r="C18" s="84">
        <v>0.25</v>
      </c>
      <c r="D18" s="80">
        <v>7</v>
      </c>
      <c r="F18" s="82" t="s">
        <v>33</v>
      </c>
      <c r="G18" s="80">
        <v>1</v>
      </c>
      <c r="H18" s="81">
        <v>300</v>
      </c>
      <c r="J18" s="59" t="s">
        <v>33</v>
      </c>
      <c r="K18" s="80">
        <v>0</v>
      </c>
      <c r="L18" s="81">
        <v>0</v>
      </c>
    </row>
    <row r="19" spans="1:12" hidden="1" x14ac:dyDescent="0.25">
      <c r="A19" s="83" t="s">
        <v>34</v>
      </c>
      <c r="B19" s="56">
        <v>0</v>
      </c>
      <c r="C19" s="57">
        <v>0</v>
      </c>
      <c r="D19" s="56">
        <v>0</v>
      </c>
      <c r="F19" s="83" t="s">
        <v>34</v>
      </c>
      <c r="G19" s="56">
        <v>0</v>
      </c>
      <c r="H19" s="58">
        <v>0</v>
      </c>
      <c r="J19" s="3" t="s">
        <v>34</v>
      </c>
      <c r="K19" s="56">
        <v>0</v>
      </c>
      <c r="L19" s="58">
        <v>0</v>
      </c>
    </row>
    <row r="21" spans="1:12" ht="18.75" customHeight="1" x14ac:dyDescent="0.3">
      <c r="A21" s="74" t="s">
        <v>70</v>
      </c>
      <c r="F21" s="74" t="s">
        <v>71</v>
      </c>
    </row>
    <row r="22" spans="1:12" ht="18.75" customHeight="1" x14ac:dyDescent="0.25">
      <c r="A22" s="79" t="s">
        <v>11</v>
      </c>
      <c r="B22" s="79" t="s">
        <v>64</v>
      </c>
      <c r="C22" s="79" t="s">
        <v>65</v>
      </c>
      <c r="D22" s="79" t="s">
        <v>66</v>
      </c>
      <c r="F22" s="55" t="s">
        <v>11</v>
      </c>
      <c r="G22" s="79" t="s">
        <v>64</v>
      </c>
      <c r="H22" s="79" t="s">
        <v>67</v>
      </c>
    </row>
    <row r="23" spans="1:12" x14ac:dyDescent="0.25">
      <c r="A23" s="82" t="s">
        <v>26</v>
      </c>
      <c r="B23" s="80">
        <v>1</v>
      </c>
      <c r="C23" s="84">
        <v>0.15</v>
      </c>
      <c r="D23" s="80">
        <v>7</v>
      </c>
      <c r="F23" s="59" t="s">
        <v>26</v>
      </c>
      <c r="G23" s="80">
        <v>0</v>
      </c>
      <c r="H23" s="81">
        <v>0</v>
      </c>
    </row>
    <row r="24" spans="1:12" x14ac:dyDescent="0.25">
      <c r="A24" s="82" t="s">
        <v>30</v>
      </c>
      <c r="B24" s="80">
        <v>1</v>
      </c>
      <c r="C24" s="84">
        <v>0.15</v>
      </c>
      <c r="D24" s="80">
        <v>7</v>
      </c>
      <c r="F24" s="59" t="s">
        <v>30</v>
      </c>
      <c r="G24" s="80">
        <v>0</v>
      </c>
      <c r="H24" s="81">
        <v>0</v>
      </c>
    </row>
    <row r="25" spans="1:12" x14ac:dyDescent="0.25">
      <c r="A25" s="82" t="s">
        <v>31</v>
      </c>
      <c r="B25" s="80">
        <v>1</v>
      </c>
      <c r="C25" s="84">
        <v>0.2</v>
      </c>
      <c r="D25" s="80">
        <v>7</v>
      </c>
      <c r="F25" s="59" t="s">
        <v>31</v>
      </c>
      <c r="G25" s="80">
        <v>0</v>
      </c>
      <c r="H25" s="81">
        <v>0</v>
      </c>
    </row>
    <row r="26" spans="1:12" x14ac:dyDescent="0.25">
      <c r="A26" s="82" t="s">
        <v>33</v>
      </c>
      <c r="B26" s="80">
        <v>1</v>
      </c>
      <c r="C26" s="84">
        <v>0.2</v>
      </c>
      <c r="D26" s="80">
        <v>7</v>
      </c>
      <c r="F26" s="59" t="s">
        <v>33</v>
      </c>
      <c r="G26" s="80">
        <v>0</v>
      </c>
      <c r="H26" s="81">
        <v>0</v>
      </c>
    </row>
    <row r="27" spans="1:12" hidden="1" x14ac:dyDescent="0.25">
      <c r="A27" s="3" t="s">
        <v>34</v>
      </c>
      <c r="B27" s="56">
        <v>0</v>
      </c>
      <c r="C27" s="57">
        <v>0</v>
      </c>
      <c r="D27" s="56">
        <v>0</v>
      </c>
      <c r="F27" s="3" t="s">
        <v>34</v>
      </c>
      <c r="G27" s="56">
        <v>0</v>
      </c>
      <c r="H27" s="58">
        <v>0</v>
      </c>
    </row>
    <row r="29" spans="1:12" ht="18.75" customHeight="1" x14ac:dyDescent="0.3">
      <c r="A29" s="74" t="s">
        <v>72</v>
      </c>
    </row>
    <row r="30" spans="1:12" ht="31.5" customHeight="1" x14ac:dyDescent="0.25">
      <c r="A30" s="55" t="s">
        <v>11</v>
      </c>
      <c r="B30" s="79" t="s">
        <v>73</v>
      </c>
      <c r="C30" s="79" t="s">
        <v>74</v>
      </c>
    </row>
    <row r="31" spans="1:12" x14ac:dyDescent="0.25">
      <c r="A31" s="59" t="s">
        <v>26</v>
      </c>
      <c r="B31" s="80">
        <v>0</v>
      </c>
      <c r="C31" s="81">
        <v>0</v>
      </c>
    </row>
    <row r="32" spans="1:12" x14ac:dyDescent="0.25">
      <c r="A32" s="59" t="s">
        <v>30</v>
      </c>
      <c r="B32" s="80">
        <v>0</v>
      </c>
      <c r="C32" s="81">
        <v>0</v>
      </c>
    </row>
    <row r="33" spans="1:3" x14ac:dyDescent="0.25">
      <c r="A33" s="59" t="s">
        <v>31</v>
      </c>
      <c r="B33" s="80">
        <v>0</v>
      </c>
      <c r="C33" s="81">
        <v>0</v>
      </c>
    </row>
    <row r="34" spans="1:3" x14ac:dyDescent="0.25">
      <c r="A34" s="59" t="s">
        <v>33</v>
      </c>
      <c r="B34" s="80">
        <v>0</v>
      </c>
      <c r="C34" s="81">
        <v>0</v>
      </c>
    </row>
    <row r="35" spans="1:3" hidden="1" x14ac:dyDescent="0.25">
      <c r="A35" s="3" t="s">
        <v>34</v>
      </c>
      <c r="B35" s="56">
        <v>0</v>
      </c>
      <c r="C35" s="58">
        <v>0</v>
      </c>
    </row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topLeftCell="A2" zoomScale="130" zoomScaleNormal="130" workbookViewId="0">
      <selection activeCell="E6" sqref="E6"/>
    </sheetView>
  </sheetViews>
  <sheetFormatPr defaultRowHeight="15" x14ac:dyDescent="0.25"/>
  <cols>
    <col min="1" max="10" width="18" customWidth="1"/>
  </cols>
  <sheetData>
    <row r="1" spans="1:12" ht="21" customHeight="1" x14ac:dyDescent="0.35">
      <c r="A1" s="236" t="s">
        <v>75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</row>
    <row r="3" spans="1:12" ht="18.75" customHeight="1" x14ac:dyDescent="0.3">
      <c r="A3" s="1" t="s">
        <v>76</v>
      </c>
    </row>
    <row r="4" spans="1:12" ht="31.5" customHeight="1" x14ac:dyDescent="0.25">
      <c r="A4" s="2" t="s">
        <v>77</v>
      </c>
      <c r="B4" s="2" t="s">
        <v>78</v>
      </c>
      <c r="C4" s="2" t="s">
        <v>79</v>
      </c>
      <c r="D4" s="2" t="s">
        <v>80</v>
      </c>
      <c r="E4" s="2" t="s">
        <v>81</v>
      </c>
      <c r="F4" s="2" t="s">
        <v>82</v>
      </c>
      <c r="G4" s="2" t="s">
        <v>83</v>
      </c>
      <c r="H4" s="2" t="s">
        <v>84</v>
      </c>
      <c r="I4" s="2" t="s">
        <v>85</v>
      </c>
      <c r="J4" s="2" t="s">
        <v>86</v>
      </c>
    </row>
    <row r="5" spans="1:12" x14ac:dyDescent="0.25">
      <c r="A5" s="37" t="s">
        <v>26</v>
      </c>
      <c r="B5" s="37" t="s">
        <v>87</v>
      </c>
      <c r="C5" s="37">
        <v>10</v>
      </c>
      <c r="D5" s="37" t="s">
        <v>88</v>
      </c>
      <c r="E5" s="38">
        <v>0.18</v>
      </c>
      <c r="F5" s="37" t="s">
        <v>89</v>
      </c>
      <c r="G5" s="39">
        <v>20</v>
      </c>
      <c r="H5" s="37">
        <v>0</v>
      </c>
      <c r="I5" s="37" t="s">
        <v>90</v>
      </c>
      <c r="J5" s="43">
        <f>IF(D5="Weekly",4,1)*IF(F5="Gift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x14ac:dyDescent="0.25">
      <c r="A6" s="37" t="s">
        <v>26</v>
      </c>
      <c r="B6" s="37"/>
      <c r="C6" s="37"/>
      <c r="D6" s="37"/>
      <c r="E6" s="38"/>
      <c r="F6" s="37"/>
      <c r="G6" s="39"/>
      <c r="H6" s="37"/>
      <c r="I6" s="37"/>
      <c r="J6" s="43">
        <f>IF(D6="Weekly",4,1)*IF(F6="Gift Card",G6,IF(F6="Spark Ads",G6,IF(F6="Commission Boost",G6*(INDEX('VIP Levels'!$E$5:$E$9,MATCH(A6,'VIP Levels'!$B$5:$B$9,0))*Inputs!$B$14/30*H6)*Revenue!$B$7,IF(F6="Discount",G6*(INDEX('VIP Levels'!$E$5:$E$9,MATCH(A6,'VIP Levels'!$B$5:$B$9,0))*Inputs!$B$14/30*H6)*Inputs!$B$12,0))))</f>
        <v>0</v>
      </c>
    </row>
    <row r="7" spans="1:12" x14ac:dyDescent="0.25">
      <c r="A7" s="37" t="s">
        <v>26</v>
      </c>
      <c r="B7" s="37" t="s">
        <v>91</v>
      </c>
      <c r="C7" s="37">
        <v>1500</v>
      </c>
      <c r="D7" s="37" t="s">
        <v>88</v>
      </c>
      <c r="E7" s="38">
        <v>0.9</v>
      </c>
      <c r="F7" s="37" t="s">
        <v>92</v>
      </c>
      <c r="G7" s="38">
        <v>0.15</v>
      </c>
      <c r="H7" s="37">
        <v>7</v>
      </c>
      <c r="I7" s="37" t="s">
        <v>90</v>
      </c>
      <c r="J7" s="43">
        <f>IF(D7="Weekly",4,1)*IF(F7="Gift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1.8199999999999998</v>
      </c>
    </row>
    <row r="8" spans="1:12" x14ac:dyDescent="0.25">
      <c r="A8" s="29" t="s">
        <v>30</v>
      </c>
      <c r="B8" s="29" t="s">
        <v>87</v>
      </c>
      <c r="C8" s="29">
        <v>20</v>
      </c>
      <c r="D8" s="29" t="s">
        <v>93</v>
      </c>
      <c r="E8" s="30">
        <v>0.2</v>
      </c>
      <c r="F8" s="29" t="s">
        <v>89</v>
      </c>
      <c r="G8" s="31">
        <v>30</v>
      </c>
      <c r="H8" s="29">
        <v>0</v>
      </c>
      <c r="I8" s="29" t="s">
        <v>90</v>
      </c>
      <c r="J8" s="44">
        <f>IF(D8="Weekly",4,1)*IF(F8="Gift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30</v>
      </c>
    </row>
    <row r="9" spans="1:12" x14ac:dyDescent="0.25">
      <c r="A9" s="29" t="s">
        <v>30</v>
      </c>
      <c r="B9" s="29" t="s">
        <v>94</v>
      </c>
      <c r="C9" s="29">
        <v>15</v>
      </c>
      <c r="D9" s="29" t="s">
        <v>93</v>
      </c>
      <c r="E9" s="30">
        <v>0.6</v>
      </c>
      <c r="F9" s="29" t="s">
        <v>95</v>
      </c>
      <c r="G9" s="30">
        <v>0.1</v>
      </c>
      <c r="H9" s="29">
        <v>7</v>
      </c>
      <c r="I9" s="29" t="s">
        <v>90</v>
      </c>
      <c r="J9" s="44">
        <f>IF(D9="Weekly",4,1)*IF(F9="Gift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4.610666666666666</v>
      </c>
    </row>
    <row r="10" spans="1:12" x14ac:dyDescent="0.25">
      <c r="A10" s="29" t="s">
        <v>30</v>
      </c>
      <c r="B10" s="29" t="s">
        <v>91</v>
      </c>
      <c r="C10" s="29">
        <v>10000</v>
      </c>
      <c r="D10" s="29" t="s">
        <v>93</v>
      </c>
      <c r="E10" s="30">
        <v>0.8</v>
      </c>
      <c r="F10" s="29" t="s">
        <v>92</v>
      </c>
      <c r="G10" s="30">
        <v>0.15</v>
      </c>
      <c r="H10" s="29">
        <v>2</v>
      </c>
      <c r="I10" s="29" t="s">
        <v>90</v>
      </c>
      <c r="J10" s="44">
        <f>IF(D10="Weekly",4,1)*IF(F10="Gift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1.9759999999999998</v>
      </c>
    </row>
    <row r="11" spans="1:12" x14ac:dyDescent="0.25">
      <c r="A11" s="40" t="s">
        <v>31</v>
      </c>
      <c r="B11" s="40" t="s">
        <v>87</v>
      </c>
      <c r="C11" s="40">
        <v>50</v>
      </c>
      <c r="D11" s="40" t="s">
        <v>93</v>
      </c>
      <c r="E11" s="41">
        <v>0.2</v>
      </c>
      <c r="F11" s="40" t="s">
        <v>89</v>
      </c>
      <c r="G11" s="42">
        <v>75</v>
      </c>
      <c r="H11" s="40">
        <v>0</v>
      </c>
      <c r="I11" s="40" t="s">
        <v>90</v>
      </c>
      <c r="J11" s="46">
        <f>IF(D11="Weekly",4,1)*IF(F11="Gift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75</v>
      </c>
    </row>
    <row r="12" spans="1:12" x14ac:dyDescent="0.25">
      <c r="A12" s="40" t="s">
        <v>31</v>
      </c>
      <c r="B12" s="40" t="s">
        <v>94</v>
      </c>
      <c r="C12" s="40">
        <v>20</v>
      </c>
      <c r="D12" s="40" t="s">
        <v>93</v>
      </c>
      <c r="E12" s="41">
        <v>0.7</v>
      </c>
      <c r="F12" s="40" t="s">
        <v>95</v>
      </c>
      <c r="G12" s="41">
        <v>0.1</v>
      </c>
      <c r="H12" s="40">
        <v>7</v>
      </c>
      <c r="I12" s="40" t="s">
        <v>90</v>
      </c>
      <c r="J12" s="46">
        <f>IF(D12="Weekly",4,1)*IF(F12="Gift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11.89066666666667</v>
      </c>
    </row>
    <row r="13" spans="1:12" x14ac:dyDescent="0.25">
      <c r="A13" s="40" t="s">
        <v>31</v>
      </c>
      <c r="B13" s="40" t="s">
        <v>91</v>
      </c>
      <c r="C13" s="40">
        <v>20000</v>
      </c>
      <c r="D13" s="40" t="s">
        <v>96</v>
      </c>
      <c r="E13" s="41">
        <v>0.7</v>
      </c>
      <c r="F13" s="40" t="s">
        <v>92</v>
      </c>
      <c r="G13" s="41">
        <v>0.1</v>
      </c>
      <c r="H13" s="40">
        <v>2</v>
      </c>
      <c r="I13" s="40" t="s">
        <v>90</v>
      </c>
      <c r="J13" s="46">
        <f>IF(D13="Weekly",4,1)*IF(F13="Gift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13.589333333333338</v>
      </c>
    </row>
    <row r="14" spans="1:12" x14ac:dyDescent="0.25">
      <c r="A14" s="26" t="s">
        <v>33</v>
      </c>
      <c r="B14" s="26" t="s">
        <v>87</v>
      </c>
      <c r="C14" s="26">
        <v>100</v>
      </c>
      <c r="D14" s="26" t="s">
        <v>93</v>
      </c>
      <c r="E14" s="27">
        <v>0.21</v>
      </c>
      <c r="F14" s="26" t="s">
        <v>89</v>
      </c>
      <c r="G14" s="28">
        <v>125</v>
      </c>
      <c r="H14" s="26">
        <v>0</v>
      </c>
      <c r="I14" s="26" t="s">
        <v>90</v>
      </c>
      <c r="J14" s="45">
        <f>IF(D14="Weekly",4,1)*IF(F14="Gift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125</v>
      </c>
    </row>
    <row r="15" spans="1:12" ht="15.75" customHeight="1" x14ac:dyDescent="0.25">
      <c r="A15" s="26" t="s">
        <v>33</v>
      </c>
      <c r="B15" s="26" t="s">
        <v>94</v>
      </c>
      <c r="C15" s="26">
        <v>5</v>
      </c>
      <c r="D15" s="26" t="s">
        <v>96</v>
      </c>
      <c r="E15" s="27">
        <v>0.7</v>
      </c>
      <c r="F15" s="26" t="s">
        <v>95</v>
      </c>
      <c r="G15" s="27">
        <v>0.15</v>
      </c>
      <c r="H15" s="26">
        <v>3</v>
      </c>
      <c r="I15" s="26" t="s">
        <v>90</v>
      </c>
      <c r="J15" s="45">
        <f>IF(D15="Weekly",4,1)*IF(F15="Gift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66.768000000000001</v>
      </c>
    </row>
    <row r="16" spans="1:12" x14ac:dyDescent="0.25">
      <c r="A16" s="26" t="s">
        <v>33</v>
      </c>
      <c r="B16" s="26" t="s">
        <v>91</v>
      </c>
      <c r="C16" s="26">
        <v>20000</v>
      </c>
      <c r="D16" s="26" t="s">
        <v>96</v>
      </c>
      <c r="E16" s="27">
        <v>0.5</v>
      </c>
      <c r="F16" s="26" t="s">
        <v>92</v>
      </c>
      <c r="G16" s="27">
        <v>0.15</v>
      </c>
      <c r="H16" s="26">
        <v>2</v>
      </c>
      <c r="I16" s="26" t="s">
        <v>90</v>
      </c>
      <c r="J16" s="45">
        <f>IF(D16="Weekly",4,1)*IF(F16="Gift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44.512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>
      <selection activeCell="B8" sqref="B8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236" t="s">
        <v>97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</row>
    <row r="3" spans="1:17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7" x14ac:dyDescent="0.25">
      <c r="A4" s="9" t="s">
        <v>99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100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101</v>
      </c>
      <c r="B6" s="8">
        <f>Inputs!G$35</f>
        <v>0</v>
      </c>
      <c r="C6" s="8">
        <f>Inputs!H$35</f>
        <v>0</v>
      </c>
      <c r="D6" s="8">
        <f>Inputs!I$35</f>
        <v>5</v>
      </c>
      <c r="E6" s="8">
        <f>Inputs!J$35</f>
        <v>10</v>
      </c>
      <c r="F6" s="8">
        <f>Inputs!K$35</f>
        <v>10</v>
      </c>
      <c r="G6" s="8">
        <f>Inputs!L$35</f>
        <v>10</v>
      </c>
      <c r="H6" s="8">
        <f>Inputs!M$35</f>
        <v>10</v>
      </c>
      <c r="I6" s="8">
        <f>Inputs!N$35</f>
        <v>10</v>
      </c>
      <c r="J6" s="8">
        <f>Inputs!O$35</f>
        <v>10</v>
      </c>
      <c r="K6" s="8">
        <f>Inputs!P$35</f>
        <v>10</v>
      </c>
      <c r="L6" s="8">
        <f>Inputs!Q$35</f>
        <v>10</v>
      </c>
      <c r="M6" s="8">
        <f>Inputs!R$35</f>
        <v>10</v>
      </c>
    </row>
    <row r="7" spans="1:17" x14ac:dyDescent="0.25">
      <c r="A7" s="9" t="s">
        <v>102</v>
      </c>
      <c r="B7" s="8">
        <f t="shared" ref="B7:M7" si="1">B5+B6</f>
        <v>105</v>
      </c>
      <c r="C7" s="8">
        <f t="shared" si="1"/>
        <v>70</v>
      </c>
      <c r="D7" s="8">
        <f t="shared" si="1"/>
        <v>75</v>
      </c>
      <c r="E7" s="8">
        <f t="shared" si="1"/>
        <v>80</v>
      </c>
      <c r="F7" s="8">
        <f t="shared" si="1"/>
        <v>80</v>
      </c>
      <c r="G7" s="8">
        <f t="shared" si="1"/>
        <v>80</v>
      </c>
      <c r="H7" s="8">
        <f t="shared" si="1"/>
        <v>80</v>
      </c>
      <c r="I7" s="8">
        <f t="shared" si="1"/>
        <v>80</v>
      </c>
      <c r="J7" s="8">
        <f t="shared" si="1"/>
        <v>80</v>
      </c>
      <c r="K7" s="8">
        <f t="shared" si="1"/>
        <v>80</v>
      </c>
      <c r="L7" s="8">
        <f t="shared" si="1"/>
        <v>80</v>
      </c>
      <c r="M7" s="8">
        <f t="shared" si="1"/>
        <v>80</v>
      </c>
      <c r="Q7" t="s">
        <v>103</v>
      </c>
    </row>
    <row r="8" spans="1:17" x14ac:dyDescent="0.25">
      <c r="A8" s="9" t="s">
        <v>104</v>
      </c>
      <c r="B8" s="8">
        <f>B7</f>
        <v>105</v>
      </c>
      <c r="C8" s="8">
        <f t="shared" ref="C8:M8" si="2">B8+C7</f>
        <v>175</v>
      </c>
      <c r="D8" s="8">
        <f t="shared" si="2"/>
        <v>250</v>
      </c>
      <c r="E8" s="8">
        <f t="shared" si="2"/>
        <v>330</v>
      </c>
      <c r="F8" s="8">
        <f t="shared" si="2"/>
        <v>410</v>
      </c>
      <c r="G8" s="8">
        <f t="shared" si="2"/>
        <v>490</v>
      </c>
      <c r="H8" s="8">
        <f t="shared" si="2"/>
        <v>570</v>
      </c>
      <c r="I8" s="8">
        <f t="shared" si="2"/>
        <v>650</v>
      </c>
      <c r="J8" s="8">
        <f t="shared" si="2"/>
        <v>730</v>
      </c>
      <c r="K8" s="8">
        <f t="shared" si="2"/>
        <v>810</v>
      </c>
      <c r="L8" s="8">
        <f t="shared" si="2"/>
        <v>890</v>
      </c>
      <c r="M8" s="8">
        <f t="shared" si="2"/>
        <v>970</v>
      </c>
    </row>
    <row r="9" spans="1:17" x14ac:dyDescent="0.25">
      <c r="A9" s="9" t="s">
        <v>105</v>
      </c>
      <c r="B9" s="8">
        <f t="shared" ref="B9:M9" si="3">B10+B11</f>
        <v>151</v>
      </c>
      <c r="C9" s="8">
        <f t="shared" si="3"/>
        <v>361</v>
      </c>
      <c r="D9" s="8">
        <f t="shared" si="3"/>
        <v>681</v>
      </c>
      <c r="E9" s="8">
        <f t="shared" si="3"/>
        <v>990</v>
      </c>
      <c r="F9" s="8">
        <f t="shared" si="3"/>
        <v>1441</v>
      </c>
      <c r="G9" s="8">
        <f t="shared" si="3"/>
        <v>1994</v>
      </c>
      <c r="H9" s="8">
        <f t="shared" si="3"/>
        <v>2502</v>
      </c>
      <c r="I9" s="8">
        <f t="shared" si="3"/>
        <v>3051</v>
      </c>
      <c r="J9" s="8">
        <f t="shared" si="3"/>
        <v>3583</v>
      </c>
      <c r="K9" s="8">
        <f t="shared" si="3"/>
        <v>4576</v>
      </c>
      <c r="L9" s="8">
        <f t="shared" si="3"/>
        <v>5258</v>
      </c>
      <c r="M9" s="8">
        <f t="shared" si="3"/>
        <v>6197</v>
      </c>
    </row>
    <row r="10" spans="1:17" x14ac:dyDescent="0.25">
      <c r="A10" s="9" t="s">
        <v>106</v>
      </c>
      <c r="B10" s="8">
        <f>ROUND(B13*'VIP Levels'!$E$5+B14*'VIP Levels'!$E$6+B15*'VIP Levels'!$E$7+B16*'VIP Levels'!$E$8+B17*'VIP Levels'!$E$9,0)</f>
        <v>131</v>
      </c>
      <c r="C10" s="8">
        <f>ROUND(C13*'VIP Levels'!$E$5+C14*'VIP Levels'!$E$6+C15*'VIP Levels'!$E$7+C16*'VIP Levels'!$E$8+C17*'VIP Levels'!$E$9,0)</f>
        <v>322</v>
      </c>
      <c r="D10" s="8">
        <f>ROUND(D13*'VIP Levels'!$E$5+D14*'VIP Levels'!$E$6+D15*'VIP Levels'!$E$7+D16*'VIP Levels'!$E$8+D17*'VIP Levels'!$E$9,0)</f>
        <v>611</v>
      </c>
      <c r="E10" s="8">
        <f>ROUND(E13*'VIP Levels'!$E$5+E14*'VIP Levels'!$E$6+E15*'VIP Levels'!$E$7+E16*'VIP Levels'!$E$8+E17*'VIP Levels'!$E$9,0)</f>
        <v>905</v>
      </c>
      <c r="F10" s="8">
        <f>ROUND(F13*'VIP Levels'!$E$5+F14*'VIP Levels'!$E$6+F15*'VIP Levels'!$E$7+F16*'VIP Levels'!$E$8+F17*'VIP Levels'!$E$9,0)</f>
        <v>1313</v>
      </c>
      <c r="G10" s="8">
        <f>ROUND(G13*'VIP Levels'!$E$5+G14*'VIP Levels'!$E$6+G15*'VIP Levels'!$E$7+G16*'VIP Levels'!$E$8+G17*'VIP Levels'!$E$9,0)</f>
        <v>1818</v>
      </c>
      <c r="H10" s="8">
        <f>ROUND(H13*'VIP Levels'!$E$5+H14*'VIP Levels'!$E$6+H15*'VIP Levels'!$E$7+H16*'VIP Levels'!$E$8+H17*'VIP Levels'!$E$9,0)</f>
        <v>2306</v>
      </c>
      <c r="I10" s="8">
        <f>ROUND(I13*'VIP Levels'!$E$5+I14*'VIP Levels'!$E$6+I15*'VIP Levels'!$E$7+I16*'VIP Levels'!$E$8+I17*'VIP Levels'!$E$9,0)</f>
        <v>2824</v>
      </c>
      <c r="J10" s="8">
        <f>ROUND(J13*'VIP Levels'!$E$5+J14*'VIP Levels'!$E$6+J15*'VIP Levels'!$E$7+J16*'VIP Levels'!$E$8+J17*'VIP Levels'!$E$9,0)</f>
        <v>3333</v>
      </c>
      <c r="K10" s="8">
        <f>ROUND(K13*'VIP Levels'!$E$5+K14*'VIP Levels'!$E$6+K15*'VIP Levels'!$E$7+K16*'VIP Levels'!$E$8+K17*'VIP Levels'!$E$9,0)</f>
        <v>4211</v>
      </c>
      <c r="L10" s="8">
        <f>ROUND(L13*'VIP Levels'!$E$5+L14*'VIP Levels'!$E$6+L15*'VIP Levels'!$E$7+L16*'VIP Levels'!$E$8+L17*'VIP Levels'!$E$9,0)</f>
        <v>4881</v>
      </c>
      <c r="M10" s="8">
        <f>ROUND(M13*'VIP Levels'!$E$5+M14*'VIP Levels'!$E$6+M15*'VIP Levels'!$E$7+M16*'VIP Levels'!$E$8+M17*'VIP Levels'!$E$9,0)</f>
        <v>5727</v>
      </c>
    </row>
    <row r="11" spans="1:17" x14ac:dyDescent="0.25">
      <c r="A11" s="9" t="s">
        <v>107</v>
      </c>
      <c r="B11" s="8">
        <f>ROUND(B19*'VIP Levels'!$B$15*'VIP Levels'!$E$5*(Inputs!$B$14-1)*('VIP Levels'!$D$15/30)+B20*'VIP Levels'!$B$16*'VIP Levels'!$E$6*(Inputs!$B$14-1)*('VIP Levels'!$D$16/30)+B21*'VIP Levels'!$B$17*'VIP Levels'!$E$7*(Inputs!$B$14-1)*('VIP Levels'!$D$17/30)+B22*'VIP Levels'!$B$18*'VIP Levels'!$E$8*(Inputs!$B$14-1)*('VIP Levels'!$D$18/30)+B23*'VIP Levels'!$B$19*'VIP Levels'!$E$9*(Inputs!$B$14-1)*('VIP Levels'!$D$19/30)+B19*'VIP Levels'!$B$23*'VIP Levels'!$E$5*(Inputs!$B$14-1)*('VIP Levels'!$D$23/30)+B20*'VIP Levels'!$B$24*'VIP Levels'!$E$6*(Inputs!$B$14-1)*('VIP Levels'!$D$24/30)+B21*'VIP Levels'!$B$25*'VIP Levels'!$E$7*(Inputs!$B$14-1)*('VIP Levels'!$D$25/30)+B22*'VIP Levels'!$B$26*'VIP Levels'!$E$8*(Inputs!$B$14-1)*('VIP Levels'!$D$26/30)+B23*'VIP Levels'!$B$27*'VIP Levels'!$E$9*(Inputs!$B$14-1)*('VIP Levels'!$D$27/30)+SUMPRODUCT((Missions!$F$5:$F$26="Commission Boost")*(Missions!$A$5:$A$26="Bronze")*(Missions!$D$5:$D$26="One-time")*B19*Missions!$E$5:$E$26*'VIP Levels'!$E$5*(Inputs!$B$14-1)*(Missions!$H$5:$H$26/30))+SUMPRODUCT((Missions!$F$5:$F$26="Commission Boost")*(Missions!$A$5:$A$26="Bronze")*(Missions!$D$5:$D$26&lt;&gt;"One-time")*B13*Missions!$E$5:$E$26*'VIP Levels'!$E$5*(Inputs!$B$14-1)*(Missions!$H$5:$H$26/30))+SUMPRODUCT((Missions!$F$5:$F$26="Commission Boost")*(Missions!$A$5:$A$26="Silver")*(Missions!$D$5:$D$26="One-time")*B20*Missions!$E$5:$E$26*'VIP Levels'!$E$6*(Inputs!$B$14-1)*(Missions!$H$5:$H$26/30))+SUMPRODUCT((Missions!$F$5:$F$26="Commission Boost")*(Missions!$A$5:$A$26="Silver")*(Missions!$D$5:$D$26&lt;&gt;"One-time")*B14*Missions!$E$5:$E$26*'VIP Levels'!$E$6*(Inputs!$B$14-1)*(Missions!$H$5:$H$26/30))+SUMPRODUCT((Missions!$F$5:$F$26="Commission Boost")*(Missions!$A$5:$A$26="Gold")*(Missions!$D$5:$D$26="One-time")*B21*Missions!$E$5:$E$26*'VIP Levels'!$E$7*(Inputs!$B$14-1)*(Missions!$H$5:$H$26/30))+SUMPRODUCT((Missions!$F$5:$F$26="Commission Boost")*(Missions!$A$5:$A$26="Gold")*(Missions!$D$5:$D$26&lt;&gt;"One-time")*B15*Missions!$E$5:$E$26*'VIP Levels'!$E$7*(Inputs!$B$14-1)*(Missions!$H$5:$H$26/30))+SUMPRODUCT((Missions!$F$5:$F$26="Commission Boost")*(Missions!$A$5:$A$26="Platinum")*(Missions!$D$5:$D$26="One-time")*B22*Missions!$E$5:$E$26*'VIP Levels'!$E$8*(Inputs!$B$14-1)*(Missions!$H$5:$H$26/30))+SUMPRODUCT((Missions!$F$5:$F$26="Commission Boost")*(Missions!$A$5:$A$26="Platinum")*(Missions!$D$5:$D$26&lt;&gt;"One-time")*B16*Missions!$E$5:$E$26*'VIP Levels'!$E$8*(Inputs!$B$14-1)*(Missions!$H$5:$H$26/30))+SUMPRODUCT((Missions!$F$5:$F$26="Commission Boost")*(Missions!$A$5:$A$26="Diamond")*(Missions!$D$5:$D$26="One-time")*B23*Missions!$E$5:$E$26*'VIP Levels'!$E$9*(Inputs!$B$14-1)*(Missions!$H$5:$H$26/30))+SUMPRODUCT((Missions!$F$5:$F$26="Commission Boost")*(Missions!$A$5:$A$26="Diamond")*(Missions!$D$5:$D$26&lt;&gt;"One-time")*B17*Missions!$E$5:$E$26*'VIP Levels'!$E$9*(Inputs!$B$14-1)*(Missions!$H$5:$H$26/30))+SUMPRODUCT((Missions!$F$5:$F$26="Discount")*(Missions!$A$5:$A$26="Bronze")*(Missions!$D$5:$D$26="One-time")*B19*Missions!$E$5:$E$26*'VIP Levels'!$E$5*(Inputs!$B$14-1)*(Missions!$H$5:$H$26/30))+SUMPRODUCT((Missions!$F$5:$F$26="Discount")*(Missions!$A$5:$A$26="Bronze")*(Missions!$D$5:$D$26&lt;&gt;"One-time")*B13*Missions!$E$5:$E$26*'VIP Levels'!$E$5*(Inputs!$B$14-1)*(Missions!$H$5:$H$26/30))+SUMPRODUCT((Missions!$F$5:$F$26="Discount")*(Missions!$A$5:$A$26="Silver")*(Missions!$D$5:$D$26="One-time")*B20*Missions!$E$5:$E$26*'VIP Levels'!$E$6*(Inputs!$B$14-1)*(Missions!$H$5:$H$26/30))+SUMPRODUCT((Missions!$F$5:$F$26="Discount")*(Missions!$A$5:$A$26="Silver")*(Missions!$D$5:$D$26&lt;&gt;"One-time")*B14*Missions!$E$5:$E$26*'VIP Levels'!$E$6*(Inputs!$B$14-1)*(Missions!$H$5:$H$26/30))+SUMPRODUCT((Missions!$F$5:$F$26="Discount")*(Missions!$A$5:$A$26="Gold")*(Missions!$D$5:$D$26="One-time")*B21*Missions!$E$5:$E$26*'VIP Levels'!$E$7*(Inputs!$B$14-1)*(Missions!$H$5:$H$26/30))+SUMPRODUCT((Missions!$F$5:$F$26="Discount")*(Missions!$A$5:$A$26="Gold")*(Missions!$D$5:$D$26&lt;&gt;"One-time")*B15*Missions!$E$5:$E$26*'VIP Levels'!$E$7*(Inputs!$B$14-1)*(Missions!$H$5:$H$26/30))+SUMPRODUCT((Missions!$F$5:$F$26="Discount")*(Missions!$A$5:$A$26="Platinum")*(Missions!$D$5:$D$26="One-time")*B22*Missions!$E$5:$E$26*'VIP Levels'!$E$8*(Inputs!$B$14-1)*(Missions!$H$5:$H$26/30))+SUMPRODUCT((Missions!$F$5:$F$26="Discount")*(Missions!$A$5:$A$26="Platinum")*(Missions!$D$5:$D$26&lt;&gt;"One-time")*B16*Missions!$E$5:$E$26*'VIP Levels'!$E$8*(Inputs!$B$14-1)*(Missions!$H$5:$H$26/30))+SUMPRODUCT((Missions!$F$5:$F$26="Discount")*(Missions!$A$5:$A$26="Diamond")*(Missions!$D$5:$D$26="One-time")*B23*Missions!$E$5:$E$26*'VIP Levels'!$E$9*(Inputs!$B$14-1)*(Missions!$H$5:$H$26/30))+SUMPRODUCT((Missions!$F$5:$F$26="Discount")*(Missions!$A$5:$A$26="Diamond")*(Missions!$D$5:$D$26&lt;&gt;"One-time")*B17*Missions!$E$5:$E$26*'VIP Levels'!$E$9*(Inputs!$B$14-1)*(Missions!$H$5:$H$26/30)),0)</f>
        <v>20</v>
      </c>
      <c r="C11" s="8">
        <f>ROUND(C19*'VIP Levels'!$B$15*'VIP Levels'!$E$5*(Inputs!$B$14-1)*('VIP Levels'!$D$15/30)+C20*'VIP Levels'!$B$16*'VIP Levels'!$E$6*(Inputs!$B$14-1)*('VIP Levels'!$D$16/30)+C21*'VIP Levels'!$B$17*'VIP Levels'!$E$7*(Inputs!$B$14-1)*('VIP Levels'!$D$17/30)+C22*'VIP Levels'!$B$18*'VIP Levels'!$E$8*(Inputs!$B$14-1)*('VIP Levels'!$D$18/30)+C23*'VIP Levels'!$B$19*'VIP Levels'!$E$9*(Inputs!$B$14-1)*('VIP Levels'!$D$19/30)+C19*'VIP Levels'!$B$23*'VIP Levels'!$E$5*(Inputs!$B$14-1)*('VIP Levels'!$D$23/30)+C20*'VIP Levels'!$B$24*'VIP Levels'!$E$6*(Inputs!$B$14-1)*('VIP Levels'!$D$24/30)+C21*'VIP Levels'!$B$25*'VIP Levels'!$E$7*(Inputs!$B$14-1)*('VIP Levels'!$D$25/30)+C22*'VIP Levels'!$B$26*'VIP Levels'!$E$8*(Inputs!$B$14-1)*('VIP Levels'!$D$26/30)+C23*'VIP Levels'!$B$27*'VIP Levels'!$E$9*(Inputs!$B$14-1)*('VIP Levels'!$D$27/30)+SUMPRODUCT((Missions!$F$5:$F$26="Commission Boost")*(Missions!$A$5:$A$26="Bronze")*(Missions!$D$5:$D$26="One-time")*C19*Missions!$E$5:$E$26*'VIP Levels'!$E$5*(Inputs!$B$14-1)*(Missions!$H$5:$H$26/30))+SUMPRODUCT((Missions!$F$5:$F$26="Commission Boost")*(Missions!$A$5:$A$26="Bronze")*(Missions!$D$5:$D$26&lt;&gt;"One-time")*C13*Missions!$E$5:$E$26*'VIP Levels'!$E$5*(Inputs!$B$14-1)*(Missions!$H$5:$H$26/30))+SUMPRODUCT((Missions!$F$5:$F$26="Commission Boost")*(Missions!$A$5:$A$26="Silver")*(Missions!$D$5:$D$26="One-time")*C20*Missions!$E$5:$E$26*'VIP Levels'!$E$6*(Inputs!$B$14-1)*(Missions!$H$5:$H$26/30))+SUMPRODUCT((Missions!$F$5:$F$26="Commission Boost")*(Missions!$A$5:$A$26="Silver")*(Missions!$D$5:$D$26&lt;&gt;"One-time")*C14*Missions!$E$5:$E$26*'VIP Levels'!$E$6*(Inputs!$B$14-1)*(Missions!$H$5:$H$26/30))+SUMPRODUCT((Missions!$F$5:$F$26="Commission Boost")*(Missions!$A$5:$A$26="Gold")*(Missions!$D$5:$D$26="One-time")*C21*Missions!$E$5:$E$26*'VIP Levels'!$E$7*(Inputs!$B$14-1)*(Missions!$H$5:$H$26/30))+SUMPRODUCT((Missions!$F$5:$F$26="Commission Boost")*(Missions!$A$5:$A$26="Gold")*(Missions!$D$5:$D$26&lt;&gt;"One-time")*C15*Missions!$E$5:$E$26*'VIP Levels'!$E$7*(Inputs!$B$14-1)*(Missions!$H$5:$H$26/30))+SUMPRODUCT((Missions!$F$5:$F$26="Commission Boost")*(Missions!$A$5:$A$26="Platinum")*(Missions!$D$5:$D$26="One-time")*C22*Missions!$E$5:$E$26*'VIP Levels'!$E$8*(Inputs!$B$14-1)*(Missions!$H$5:$H$26/30))+SUMPRODUCT((Missions!$F$5:$F$26="Commission Boost")*(Missions!$A$5:$A$26="Platinum")*(Missions!$D$5:$D$26&lt;&gt;"One-time")*C16*Missions!$E$5:$E$26*'VIP Levels'!$E$8*(Inputs!$B$14-1)*(Missions!$H$5:$H$26/30))+SUMPRODUCT((Missions!$F$5:$F$26="Commission Boost")*(Missions!$A$5:$A$26="Diamond")*(Missions!$D$5:$D$26="One-time")*C23*Missions!$E$5:$E$26*'VIP Levels'!$E$9*(Inputs!$B$14-1)*(Missions!$H$5:$H$26/30))+SUMPRODUCT((Missions!$F$5:$F$26="Commission Boost")*(Missions!$A$5:$A$26="Diamond")*(Missions!$D$5:$D$26&lt;&gt;"One-time")*C17*Missions!$E$5:$E$26*'VIP Levels'!$E$9*(Inputs!$B$14-1)*(Missions!$H$5:$H$26/30))+SUMPRODUCT((Missions!$F$5:$F$26="Discount")*(Missions!$A$5:$A$26="Bronze")*(Missions!$D$5:$D$26="One-time")*C19*Missions!$E$5:$E$26*'VIP Levels'!$E$5*(Inputs!$B$14-1)*(Missions!$H$5:$H$26/30))+SUMPRODUCT((Missions!$F$5:$F$26="Discount")*(Missions!$A$5:$A$26="Bronze")*(Missions!$D$5:$D$26&lt;&gt;"One-time")*C13*Missions!$E$5:$E$26*'VIP Levels'!$E$5*(Inputs!$B$14-1)*(Missions!$H$5:$H$26/30))+SUMPRODUCT((Missions!$F$5:$F$26="Discount")*(Missions!$A$5:$A$26="Silver")*(Missions!$D$5:$D$26="One-time")*C20*Missions!$E$5:$E$26*'VIP Levels'!$E$6*(Inputs!$B$14-1)*(Missions!$H$5:$H$26/30))+SUMPRODUCT((Missions!$F$5:$F$26="Discount")*(Missions!$A$5:$A$26="Silver")*(Missions!$D$5:$D$26&lt;&gt;"One-time")*C14*Missions!$E$5:$E$26*'VIP Levels'!$E$6*(Inputs!$B$14-1)*(Missions!$H$5:$H$26/30))+SUMPRODUCT((Missions!$F$5:$F$26="Discount")*(Missions!$A$5:$A$26="Gold")*(Missions!$D$5:$D$26="One-time")*C21*Missions!$E$5:$E$26*'VIP Levels'!$E$7*(Inputs!$B$14-1)*(Missions!$H$5:$H$26/30))+SUMPRODUCT((Missions!$F$5:$F$26="Discount")*(Missions!$A$5:$A$26="Gold")*(Missions!$D$5:$D$26&lt;&gt;"One-time")*C15*Missions!$E$5:$E$26*'VIP Levels'!$E$7*(Inputs!$B$14-1)*(Missions!$H$5:$H$26/30))+SUMPRODUCT((Missions!$F$5:$F$26="Discount")*(Missions!$A$5:$A$26="Platinum")*(Missions!$D$5:$D$26="One-time")*C22*Missions!$E$5:$E$26*'VIP Levels'!$E$8*(Inputs!$B$14-1)*(Missions!$H$5:$H$26/30))+SUMPRODUCT((Missions!$F$5:$F$26="Discount")*(Missions!$A$5:$A$26="Platinum")*(Missions!$D$5:$D$26&lt;&gt;"One-time")*C16*Missions!$E$5:$E$26*'VIP Levels'!$E$8*(Inputs!$B$14-1)*(Missions!$H$5:$H$26/30))+SUMPRODUCT((Missions!$F$5:$F$26="Discount")*(Missions!$A$5:$A$26="Diamond")*(Missions!$D$5:$D$26="One-time")*C23*Missions!$E$5:$E$26*'VIP Levels'!$E$9*(Inputs!$B$14-1)*(Missions!$H$5:$H$26/30))+SUMPRODUCT((Missions!$F$5:$F$26="Discount")*(Missions!$A$5:$A$26="Diamond")*(Missions!$D$5:$D$26&lt;&gt;"One-time")*C17*Missions!$E$5:$E$26*'VIP Levels'!$E$9*(Inputs!$B$14-1)*(Missions!$H$5:$H$26/30)),0)</f>
        <v>39</v>
      </c>
      <c r="D11" s="8">
        <f>ROUND(D19*'VIP Levels'!$B$15*'VIP Levels'!$E$5*(Inputs!$B$14-1)*('VIP Levels'!$D$15/30)+D20*'VIP Levels'!$B$16*'VIP Levels'!$E$6*(Inputs!$B$14-1)*('VIP Levels'!$D$16/30)+D21*'VIP Levels'!$B$17*'VIP Levels'!$E$7*(Inputs!$B$14-1)*('VIP Levels'!$D$17/30)+D22*'VIP Levels'!$B$18*'VIP Levels'!$E$8*(Inputs!$B$14-1)*('VIP Levels'!$D$18/30)+D23*'VIP Levels'!$B$19*'VIP Levels'!$E$9*(Inputs!$B$14-1)*('VIP Levels'!$D$19/30)+D19*'VIP Levels'!$B$23*'VIP Levels'!$E$5*(Inputs!$B$14-1)*('VIP Levels'!$D$23/30)+D20*'VIP Levels'!$B$24*'VIP Levels'!$E$6*(Inputs!$B$14-1)*('VIP Levels'!$D$24/30)+D21*'VIP Levels'!$B$25*'VIP Levels'!$E$7*(Inputs!$B$14-1)*('VIP Levels'!$D$25/30)+D22*'VIP Levels'!$B$26*'VIP Levels'!$E$8*(Inputs!$B$14-1)*('VIP Levels'!$D$26/30)+D23*'VIP Levels'!$B$27*'VIP Levels'!$E$9*(Inputs!$B$14-1)*('VIP Levels'!$D$27/30)+SUMPRODUCT((Missions!$F$5:$F$26="Commission Boost")*(Missions!$A$5:$A$26="Bronze")*(Missions!$D$5:$D$26="One-time")*D19*Missions!$E$5:$E$26*'VIP Levels'!$E$5*(Inputs!$B$14-1)*(Missions!$H$5:$H$26/30))+SUMPRODUCT((Missions!$F$5:$F$26="Commission Boost")*(Missions!$A$5:$A$26="Bronze")*(Missions!$D$5:$D$26&lt;&gt;"One-time")*D13*Missions!$E$5:$E$26*'VIP Levels'!$E$5*(Inputs!$B$14-1)*(Missions!$H$5:$H$26/30))+SUMPRODUCT((Missions!$F$5:$F$26="Commission Boost")*(Missions!$A$5:$A$26="Silver")*(Missions!$D$5:$D$26="One-time")*D20*Missions!$E$5:$E$26*'VIP Levels'!$E$6*(Inputs!$B$14-1)*(Missions!$H$5:$H$26/30))+SUMPRODUCT((Missions!$F$5:$F$26="Commission Boost")*(Missions!$A$5:$A$26="Silver")*(Missions!$D$5:$D$26&lt;&gt;"One-time")*D14*Missions!$E$5:$E$26*'VIP Levels'!$E$6*(Inputs!$B$14-1)*(Missions!$H$5:$H$26/30))+SUMPRODUCT((Missions!$F$5:$F$26="Commission Boost")*(Missions!$A$5:$A$26="Gold")*(Missions!$D$5:$D$26="One-time")*D21*Missions!$E$5:$E$26*'VIP Levels'!$E$7*(Inputs!$B$14-1)*(Missions!$H$5:$H$26/30))+SUMPRODUCT((Missions!$F$5:$F$26="Commission Boost")*(Missions!$A$5:$A$26="Gold")*(Missions!$D$5:$D$26&lt;&gt;"One-time")*D15*Missions!$E$5:$E$26*'VIP Levels'!$E$7*(Inputs!$B$14-1)*(Missions!$H$5:$H$26/30))+SUMPRODUCT((Missions!$F$5:$F$26="Commission Boost")*(Missions!$A$5:$A$26="Platinum")*(Missions!$D$5:$D$26="One-time")*D22*Missions!$E$5:$E$26*'VIP Levels'!$E$8*(Inputs!$B$14-1)*(Missions!$H$5:$H$26/30))+SUMPRODUCT((Missions!$F$5:$F$26="Commission Boost")*(Missions!$A$5:$A$26="Platinum")*(Missions!$D$5:$D$26&lt;&gt;"One-time")*D16*Missions!$E$5:$E$26*'VIP Levels'!$E$8*(Inputs!$B$14-1)*(Missions!$H$5:$H$26/30))+SUMPRODUCT((Missions!$F$5:$F$26="Commission Boost")*(Missions!$A$5:$A$26="Diamond")*(Missions!$D$5:$D$26="One-time")*D23*Missions!$E$5:$E$26*'VIP Levels'!$E$9*(Inputs!$B$14-1)*(Missions!$H$5:$H$26/30))+SUMPRODUCT((Missions!$F$5:$F$26="Commission Boost")*(Missions!$A$5:$A$26="Diamond")*(Missions!$D$5:$D$26&lt;&gt;"One-time")*D17*Missions!$E$5:$E$26*'VIP Levels'!$E$9*(Inputs!$B$14-1)*(Missions!$H$5:$H$26/30))+SUMPRODUCT((Missions!$F$5:$F$26="Discount")*(Missions!$A$5:$A$26="Bronze")*(Missions!$D$5:$D$26="One-time")*D19*Missions!$E$5:$E$26*'VIP Levels'!$E$5*(Inputs!$B$14-1)*(Missions!$H$5:$H$26/30))+SUMPRODUCT((Missions!$F$5:$F$26="Discount")*(Missions!$A$5:$A$26="Bronze")*(Missions!$D$5:$D$26&lt;&gt;"One-time")*D13*Missions!$E$5:$E$26*'VIP Levels'!$E$5*(Inputs!$B$14-1)*(Missions!$H$5:$H$26/30))+SUMPRODUCT((Missions!$F$5:$F$26="Discount")*(Missions!$A$5:$A$26="Silver")*(Missions!$D$5:$D$26="One-time")*D20*Missions!$E$5:$E$26*'VIP Levels'!$E$6*(Inputs!$B$14-1)*(Missions!$H$5:$H$26/30))+SUMPRODUCT((Missions!$F$5:$F$26="Discount")*(Missions!$A$5:$A$26="Silver")*(Missions!$D$5:$D$26&lt;&gt;"One-time")*D14*Missions!$E$5:$E$26*'VIP Levels'!$E$6*(Inputs!$B$14-1)*(Missions!$H$5:$H$26/30))+SUMPRODUCT((Missions!$F$5:$F$26="Discount")*(Missions!$A$5:$A$26="Gold")*(Missions!$D$5:$D$26="One-time")*D21*Missions!$E$5:$E$26*'VIP Levels'!$E$7*(Inputs!$B$14-1)*(Missions!$H$5:$H$26/30))+SUMPRODUCT((Missions!$F$5:$F$26="Discount")*(Missions!$A$5:$A$26="Gold")*(Missions!$D$5:$D$26&lt;&gt;"One-time")*D15*Missions!$E$5:$E$26*'VIP Levels'!$E$7*(Inputs!$B$14-1)*(Missions!$H$5:$H$26/30))+SUMPRODUCT((Missions!$F$5:$F$26="Discount")*(Missions!$A$5:$A$26="Platinum")*(Missions!$D$5:$D$26="One-time")*D22*Missions!$E$5:$E$26*'VIP Levels'!$E$8*(Inputs!$B$14-1)*(Missions!$H$5:$H$26/30))+SUMPRODUCT((Missions!$F$5:$F$26="Discount")*(Missions!$A$5:$A$26="Platinum")*(Missions!$D$5:$D$26&lt;&gt;"One-time")*D16*Missions!$E$5:$E$26*'VIP Levels'!$E$8*(Inputs!$B$14-1)*(Missions!$H$5:$H$26/30))+SUMPRODUCT((Missions!$F$5:$F$26="Discount")*(Missions!$A$5:$A$26="Diamond")*(Missions!$D$5:$D$26="One-time")*D23*Missions!$E$5:$E$26*'VIP Levels'!$E$9*(Inputs!$B$14-1)*(Missions!$H$5:$H$26/30))+SUMPRODUCT((Missions!$F$5:$F$26="Discount")*(Missions!$A$5:$A$26="Diamond")*(Missions!$D$5:$D$26&lt;&gt;"One-time")*D17*Missions!$E$5:$E$26*'VIP Levels'!$E$9*(Inputs!$B$14-1)*(Missions!$H$5:$H$26/30)),0)</f>
        <v>70</v>
      </c>
      <c r="E11" s="8">
        <f>ROUND(E19*'VIP Levels'!$B$15*'VIP Levels'!$E$5*(Inputs!$B$14-1)*('VIP Levels'!$D$15/30)+E20*'VIP Levels'!$B$16*'VIP Levels'!$E$6*(Inputs!$B$14-1)*('VIP Levels'!$D$16/30)+E21*'VIP Levels'!$B$17*'VIP Levels'!$E$7*(Inputs!$B$14-1)*('VIP Levels'!$D$17/30)+E22*'VIP Levels'!$B$18*'VIP Levels'!$E$8*(Inputs!$B$14-1)*('VIP Levels'!$D$18/30)+E23*'VIP Levels'!$B$19*'VIP Levels'!$E$9*(Inputs!$B$14-1)*('VIP Levels'!$D$19/30)+E19*'VIP Levels'!$B$23*'VIP Levels'!$E$5*(Inputs!$B$14-1)*('VIP Levels'!$D$23/30)+E20*'VIP Levels'!$B$24*'VIP Levels'!$E$6*(Inputs!$B$14-1)*('VIP Levels'!$D$24/30)+E21*'VIP Levels'!$B$25*'VIP Levels'!$E$7*(Inputs!$B$14-1)*('VIP Levels'!$D$25/30)+E22*'VIP Levels'!$B$26*'VIP Levels'!$E$8*(Inputs!$B$14-1)*('VIP Levels'!$D$26/30)+E23*'VIP Levels'!$B$27*'VIP Levels'!$E$9*(Inputs!$B$14-1)*('VIP Levels'!$D$27/30)+SUMPRODUCT((Missions!$F$5:$F$26="Commission Boost")*(Missions!$A$5:$A$26="Bronze")*(Missions!$D$5:$D$26="One-time")*E19*Missions!$E$5:$E$26*'VIP Levels'!$E$5*(Inputs!$B$14-1)*(Missions!$H$5:$H$26/30))+SUMPRODUCT((Missions!$F$5:$F$26="Commission Boost")*(Missions!$A$5:$A$26="Bronze")*(Missions!$D$5:$D$26&lt;&gt;"One-time")*E13*Missions!$E$5:$E$26*'VIP Levels'!$E$5*(Inputs!$B$14-1)*(Missions!$H$5:$H$26/30))+SUMPRODUCT((Missions!$F$5:$F$26="Commission Boost")*(Missions!$A$5:$A$26="Silver")*(Missions!$D$5:$D$26="One-time")*E20*Missions!$E$5:$E$26*'VIP Levels'!$E$6*(Inputs!$B$14-1)*(Missions!$H$5:$H$26/30))+SUMPRODUCT((Missions!$F$5:$F$26="Commission Boost")*(Missions!$A$5:$A$26="Silver")*(Missions!$D$5:$D$26&lt;&gt;"One-time")*E14*Missions!$E$5:$E$26*'VIP Levels'!$E$6*(Inputs!$B$14-1)*(Missions!$H$5:$H$26/30))+SUMPRODUCT((Missions!$F$5:$F$26="Commission Boost")*(Missions!$A$5:$A$26="Gold")*(Missions!$D$5:$D$26="One-time")*E21*Missions!$E$5:$E$26*'VIP Levels'!$E$7*(Inputs!$B$14-1)*(Missions!$H$5:$H$26/30))+SUMPRODUCT((Missions!$F$5:$F$26="Commission Boost")*(Missions!$A$5:$A$26="Gold")*(Missions!$D$5:$D$26&lt;&gt;"One-time")*E15*Missions!$E$5:$E$26*'VIP Levels'!$E$7*(Inputs!$B$14-1)*(Missions!$H$5:$H$26/30))+SUMPRODUCT((Missions!$F$5:$F$26="Commission Boost")*(Missions!$A$5:$A$26="Platinum")*(Missions!$D$5:$D$26="One-time")*E22*Missions!$E$5:$E$26*'VIP Levels'!$E$8*(Inputs!$B$14-1)*(Missions!$H$5:$H$26/30))+SUMPRODUCT((Missions!$F$5:$F$26="Commission Boost")*(Missions!$A$5:$A$26="Platinum")*(Missions!$D$5:$D$26&lt;&gt;"One-time")*E16*Missions!$E$5:$E$26*'VIP Levels'!$E$8*(Inputs!$B$14-1)*(Missions!$H$5:$H$26/30))+SUMPRODUCT((Missions!$F$5:$F$26="Commission Boost")*(Missions!$A$5:$A$26="Diamond")*(Missions!$D$5:$D$26="One-time")*E23*Missions!$E$5:$E$26*'VIP Levels'!$E$9*(Inputs!$B$14-1)*(Missions!$H$5:$H$26/30))+SUMPRODUCT((Missions!$F$5:$F$26="Commission Boost")*(Missions!$A$5:$A$26="Diamond")*(Missions!$D$5:$D$26&lt;&gt;"One-time")*E17*Missions!$E$5:$E$26*'VIP Levels'!$E$9*(Inputs!$B$14-1)*(Missions!$H$5:$H$26/30))+SUMPRODUCT((Missions!$F$5:$F$26="Discount")*(Missions!$A$5:$A$26="Bronze")*(Missions!$D$5:$D$26="One-time")*E19*Missions!$E$5:$E$26*'VIP Levels'!$E$5*(Inputs!$B$14-1)*(Missions!$H$5:$H$26/30))+SUMPRODUCT((Missions!$F$5:$F$26="Discount")*(Missions!$A$5:$A$26="Bronze")*(Missions!$D$5:$D$26&lt;&gt;"One-time")*E13*Missions!$E$5:$E$26*'VIP Levels'!$E$5*(Inputs!$B$14-1)*(Missions!$H$5:$H$26/30))+SUMPRODUCT((Missions!$F$5:$F$26="Discount")*(Missions!$A$5:$A$26="Silver")*(Missions!$D$5:$D$26="One-time")*E20*Missions!$E$5:$E$26*'VIP Levels'!$E$6*(Inputs!$B$14-1)*(Missions!$H$5:$H$26/30))+SUMPRODUCT((Missions!$F$5:$F$26="Discount")*(Missions!$A$5:$A$26="Silver")*(Missions!$D$5:$D$26&lt;&gt;"One-time")*E14*Missions!$E$5:$E$26*'VIP Levels'!$E$6*(Inputs!$B$14-1)*(Missions!$H$5:$H$26/30))+SUMPRODUCT((Missions!$F$5:$F$26="Discount")*(Missions!$A$5:$A$26="Gold")*(Missions!$D$5:$D$26="One-time")*E21*Missions!$E$5:$E$26*'VIP Levels'!$E$7*(Inputs!$B$14-1)*(Missions!$H$5:$H$26/30))+SUMPRODUCT((Missions!$F$5:$F$26="Discount")*(Missions!$A$5:$A$26="Gold")*(Missions!$D$5:$D$26&lt;&gt;"One-time")*E15*Missions!$E$5:$E$26*'VIP Levels'!$E$7*(Inputs!$B$14-1)*(Missions!$H$5:$H$26/30))+SUMPRODUCT((Missions!$F$5:$F$26="Discount")*(Missions!$A$5:$A$26="Platinum")*(Missions!$D$5:$D$26="One-time")*E22*Missions!$E$5:$E$26*'VIP Levels'!$E$8*(Inputs!$B$14-1)*(Missions!$H$5:$H$26/30))+SUMPRODUCT((Missions!$F$5:$F$26="Discount")*(Missions!$A$5:$A$26="Platinum")*(Missions!$D$5:$D$26&lt;&gt;"One-time")*E16*Missions!$E$5:$E$26*'VIP Levels'!$E$8*(Inputs!$B$14-1)*(Missions!$H$5:$H$26/30))+SUMPRODUCT((Missions!$F$5:$F$26="Discount")*(Missions!$A$5:$A$26="Diamond")*(Missions!$D$5:$D$26="One-time")*E23*Missions!$E$5:$E$26*'VIP Levels'!$E$9*(Inputs!$B$14-1)*(Missions!$H$5:$H$26/30))+SUMPRODUCT((Missions!$F$5:$F$26="Discount")*(Missions!$A$5:$A$26="Diamond")*(Missions!$D$5:$D$26&lt;&gt;"One-time")*E17*Missions!$E$5:$E$26*'VIP Levels'!$E$9*(Inputs!$B$14-1)*(Missions!$H$5:$H$26/30)),0)</f>
        <v>85</v>
      </c>
      <c r="F11" s="8">
        <f>ROUND(F19*'VIP Levels'!$B$15*'VIP Levels'!$E$5*(Inputs!$B$14-1)*('VIP Levels'!$D$15/30)+F20*'VIP Levels'!$B$16*'VIP Levels'!$E$6*(Inputs!$B$14-1)*('VIP Levels'!$D$16/30)+F21*'VIP Levels'!$B$17*'VIP Levels'!$E$7*(Inputs!$B$14-1)*('VIP Levels'!$D$17/30)+F22*'VIP Levels'!$B$18*'VIP Levels'!$E$8*(Inputs!$B$14-1)*('VIP Levels'!$D$18/30)+F23*'VIP Levels'!$B$19*'VIP Levels'!$E$9*(Inputs!$B$14-1)*('VIP Levels'!$D$19/30)+F19*'VIP Levels'!$B$23*'VIP Levels'!$E$5*(Inputs!$B$14-1)*('VIP Levels'!$D$23/30)+F20*'VIP Levels'!$B$24*'VIP Levels'!$E$6*(Inputs!$B$14-1)*('VIP Levels'!$D$24/30)+F21*'VIP Levels'!$B$25*'VIP Levels'!$E$7*(Inputs!$B$14-1)*('VIP Levels'!$D$25/30)+F22*'VIP Levels'!$B$26*'VIP Levels'!$E$8*(Inputs!$B$14-1)*('VIP Levels'!$D$26/30)+F23*'VIP Levels'!$B$27*'VIP Levels'!$E$9*(Inputs!$B$14-1)*('VIP Levels'!$D$27/30)+SUMPRODUCT((Missions!$F$5:$F$26="Commission Boost")*(Missions!$A$5:$A$26="Bronze")*(Missions!$D$5:$D$26="One-time")*F19*Missions!$E$5:$E$26*'VIP Levels'!$E$5*(Inputs!$B$14-1)*(Missions!$H$5:$H$26/30))+SUMPRODUCT((Missions!$F$5:$F$26="Commission Boost")*(Missions!$A$5:$A$26="Bronze")*(Missions!$D$5:$D$26&lt;&gt;"One-time")*F13*Missions!$E$5:$E$26*'VIP Levels'!$E$5*(Inputs!$B$14-1)*(Missions!$H$5:$H$26/30))+SUMPRODUCT((Missions!$F$5:$F$26="Commission Boost")*(Missions!$A$5:$A$26="Silver")*(Missions!$D$5:$D$26="One-time")*F20*Missions!$E$5:$E$26*'VIP Levels'!$E$6*(Inputs!$B$14-1)*(Missions!$H$5:$H$26/30))+SUMPRODUCT((Missions!$F$5:$F$26="Commission Boost")*(Missions!$A$5:$A$26="Silver")*(Missions!$D$5:$D$26&lt;&gt;"One-time")*F14*Missions!$E$5:$E$26*'VIP Levels'!$E$6*(Inputs!$B$14-1)*(Missions!$H$5:$H$26/30))+SUMPRODUCT((Missions!$F$5:$F$26="Commission Boost")*(Missions!$A$5:$A$26="Gold")*(Missions!$D$5:$D$26="One-time")*F21*Missions!$E$5:$E$26*'VIP Levels'!$E$7*(Inputs!$B$14-1)*(Missions!$H$5:$H$26/30))+SUMPRODUCT((Missions!$F$5:$F$26="Commission Boost")*(Missions!$A$5:$A$26="Gold")*(Missions!$D$5:$D$26&lt;&gt;"One-time")*F15*Missions!$E$5:$E$26*'VIP Levels'!$E$7*(Inputs!$B$14-1)*(Missions!$H$5:$H$26/30))+SUMPRODUCT((Missions!$F$5:$F$26="Commission Boost")*(Missions!$A$5:$A$26="Platinum")*(Missions!$D$5:$D$26="One-time")*F22*Missions!$E$5:$E$26*'VIP Levels'!$E$8*(Inputs!$B$14-1)*(Missions!$H$5:$H$26/30))+SUMPRODUCT((Missions!$F$5:$F$26="Commission Boost")*(Missions!$A$5:$A$26="Platinum")*(Missions!$D$5:$D$26&lt;&gt;"One-time")*F16*Missions!$E$5:$E$26*'VIP Levels'!$E$8*(Inputs!$B$14-1)*(Missions!$H$5:$H$26/30))+SUMPRODUCT((Missions!$F$5:$F$26="Commission Boost")*(Missions!$A$5:$A$26="Diamond")*(Missions!$D$5:$D$26="One-time")*F23*Missions!$E$5:$E$26*'VIP Levels'!$E$9*(Inputs!$B$14-1)*(Missions!$H$5:$H$26/30))+SUMPRODUCT((Missions!$F$5:$F$26="Commission Boost")*(Missions!$A$5:$A$26="Diamond")*(Missions!$D$5:$D$26&lt;&gt;"One-time")*F17*Missions!$E$5:$E$26*'VIP Levels'!$E$9*(Inputs!$B$14-1)*(Missions!$H$5:$H$26/30))+SUMPRODUCT((Missions!$F$5:$F$26="Discount")*(Missions!$A$5:$A$26="Bronze")*(Missions!$D$5:$D$26="One-time")*F19*Missions!$E$5:$E$26*'VIP Levels'!$E$5*(Inputs!$B$14-1)*(Missions!$H$5:$H$26/30))+SUMPRODUCT((Missions!$F$5:$F$26="Discount")*(Missions!$A$5:$A$26="Bronze")*(Missions!$D$5:$D$26&lt;&gt;"One-time")*F13*Missions!$E$5:$E$26*'VIP Levels'!$E$5*(Inputs!$B$14-1)*(Missions!$H$5:$H$26/30))+SUMPRODUCT((Missions!$F$5:$F$26="Discount")*(Missions!$A$5:$A$26="Silver")*(Missions!$D$5:$D$26="One-time")*F20*Missions!$E$5:$E$26*'VIP Levels'!$E$6*(Inputs!$B$14-1)*(Missions!$H$5:$H$26/30))+SUMPRODUCT((Missions!$F$5:$F$26="Discount")*(Missions!$A$5:$A$26="Silver")*(Missions!$D$5:$D$26&lt;&gt;"One-time")*F14*Missions!$E$5:$E$26*'VIP Levels'!$E$6*(Inputs!$B$14-1)*(Missions!$H$5:$H$26/30))+SUMPRODUCT((Missions!$F$5:$F$26="Discount")*(Missions!$A$5:$A$26="Gold")*(Missions!$D$5:$D$26="One-time")*F21*Missions!$E$5:$E$26*'VIP Levels'!$E$7*(Inputs!$B$14-1)*(Missions!$H$5:$H$26/30))+SUMPRODUCT((Missions!$F$5:$F$26="Discount")*(Missions!$A$5:$A$26="Gold")*(Missions!$D$5:$D$26&lt;&gt;"One-time")*F15*Missions!$E$5:$E$26*'VIP Levels'!$E$7*(Inputs!$B$14-1)*(Missions!$H$5:$H$26/30))+SUMPRODUCT((Missions!$F$5:$F$26="Discount")*(Missions!$A$5:$A$26="Platinum")*(Missions!$D$5:$D$26="One-time")*F22*Missions!$E$5:$E$26*'VIP Levels'!$E$8*(Inputs!$B$14-1)*(Missions!$H$5:$H$26/30))+SUMPRODUCT((Missions!$F$5:$F$26="Discount")*(Missions!$A$5:$A$26="Platinum")*(Missions!$D$5:$D$26&lt;&gt;"One-time")*F16*Missions!$E$5:$E$26*'VIP Levels'!$E$8*(Inputs!$B$14-1)*(Missions!$H$5:$H$26/30))+SUMPRODUCT((Missions!$F$5:$F$26="Discount")*(Missions!$A$5:$A$26="Diamond")*(Missions!$D$5:$D$26="One-time")*F23*Missions!$E$5:$E$26*'VIP Levels'!$E$9*(Inputs!$B$14-1)*(Missions!$H$5:$H$26/30))+SUMPRODUCT((Missions!$F$5:$F$26="Discount")*(Missions!$A$5:$A$26="Diamond")*(Missions!$D$5:$D$26&lt;&gt;"One-time")*F17*Missions!$E$5:$E$26*'VIP Levels'!$E$9*(Inputs!$B$14-1)*(Missions!$H$5:$H$26/30)),0)</f>
        <v>128</v>
      </c>
      <c r="G11" s="8">
        <f>ROUND(G19*'VIP Levels'!$B$15*'VIP Levels'!$E$5*(Inputs!$B$14-1)*('VIP Levels'!$D$15/30)+G20*'VIP Levels'!$B$16*'VIP Levels'!$E$6*(Inputs!$B$14-1)*('VIP Levels'!$D$16/30)+G21*'VIP Levels'!$B$17*'VIP Levels'!$E$7*(Inputs!$B$14-1)*('VIP Levels'!$D$17/30)+G22*'VIP Levels'!$B$18*'VIP Levels'!$E$8*(Inputs!$B$14-1)*('VIP Levels'!$D$18/30)+G23*'VIP Levels'!$B$19*'VIP Levels'!$E$9*(Inputs!$B$14-1)*('VIP Levels'!$D$19/30)+G19*'VIP Levels'!$B$23*'VIP Levels'!$E$5*(Inputs!$B$14-1)*('VIP Levels'!$D$23/30)+G20*'VIP Levels'!$B$24*'VIP Levels'!$E$6*(Inputs!$B$14-1)*('VIP Levels'!$D$24/30)+G21*'VIP Levels'!$B$25*'VIP Levels'!$E$7*(Inputs!$B$14-1)*('VIP Levels'!$D$25/30)+G22*'VIP Levels'!$B$26*'VIP Levels'!$E$8*(Inputs!$B$14-1)*('VIP Levels'!$D$26/30)+G23*'VIP Levels'!$B$27*'VIP Levels'!$E$9*(Inputs!$B$14-1)*('VIP Levels'!$D$27/30)+SUMPRODUCT((Missions!$F$5:$F$26="Commission Boost")*(Missions!$A$5:$A$26="Bronze")*(Missions!$D$5:$D$26="One-time")*G19*Missions!$E$5:$E$26*'VIP Levels'!$E$5*(Inputs!$B$14-1)*(Missions!$H$5:$H$26/30))+SUMPRODUCT((Missions!$F$5:$F$26="Commission Boost")*(Missions!$A$5:$A$26="Bronze")*(Missions!$D$5:$D$26&lt;&gt;"One-time")*G13*Missions!$E$5:$E$26*'VIP Levels'!$E$5*(Inputs!$B$14-1)*(Missions!$H$5:$H$26/30))+SUMPRODUCT((Missions!$F$5:$F$26="Commission Boost")*(Missions!$A$5:$A$26="Silver")*(Missions!$D$5:$D$26="One-time")*G20*Missions!$E$5:$E$26*'VIP Levels'!$E$6*(Inputs!$B$14-1)*(Missions!$H$5:$H$26/30))+SUMPRODUCT((Missions!$F$5:$F$26="Commission Boost")*(Missions!$A$5:$A$26="Silver")*(Missions!$D$5:$D$26&lt;&gt;"One-time")*G14*Missions!$E$5:$E$26*'VIP Levels'!$E$6*(Inputs!$B$14-1)*(Missions!$H$5:$H$26/30))+SUMPRODUCT((Missions!$F$5:$F$26="Commission Boost")*(Missions!$A$5:$A$26="Gold")*(Missions!$D$5:$D$26="One-time")*G21*Missions!$E$5:$E$26*'VIP Levels'!$E$7*(Inputs!$B$14-1)*(Missions!$H$5:$H$26/30))+SUMPRODUCT((Missions!$F$5:$F$26="Commission Boost")*(Missions!$A$5:$A$26="Gold")*(Missions!$D$5:$D$26&lt;&gt;"One-time")*G15*Missions!$E$5:$E$26*'VIP Levels'!$E$7*(Inputs!$B$14-1)*(Missions!$H$5:$H$26/30))+SUMPRODUCT((Missions!$F$5:$F$26="Commission Boost")*(Missions!$A$5:$A$26="Platinum")*(Missions!$D$5:$D$26="One-time")*G22*Missions!$E$5:$E$26*'VIP Levels'!$E$8*(Inputs!$B$14-1)*(Missions!$H$5:$H$26/30))+SUMPRODUCT((Missions!$F$5:$F$26="Commission Boost")*(Missions!$A$5:$A$26="Platinum")*(Missions!$D$5:$D$26&lt;&gt;"One-time")*G16*Missions!$E$5:$E$26*'VIP Levels'!$E$8*(Inputs!$B$14-1)*(Missions!$H$5:$H$26/30))+SUMPRODUCT((Missions!$F$5:$F$26="Commission Boost")*(Missions!$A$5:$A$26="Diamond")*(Missions!$D$5:$D$26="One-time")*G23*Missions!$E$5:$E$26*'VIP Levels'!$E$9*(Inputs!$B$14-1)*(Missions!$H$5:$H$26/30))+SUMPRODUCT((Missions!$F$5:$F$26="Commission Boost")*(Missions!$A$5:$A$26="Diamond")*(Missions!$D$5:$D$26&lt;&gt;"One-time")*G17*Missions!$E$5:$E$26*'VIP Levels'!$E$9*(Inputs!$B$14-1)*(Missions!$H$5:$H$26/30))+SUMPRODUCT((Missions!$F$5:$F$26="Discount")*(Missions!$A$5:$A$26="Bronze")*(Missions!$D$5:$D$26="One-time")*G19*Missions!$E$5:$E$26*'VIP Levels'!$E$5*(Inputs!$B$14-1)*(Missions!$H$5:$H$26/30))+SUMPRODUCT((Missions!$F$5:$F$26="Discount")*(Missions!$A$5:$A$26="Bronze")*(Missions!$D$5:$D$26&lt;&gt;"One-time")*G13*Missions!$E$5:$E$26*'VIP Levels'!$E$5*(Inputs!$B$14-1)*(Missions!$H$5:$H$26/30))+SUMPRODUCT((Missions!$F$5:$F$26="Discount")*(Missions!$A$5:$A$26="Silver")*(Missions!$D$5:$D$26="One-time")*G20*Missions!$E$5:$E$26*'VIP Levels'!$E$6*(Inputs!$B$14-1)*(Missions!$H$5:$H$26/30))+SUMPRODUCT((Missions!$F$5:$F$26="Discount")*(Missions!$A$5:$A$26="Silver")*(Missions!$D$5:$D$26&lt;&gt;"One-time")*G14*Missions!$E$5:$E$26*'VIP Levels'!$E$6*(Inputs!$B$14-1)*(Missions!$H$5:$H$26/30))+SUMPRODUCT((Missions!$F$5:$F$26="Discount")*(Missions!$A$5:$A$26="Gold")*(Missions!$D$5:$D$26="One-time")*G21*Missions!$E$5:$E$26*'VIP Levels'!$E$7*(Inputs!$B$14-1)*(Missions!$H$5:$H$26/30))+SUMPRODUCT((Missions!$F$5:$F$26="Discount")*(Missions!$A$5:$A$26="Gold")*(Missions!$D$5:$D$26&lt;&gt;"One-time")*G15*Missions!$E$5:$E$26*'VIP Levels'!$E$7*(Inputs!$B$14-1)*(Missions!$H$5:$H$26/30))+SUMPRODUCT((Missions!$F$5:$F$26="Discount")*(Missions!$A$5:$A$26="Platinum")*(Missions!$D$5:$D$26="One-time")*G22*Missions!$E$5:$E$26*'VIP Levels'!$E$8*(Inputs!$B$14-1)*(Missions!$H$5:$H$26/30))+SUMPRODUCT((Missions!$F$5:$F$26="Discount")*(Missions!$A$5:$A$26="Platinum")*(Missions!$D$5:$D$26&lt;&gt;"One-time")*G16*Missions!$E$5:$E$26*'VIP Levels'!$E$8*(Inputs!$B$14-1)*(Missions!$H$5:$H$26/30))+SUMPRODUCT((Missions!$F$5:$F$26="Discount")*(Missions!$A$5:$A$26="Diamond")*(Missions!$D$5:$D$26="One-time")*G23*Missions!$E$5:$E$26*'VIP Levels'!$E$9*(Inputs!$B$14-1)*(Missions!$H$5:$H$26/30))+SUMPRODUCT((Missions!$F$5:$F$26="Discount")*(Missions!$A$5:$A$26="Diamond")*(Missions!$D$5:$D$26&lt;&gt;"One-time")*G17*Missions!$E$5:$E$26*'VIP Levels'!$E$9*(Inputs!$B$14-1)*(Missions!$H$5:$H$26/30)),0)</f>
        <v>176</v>
      </c>
      <c r="H11" s="8">
        <f>ROUND(H19*'VIP Levels'!$B$15*'VIP Levels'!$E$5*(Inputs!$B$14-1)*('VIP Levels'!$D$15/30)+H20*'VIP Levels'!$B$16*'VIP Levels'!$E$6*(Inputs!$B$14-1)*('VIP Levels'!$D$16/30)+H21*'VIP Levels'!$B$17*'VIP Levels'!$E$7*(Inputs!$B$14-1)*('VIP Levels'!$D$17/30)+H22*'VIP Levels'!$B$18*'VIP Levels'!$E$8*(Inputs!$B$14-1)*('VIP Levels'!$D$18/30)+H23*'VIP Levels'!$B$19*'VIP Levels'!$E$9*(Inputs!$B$14-1)*('VIP Levels'!$D$19/30)+H19*'VIP Levels'!$B$23*'VIP Levels'!$E$5*(Inputs!$B$14-1)*('VIP Levels'!$D$23/30)+H20*'VIP Levels'!$B$24*'VIP Levels'!$E$6*(Inputs!$B$14-1)*('VIP Levels'!$D$24/30)+H21*'VIP Levels'!$B$25*'VIP Levels'!$E$7*(Inputs!$B$14-1)*('VIP Levels'!$D$25/30)+H22*'VIP Levels'!$B$26*'VIP Levels'!$E$8*(Inputs!$B$14-1)*('VIP Levels'!$D$26/30)+H23*'VIP Levels'!$B$27*'VIP Levels'!$E$9*(Inputs!$B$14-1)*('VIP Levels'!$D$27/30)+SUMPRODUCT((Missions!$F$5:$F$26="Commission Boost")*(Missions!$A$5:$A$26="Bronze")*(Missions!$D$5:$D$26="One-time")*H19*Missions!$E$5:$E$26*'VIP Levels'!$E$5*(Inputs!$B$14-1)*(Missions!$H$5:$H$26/30))+SUMPRODUCT((Missions!$F$5:$F$26="Commission Boost")*(Missions!$A$5:$A$26="Bronze")*(Missions!$D$5:$D$26&lt;&gt;"One-time")*H13*Missions!$E$5:$E$26*'VIP Levels'!$E$5*(Inputs!$B$14-1)*(Missions!$H$5:$H$26/30))+SUMPRODUCT((Missions!$F$5:$F$26="Commission Boost")*(Missions!$A$5:$A$26="Silver")*(Missions!$D$5:$D$26="One-time")*H20*Missions!$E$5:$E$26*'VIP Levels'!$E$6*(Inputs!$B$14-1)*(Missions!$H$5:$H$26/30))+SUMPRODUCT((Missions!$F$5:$F$26="Commission Boost")*(Missions!$A$5:$A$26="Silver")*(Missions!$D$5:$D$26&lt;&gt;"One-time")*H14*Missions!$E$5:$E$26*'VIP Levels'!$E$6*(Inputs!$B$14-1)*(Missions!$H$5:$H$26/30))+SUMPRODUCT((Missions!$F$5:$F$26="Commission Boost")*(Missions!$A$5:$A$26="Gold")*(Missions!$D$5:$D$26="One-time")*H21*Missions!$E$5:$E$26*'VIP Levels'!$E$7*(Inputs!$B$14-1)*(Missions!$H$5:$H$26/30))+SUMPRODUCT((Missions!$F$5:$F$26="Commission Boost")*(Missions!$A$5:$A$26="Gold")*(Missions!$D$5:$D$26&lt;&gt;"One-time")*H15*Missions!$E$5:$E$26*'VIP Levels'!$E$7*(Inputs!$B$14-1)*(Missions!$H$5:$H$26/30))+SUMPRODUCT((Missions!$F$5:$F$26="Commission Boost")*(Missions!$A$5:$A$26="Platinum")*(Missions!$D$5:$D$26="One-time")*H22*Missions!$E$5:$E$26*'VIP Levels'!$E$8*(Inputs!$B$14-1)*(Missions!$H$5:$H$26/30))+SUMPRODUCT((Missions!$F$5:$F$26="Commission Boost")*(Missions!$A$5:$A$26="Platinum")*(Missions!$D$5:$D$26&lt;&gt;"One-time")*H16*Missions!$E$5:$E$26*'VIP Levels'!$E$8*(Inputs!$B$14-1)*(Missions!$H$5:$H$26/30))+SUMPRODUCT((Missions!$F$5:$F$26="Commission Boost")*(Missions!$A$5:$A$26="Diamond")*(Missions!$D$5:$D$26="One-time")*H23*Missions!$E$5:$E$26*'VIP Levels'!$E$9*(Inputs!$B$14-1)*(Missions!$H$5:$H$26/30))+SUMPRODUCT((Missions!$F$5:$F$26="Commission Boost")*(Missions!$A$5:$A$26="Diamond")*(Missions!$D$5:$D$26&lt;&gt;"One-time")*H17*Missions!$E$5:$E$26*'VIP Levels'!$E$9*(Inputs!$B$14-1)*(Missions!$H$5:$H$26/30))+SUMPRODUCT((Missions!$F$5:$F$26="Discount")*(Missions!$A$5:$A$26="Bronze")*(Missions!$D$5:$D$26="One-time")*H19*Missions!$E$5:$E$26*'VIP Levels'!$E$5*(Inputs!$B$14-1)*(Missions!$H$5:$H$26/30))+SUMPRODUCT((Missions!$F$5:$F$26="Discount")*(Missions!$A$5:$A$26="Bronze")*(Missions!$D$5:$D$26&lt;&gt;"One-time")*H13*Missions!$E$5:$E$26*'VIP Levels'!$E$5*(Inputs!$B$14-1)*(Missions!$H$5:$H$26/30))+SUMPRODUCT((Missions!$F$5:$F$26="Discount")*(Missions!$A$5:$A$26="Silver")*(Missions!$D$5:$D$26="One-time")*H20*Missions!$E$5:$E$26*'VIP Levels'!$E$6*(Inputs!$B$14-1)*(Missions!$H$5:$H$26/30))+SUMPRODUCT((Missions!$F$5:$F$26="Discount")*(Missions!$A$5:$A$26="Silver")*(Missions!$D$5:$D$26&lt;&gt;"One-time")*H14*Missions!$E$5:$E$26*'VIP Levels'!$E$6*(Inputs!$B$14-1)*(Missions!$H$5:$H$26/30))+SUMPRODUCT((Missions!$F$5:$F$26="Discount")*(Missions!$A$5:$A$26="Gold")*(Missions!$D$5:$D$26="One-time")*H21*Missions!$E$5:$E$26*'VIP Levels'!$E$7*(Inputs!$B$14-1)*(Missions!$H$5:$H$26/30))+SUMPRODUCT((Missions!$F$5:$F$26="Discount")*(Missions!$A$5:$A$26="Gold")*(Missions!$D$5:$D$26&lt;&gt;"One-time")*H15*Missions!$E$5:$E$26*'VIP Levels'!$E$7*(Inputs!$B$14-1)*(Missions!$H$5:$H$26/30))+SUMPRODUCT((Missions!$F$5:$F$26="Discount")*(Missions!$A$5:$A$26="Platinum")*(Missions!$D$5:$D$26="One-time")*H22*Missions!$E$5:$E$26*'VIP Levels'!$E$8*(Inputs!$B$14-1)*(Missions!$H$5:$H$26/30))+SUMPRODUCT((Missions!$F$5:$F$26="Discount")*(Missions!$A$5:$A$26="Platinum")*(Missions!$D$5:$D$26&lt;&gt;"One-time")*H16*Missions!$E$5:$E$26*'VIP Levels'!$E$8*(Inputs!$B$14-1)*(Missions!$H$5:$H$26/30))+SUMPRODUCT((Missions!$F$5:$F$26="Discount")*(Missions!$A$5:$A$26="Diamond")*(Missions!$D$5:$D$26="One-time")*H23*Missions!$E$5:$E$26*'VIP Levels'!$E$9*(Inputs!$B$14-1)*(Missions!$H$5:$H$26/30))+SUMPRODUCT((Missions!$F$5:$F$26="Discount")*(Missions!$A$5:$A$26="Diamond")*(Missions!$D$5:$D$26&lt;&gt;"One-time")*H17*Missions!$E$5:$E$26*'VIP Levels'!$E$9*(Inputs!$B$14-1)*(Missions!$H$5:$H$26/30)),0)</f>
        <v>196</v>
      </c>
      <c r="I11" s="8">
        <f>ROUND(I19*'VIP Levels'!$B$15*'VIP Levels'!$E$5*(Inputs!$B$14-1)*('VIP Levels'!$D$15/30)+I20*'VIP Levels'!$B$16*'VIP Levels'!$E$6*(Inputs!$B$14-1)*('VIP Levels'!$D$16/30)+I21*'VIP Levels'!$B$17*'VIP Levels'!$E$7*(Inputs!$B$14-1)*('VIP Levels'!$D$17/30)+I22*'VIP Levels'!$B$18*'VIP Levels'!$E$8*(Inputs!$B$14-1)*('VIP Levels'!$D$18/30)+I23*'VIP Levels'!$B$19*'VIP Levels'!$E$9*(Inputs!$B$14-1)*('VIP Levels'!$D$19/30)+I19*'VIP Levels'!$B$23*'VIP Levels'!$E$5*(Inputs!$B$14-1)*('VIP Levels'!$D$23/30)+I20*'VIP Levels'!$B$24*'VIP Levels'!$E$6*(Inputs!$B$14-1)*('VIP Levels'!$D$24/30)+I21*'VIP Levels'!$B$25*'VIP Levels'!$E$7*(Inputs!$B$14-1)*('VIP Levels'!$D$25/30)+I22*'VIP Levels'!$B$26*'VIP Levels'!$E$8*(Inputs!$B$14-1)*('VIP Levels'!$D$26/30)+I23*'VIP Levels'!$B$27*'VIP Levels'!$E$9*(Inputs!$B$14-1)*('VIP Levels'!$D$27/30)+SUMPRODUCT((Missions!$F$5:$F$26="Commission Boost")*(Missions!$A$5:$A$26="Bronze")*(Missions!$D$5:$D$26="One-time")*I19*Missions!$E$5:$E$26*'VIP Levels'!$E$5*(Inputs!$B$14-1)*(Missions!$H$5:$H$26/30))+SUMPRODUCT((Missions!$F$5:$F$26="Commission Boost")*(Missions!$A$5:$A$26="Bronze")*(Missions!$D$5:$D$26&lt;&gt;"One-time")*I13*Missions!$E$5:$E$26*'VIP Levels'!$E$5*(Inputs!$B$14-1)*(Missions!$H$5:$H$26/30))+SUMPRODUCT((Missions!$F$5:$F$26="Commission Boost")*(Missions!$A$5:$A$26="Silver")*(Missions!$D$5:$D$26="One-time")*I20*Missions!$E$5:$E$26*'VIP Levels'!$E$6*(Inputs!$B$14-1)*(Missions!$H$5:$H$26/30))+SUMPRODUCT((Missions!$F$5:$F$26="Commission Boost")*(Missions!$A$5:$A$26="Silver")*(Missions!$D$5:$D$26&lt;&gt;"One-time")*I14*Missions!$E$5:$E$26*'VIP Levels'!$E$6*(Inputs!$B$14-1)*(Missions!$H$5:$H$26/30))+SUMPRODUCT((Missions!$F$5:$F$26="Commission Boost")*(Missions!$A$5:$A$26="Gold")*(Missions!$D$5:$D$26="One-time")*I21*Missions!$E$5:$E$26*'VIP Levels'!$E$7*(Inputs!$B$14-1)*(Missions!$H$5:$H$26/30))+SUMPRODUCT((Missions!$F$5:$F$26="Commission Boost")*(Missions!$A$5:$A$26="Gold")*(Missions!$D$5:$D$26&lt;&gt;"One-time")*I15*Missions!$E$5:$E$26*'VIP Levels'!$E$7*(Inputs!$B$14-1)*(Missions!$H$5:$H$26/30))+SUMPRODUCT((Missions!$F$5:$F$26="Commission Boost")*(Missions!$A$5:$A$26="Platinum")*(Missions!$D$5:$D$26="One-time")*I22*Missions!$E$5:$E$26*'VIP Levels'!$E$8*(Inputs!$B$14-1)*(Missions!$H$5:$H$26/30))+SUMPRODUCT((Missions!$F$5:$F$26="Commission Boost")*(Missions!$A$5:$A$26="Platinum")*(Missions!$D$5:$D$26&lt;&gt;"One-time")*I16*Missions!$E$5:$E$26*'VIP Levels'!$E$8*(Inputs!$B$14-1)*(Missions!$H$5:$H$26/30))+SUMPRODUCT((Missions!$F$5:$F$26="Commission Boost")*(Missions!$A$5:$A$26="Diamond")*(Missions!$D$5:$D$26="One-time")*I23*Missions!$E$5:$E$26*'VIP Levels'!$E$9*(Inputs!$B$14-1)*(Missions!$H$5:$H$26/30))+SUMPRODUCT((Missions!$F$5:$F$26="Commission Boost")*(Missions!$A$5:$A$26="Diamond")*(Missions!$D$5:$D$26&lt;&gt;"One-time")*I17*Missions!$E$5:$E$26*'VIP Levels'!$E$9*(Inputs!$B$14-1)*(Missions!$H$5:$H$26/30))+SUMPRODUCT((Missions!$F$5:$F$26="Discount")*(Missions!$A$5:$A$26="Bronze")*(Missions!$D$5:$D$26="One-time")*I19*Missions!$E$5:$E$26*'VIP Levels'!$E$5*(Inputs!$B$14-1)*(Missions!$H$5:$H$26/30))+SUMPRODUCT((Missions!$F$5:$F$26="Discount")*(Missions!$A$5:$A$26="Bronze")*(Missions!$D$5:$D$26&lt;&gt;"One-time")*I13*Missions!$E$5:$E$26*'VIP Levels'!$E$5*(Inputs!$B$14-1)*(Missions!$H$5:$H$26/30))+SUMPRODUCT((Missions!$F$5:$F$26="Discount")*(Missions!$A$5:$A$26="Silver")*(Missions!$D$5:$D$26="One-time")*I20*Missions!$E$5:$E$26*'VIP Levels'!$E$6*(Inputs!$B$14-1)*(Missions!$H$5:$H$26/30))+SUMPRODUCT((Missions!$F$5:$F$26="Discount")*(Missions!$A$5:$A$26="Silver")*(Missions!$D$5:$D$26&lt;&gt;"One-time")*I14*Missions!$E$5:$E$26*'VIP Levels'!$E$6*(Inputs!$B$14-1)*(Missions!$H$5:$H$26/30))+SUMPRODUCT((Missions!$F$5:$F$26="Discount")*(Missions!$A$5:$A$26="Gold")*(Missions!$D$5:$D$26="One-time")*I21*Missions!$E$5:$E$26*'VIP Levels'!$E$7*(Inputs!$B$14-1)*(Missions!$H$5:$H$26/30))+SUMPRODUCT((Missions!$F$5:$F$26="Discount")*(Missions!$A$5:$A$26="Gold")*(Missions!$D$5:$D$26&lt;&gt;"One-time")*I15*Missions!$E$5:$E$26*'VIP Levels'!$E$7*(Inputs!$B$14-1)*(Missions!$H$5:$H$26/30))+SUMPRODUCT((Missions!$F$5:$F$26="Discount")*(Missions!$A$5:$A$26="Platinum")*(Missions!$D$5:$D$26="One-time")*I22*Missions!$E$5:$E$26*'VIP Levels'!$E$8*(Inputs!$B$14-1)*(Missions!$H$5:$H$26/30))+SUMPRODUCT((Missions!$F$5:$F$26="Discount")*(Missions!$A$5:$A$26="Platinum")*(Missions!$D$5:$D$26&lt;&gt;"One-time")*I16*Missions!$E$5:$E$26*'VIP Levels'!$E$8*(Inputs!$B$14-1)*(Missions!$H$5:$H$26/30))+SUMPRODUCT((Missions!$F$5:$F$26="Discount")*(Missions!$A$5:$A$26="Diamond")*(Missions!$D$5:$D$26="One-time")*I23*Missions!$E$5:$E$26*'VIP Levels'!$E$9*(Inputs!$B$14-1)*(Missions!$H$5:$H$26/30))+SUMPRODUCT((Missions!$F$5:$F$26="Discount")*(Missions!$A$5:$A$26="Diamond")*(Missions!$D$5:$D$26&lt;&gt;"One-time")*I17*Missions!$E$5:$E$26*'VIP Levels'!$E$9*(Inputs!$B$14-1)*(Missions!$H$5:$H$26/30)),0)</f>
        <v>227</v>
      </c>
      <c r="J11" s="8">
        <f>ROUND(J19*'VIP Levels'!$B$15*'VIP Levels'!$E$5*(Inputs!$B$14-1)*('VIP Levels'!$D$15/30)+J20*'VIP Levels'!$B$16*'VIP Levels'!$E$6*(Inputs!$B$14-1)*('VIP Levels'!$D$16/30)+J21*'VIP Levels'!$B$17*'VIP Levels'!$E$7*(Inputs!$B$14-1)*('VIP Levels'!$D$17/30)+J22*'VIP Levels'!$B$18*'VIP Levels'!$E$8*(Inputs!$B$14-1)*('VIP Levels'!$D$18/30)+J23*'VIP Levels'!$B$19*'VIP Levels'!$E$9*(Inputs!$B$14-1)*('VIP Levels'!$D$19/30)+J19*'VIP Levels'!$B$23*'VIP Levels'!$E$5*(Inputs!$B$14-1)*('VIP Levels'!$D$23/30)+J20*'VIP Levels'!$B$24*'VIP Levels'!$E$6*(Inputs!$B$14-1)*('VIP Levels'!$D$24/30)+J21*'VIP Levels'!$B$25*'VIP Levels'!$E$7*(Inputs!$B$14-1)*('VIP Levels'!$D$25/30)+J22*'VIP Levels'!$B$26*'VIP Levels'!$E$8*(Inputs!$B$14-1)*('VIP Levels'!$D$26/30)+J23*'VIP Levels'!$B$27*'VIP Levels'!$E$9*(Inputs!$B$14-1)*('VIP Levels'!$D$27/30)+SUMPRODUCT((Missions!$F$5:$F$26="Commission Boost")*(Missions!$A$5:$A$26="Bronze")*(Missions!$D$5:$D$26="One-time")*J19*Missions!$E$5:$E$26*'VIP Levels'!$E$5*(Inputs!$B$14-1)*(Missions!$H$5:$H$26/30))+SUMPRODUCT((Missions!$F$5:$F$26="Commission Boost")*(Missions!$A$5:$A$26="Bronze")*(Missions!$D$5:$D$26&lt;&gt;"One-time")*J13*Missions!$E$5:$E$26*'VIP Levels'!$E$5*(Inputs!$B$14-1)*(Missions!$H$5:$H$26/30))+SUMPRODUCT((Missions!$F$5:$F$26="Commission Boost")*(Missions!$A$5:$A$26="Silver")*(Missions!$D$5:$D$26="One-time")*J20*Missions!$E$5:$E$26*'VIP Levels'!$E$6*(Inputs!$B$14-1)*(Missions!$H$5:$H$26/30))+SUMPRODUCT((Missions!$F$5:$F$26="Commission Boost")*(Missions!$A$5:$A$26="Silver")*(Missions!$D$5:$D$26&lt;&gt;"One-time")*J14*Missions!$E$5:$E$26*'VIP Levels'!$E$6*(Inputs!$B$14-1)*(Missions!$H$5:$H$26/30))+SUMPRODUCT((Missions!$F$5:$F$26="Commission Boost")*(Missions!$A$5:$A$26="Gold")*(Missions!$D$5:$D$26="One-time")*J21*Missions!$E$5:$E$26*'VIP Levels'!$E$7*(Inputs!$B$14-1)*(Missions!$H$5:$H$26/30))+SUMPRODUCT((Missions!$F$5:$F$26="Commission Boost")*(Missions!$A$5:$A$26="Gold")*(Missions!$D$5:$D$26&lt;&gt;"One-time")*J15*Missions!$E$5:$E$26*'VIP Levels'!$E$7*(Inputs!$B$14-1)*(Missions!$H$5:$H$26/30))+SUMPRODUCT((Missions!$F$5:$F$26="Commission Boost")*(Missions!$A$5:$A$26="Platinum")*(Missions!$D$5:$D$26="One-time")*J22*Missions!$E$5:$E$26*'VIP Levels'!$E$8*(Inputs!$B$14-1)*(Missions!$H$5:$H$26/30))+SUMPRODUCT((Missions!$F$5:$F$26="Commission Boost")*(Missions!$A$5:$A$26="Platinum")*(Missions!$D$5:$D$26&lt;&gt;"One-time")*J16*Missions!$E$5:$E$26*'VIP Levels'!$E$8*(Inputs!$B$14-1)*(Missions!$H$5:$H$26/30))+SUMPRODUCT((Missions!$F$5:$F$26="Commission Boost")*(Missions!$A$5:$A$26="Diamond")*(Missions!$D$5:$D$26="One-time")*J23*Missions!$E$5:$E$26*'VIP Levels'!$E$9*(Inputs!$B$14-1)*(Missions!$H$5:$H$26/30))+SUMPRODUCT((Missions!$F$5:$F$26="Commission Boost")*(Missions!$A$5:$A$26="Diamond")*(Missions!$D$5:$D$26&lt;&gt;"One-time")*J17*Missions!$E$5:$E$26*'VIP Levels'!$E$9*(Inputs!$B$14-1)*(Missions!$H$5:$H$26/30))+SUMPRODUCT((Missions!$F$5:$F$26="Discount")*(Missions!$A$5:$A$26="Bronze")*(Missions!$D$5:$D$26="One-time")*J19*Missions!$E$5:$E$26*'VIP Levels'!$E$5*(Inputs!$B$14-1)*(Missions!$H$5:$H$26/30))+SUMPRODUCT((Missions!$F$5:$F$26="Discount")*(Missions!$A$5:$A$26="Bronze")*(Missions!$D$5:$D$26&lt;&gt;"One-time")*J13*Missions!$E$5:$E$26*'VIP Levels'!$E$5*(Inputs!$B$14-1)*(Missions!$H$5:$H$26/30))+SUMPRODUCT((Missions!$F$5:$F$26="Discount")*(Missions!$A$5:$A$26="Silver")*(Missions!$D$5:$D$26="One-time")*J20*Missions!$E$5:$E$26*'VIP Levels'!$E$6*(Inputs!$B$14-1)*(Missions!$H$5:$H$26/30))+SUMPRODUCT((Missions!$F$5:$F$26="Discount")*(Missions!$A$5:$A$26="Silver")*(Missions!$D$5:$D$26&lt;&gt;"One-time")*J14*Missions!$E$5:$E$26*'VIP Levels'!$E$6*(Inputs!$B$14-1)*(Missions!$H$5:$H$26/30))+SUMPRODUCT((Missions!$F$5:$F$26="Discount")*(Missions!$A$5:$A$26="Gold")*(Missions!$D$5:$D$26="One-time")*J21*Missions!$E$5:$E$26*'VIP Levels'!$E$7*(Inputs!$B$14-1)*(Missions!$H$5:$H$26/30))+SUMPRODUCT((Missions!$F$5:$F$26="Discount")*(Missions!$A$5:$A$26="Gold")*(Missions!$D$5:$D$26&lt;&gt;"One-time")*J15*Missions!$E$5:$E$26*'VIP Levels'!$E$7*(Inputs!$B$14-1)*(Missions!$H$5:$H$26/30))+SUMPRODUCT((Missions!$F$5:$F$26="Discount")*(Missions!$A$5:$A$26="Platinum")*(Missions!$D$5:$D$26="One-time")*J22*Missions!$E$5:$E$26*'VIP Levels'!$E$8*(Inputs!$B$14-1)*(Missions!$H$5:$H$26/30))+SUMPRODUCT((Missions!$F$5:$F$26="Discount")*(Missions!$A$5:$A$26="Platinum")*(Missions!$D$5:$D$26&lt;&gt;"One-time")*J16*Missions!$E$5:$E$26*'VIP Levels'!$E$8*(Inputs!$B$14-1)*(Missions!$H$5:$H$26/30))+SUMPRODUCT((Missions!$F$5:$F$26="Discount")*(Missions!$A$5:$A$26="Diamond")*(Missions!$D$5:$D$26="One-time")*J23*Missions!$E$5:$E$26*'VIP Levels'!$E$9*(Inputs!$B$14-1)*(Missions!$H$5:$H$26/30))+SUMPRODUCT((Missions!$F$5:$F$26="Discount")*(Missions!$A$5:$A$26="Diamond")*(Missions!$D$5:$D$26&lt;&gt;"One-time")*J17*Missions!$E$5:$E$26*'VIP Levels'!$E$9*(Inputs!$B$14-1)*(Missions!$H$5:$H$26/30)),0)</f>
        <v>250</v>
      </c>
      <c r="K11" s="8">
        <f>ROUND(K19*'VIP Levels'!$B$15*'VIP Levels'!$E$5*(Inputs!$B$14-1)*('VIP Levels'!$D$15/30)+K20*'VIP Levels'!$B$16*'VIP Levels'!$E$6*(Inputs!$B$14-1)*('VIP Levels'!$D$16/30)+K21*'VIP Levels'!$B$17*'VIP Levels'!$E$7*(Inputs!$B$14-1)*('VIP Levels'!$D$17/30)+K22*'VIP Levels'!$B$18*'VIP Levels'!$E$8*(Inputs!$B$14-1)*('VIP Levels'!$D$18/30)+K23*'VIP Levels'!$B$19*'VIP Levels'!$E$9*(Inputs!$B$14-1)*('VIP Levels'!$D$19/30)+K19*'VIP Levels'!$B$23*'VIP Levels'!$E$5*(Inputs!$B$14-1)*('VIP Levels'!$D$23/30)+K20*'VIP Levels'!$B$24*'VIP Levels'!$E$6*(Inputs!$B$14-1)*('VIP Levels'!$D$24/30)+K21*'VIP Levels'!$B$25*'VIP Levels'!$E$7*(Inputs!$B$14-1)*('VIP Levels'!$D$25/30)+K22*'VIP Levels'!$B$26*'VIP Levels'!$E$8*(Inputs!$B$14-1)*('VIP Levels'!$D$26/30)+K23*'VIP Levels'!$B$27*'VIP Levels'!$E$9*(Inputs!$B$14-1)*('VIP Levels'!$D$27/30)+SUMPRODUCT((Missions!$F$5:$F$26="Commission Boost")*(Missions!$A$5:$A$26="Bronze")*(Missions!$D$5:$D$26="One-time")*K19*Missions!$E$5:$E$26*'VIP Levels'!$E$5*(Inputs!$B$14-1)*(Missions!$H$5:$H$26/30))+SUMPRODUCT((Missions!$F$5:$F$26="Commission Boost")*(Missions!$A$5:$A$26="Bronze")*(Missions!$D$5:$D$26&lt;&gt;"One-time")*K13*Missions!$E$5:$E$26*'VIP Levels'!$E$5*(Inputs!$B$14-1)*(Missions!$H$5:$H$26/30))+SUMPRODUCT((Missions!$F$5:$F$26="Commission Boost")*(Missions!$A$5:$A$26="Silver")*(Missions!$D$5:$D$26="One-time")*K20*Missions!$E$5:$E$26*'VIP Levels'!$E$6*(Inputs!$B$14-1)*(Missions!$H$5:$H$26/30))+SUMPRODUCT((Missions!$F$5:$F$26="Commission Boost")*(Missions!$A$5:$A$26="Silver")*(Missions!$D$5:$D$26&lt;&gt;"One-time")*K14*Missions!$E$5:$E$26*'VIP Levels'!$E$6*(Inputs!$B$14-1)*(Missions!$H$5:$H$26/30))+SUMPRODUCT((Missions!$F$5:$F$26="Commission Boost")*(Missions!$A$5:$A$26="Gold")*(Missions!$D$5:$D$26="One-time")*K21*Missions!$E$5:$E$26*'VIP Levels'!$E$7*(Inputs!$B$14-1)*(Missions!$H$5:$H$26/30))+SUMPRODUCT((Missions!$F$5:$F$26="Commission Boost")*(Missions!$A$5:$A$26="Gold")*(Missions!$D$5:$D$26&lt;&gt;"One-time")*K15*Missions!$E$5:$E$26*'VIP Levels'!$E$7*(Inputs!$B$14-1)*(Missions!$H$5:$H$26/30))+SUMPRODUCT((Missions!$F$5:$F$26="Commission Boost")*(Missions!$A$5:$A$26="Platinum")*(Missions!$D$5:$D$26="One-time")*K22*Missions!$E$5:$E$26*'VIP Levels'!$E$8*(Inputs!$B$14-1)*(Missions!$H$5:$H$26/30))+SUMPRODUCT((Missions!$F$5:$F$26="Commission Boost")*(Missions!$A$5:$A$26="Platinum")*(Missions!$D$5:$D$26&lt;&gt;"One-time")*K16*Missions!$E$5:$E$26*'VIP Levels'!$E$8*(Inputs!$B$14-1)*(Missions!$H$5:$H$26/30))+SUMPRODUCT((Missions!$F$5:$F$26="Commission Boost")*(Missions!$A$5:$A$26="Diamond")*(Missions!$D$5:$D$26="One-time")*K23*Missions!$E$5:$E$26*'VIP Levels'!$E$9*(Inputs!$B$14-1)*(Missions!$H$5:$H$26/30))+SUMPRODUCT((Missions!$F$5:$F$26="Commission Boost")*(Missions!$A$5:$A$26="Diamond")*(Missions!$D$5:$D$26&lt;&gt;"One-time")*K17*Missions!$E$5:$E$26*'VIP Levels'!$E$9*(Inputs!$B$14-1)*(Missions!$H$5:$H$26/30))+SUMPRODUCT((Missions!$F$5:$F$26="Discount")*(Missions!$A$5:$A$26="Bronze")*(Missions!$D$5:$D$26="One-time")*K19*Missions!$E$5:$E$26*'VIP Levels'!$E$5*(Inputs!$B$14-1)*(Missions!$H$5:$H$26/30))+SUMPRODUCT((Missions!$F$5:$F$26="Discount")*(Missions!$A$5:$A$26="Bronze")*(Missions!$D$5:$D$26&lt;&gt;"One-time")*K13*Missions!$E$5:$E$26*'VIP Levels'!$E$5*(Inputs!$B$14-1)*(Missions!$H$5:$H$26/30))+SUMPRODUCT((Missions!$F$5:$F$26="Discount")*(Missions!$A$5:$A$26="Silver")*(Missions!$D$5:$D$26="One-time")*K20*Missions!$E$5:$E$26*'VIP Levels'!$E$6*(Inputs!$B$14-1)*(Missions!$H$5:$H$26/30))+SUMPRODUCT((Missions!$F$5:$F$26="Discount")*(Missions!$A$5:$A$26="Silver")*(Missions!$D$5:$D$26&lt;&gt;"One-time")*K14*Missions!$E$5:$E$26*'VIP Levels'!$E$6*(Inputs!$B$14-1)*(Missions!$H$5:$H$26/30))+SUMPRODUCT((Missions!$F$5:$F$26="Discount")*(Missions!$A$5:$A$26="Gold")*(Missions!$D$5:$D$26="One-time")*K21*Missions!$E$5:$E$26*'VIP Levels'!$E$7*(Inputs!$B$14-1)*(Missions!$H$5:$H$26/30))+SUMPRODUCT((Missions!$F$5:$F$26="Discount")*(Missions!$A$5:$A$26="Gold")*(Missions!$D$5:$D$26&lt;&gt;"One-time")*K15*Missions!$E$5:$E$26*'VIP Levels'!$E$7*(Inputs!$B$14-1)*(Missions!$H$5:$H$26/30))+SUMPRODUCT((Missions!$F$5:$F$26="Discount")*(Missions!$A$5:$A$26="Platinum")*(Missions!$D$5:$D$26="One-time")*K22*Missions!$E$5:$E$26*'VIP Levels'!$E$8*(Inputs!$B$14-1)*(Missions!$H$5:$H$26/30))+SUMPRODUCT((Missions!$F$5:$F$26="Discount")*(Missions!$A$5:$A$26="Platinum")*(Missions!$D$5:$D$26&lt;&gt;"One-time")*K16*Missions!$E$5:$E$26*'VIP Levels'!$E$8*(Inputs!$B$14-1)*(Missions!$H$5:$H$26/30))+SUMPRODUCT((Missions!$F$5:$F$26="Discount")*(Missions!$A$5:$A$26="Diamond")*(Missions!$D$5:$D$26="One-time")*K23*Missions!$E$5:$E$26*'VIP Levels'!$E$9*(Inputs!$B$14-1)*(Missions!$H$5:$H$26/30))+SUMPRODUCT((Missions!$F$5:$F$26="Discount")*(Missions!$A$5:$A$26="Diamond")*(Missions!$D$5:$D$26&lt;&gt;"One-time")*K17*Missions!$E$5:$E$26*'VIP Levels'!$E$9*(Inputs!$B$14-1)*(Missions!$H$5:$H$26/30)),0)</f>
        <v>365</v>
      </c>
      <c r="L11" s="8">
        <f>ROUND(L19*'VIP Levels'!$B$15*'VIP Levels'!$E$5*(Inputs!$B$14-1)*('VIP Levels'!$D$15/30)+L20*'VIP Levels'!$B$16*'VIP Levels'!$E$6*(Inputs!$B$14-1)*('VIP Levels'!$D$16/30)+L21*'VIP Levels'!$B$17*'VIP Levels'!$E$7*(Inputs!$B$14-1)*('VIP Levels'!$D$17/30)+L22*'VIP Levels'!$B$18*'VIP Levels'!$E$8*(Inputs!$B$14-1)*('VIP Levels'!$D$18/30)+L23*'VIP Levels'!$B$19*'VIP Levels'!$E$9*(Inputs!$B$14-1)*('VIP Levels'!$D$19/30)+L19*'VIP Levels'!$B$23*'VIP Levels'!$E$5*(Inputs!$B$14-1)*('VIP Levels'!$D$23/30)+L20*'VIP Levels'!$B$24*'VIP Levels'!$E$6*(Inputs!$B$14-1)*('VIP Levels'!$D$24/30)+L21*'VIP Levels'!$B$25*'VIP Levels'!$E$7*(Inputs!$B$14-1)*('VIP Levels'!$D$25/30)+L22*'VIP Levels'!$B$26*'VIP Levels'!$E$8*(Inputs!$B$14-1)*('VIP Levels'!$D$26/30)+L23*'VIP Levels'!$B$27*'VIP Levels'!$E$9*(Inputs!$B$14-1)*('VIP Levels'!$D$27/30)+SUMPRODUCT((Missions!$F$5:$F$26="Commission Boost")*(Missions!$A$5:$A$26="Bronze")*(Missions!$D$5:$D$26="One-time")*L19*Missions!$E$5:$E$26*'VIP Levels'!$E$5*(Inputs!$B$14-1)*(Missions!$H$5:$H$26/30))+SUMPRODUCT((Missions!$F$5:$F$26="Commission Boost")*(Missions!$A$5:$A$26="Bronze")*(Missions!$D$5:$D$26&lt;&gt;"One-time")*L13*Missions!$E$5:$E$26*'VIP Levels'!$E$5*(Inputs!$B$14-1)*(Missions!$H$5:$H$26/30))+SUMPRODUCT((Missions!$F$5:$F$26="Commission Boost")*(Missions!$A$5:$A$26="Silver")*(Missions!$D$5:$D$26="One-time")*L20*Missions!$E$5:$E$26*'VIP Levels'!$E$6*(Inputs!$B$14-1)*(Missions!$H$5:$H$26/30))+SUMPRODUCT((Missions!$F$5:$F$26="Commission Boost")*(Missions!$A$5:$A$26="Silver")*(Missions!$D$5:$D$26&lt;&gt;"One-time")*L14*Missions!$E$5:$E$26*'VIP Levels'!$E$6*(Inputs!$B$14-1)*(Missions!$H$5:$H$26/30))+SUMPRODUCT((Missions!$F$5:$F$26="Commission Boost")*(Missions!$A$5:$A$26="Gold")*(Missions!$D$5:$D$26="One-time")*L21*Missions!$E$5:$E$26*'VIP Levels'!$E$7*(Inputs!$B$14-1)*(Missions!$H$5:$H$26/30))+SUMPRODUCT((Missions!$F$5:$F$26="Commission Boost")*(Missions!$A$5:$A$26="Gold")*(Missions!$D$5:$D$26&lt;&gt;"One-time")*L15*Missions!$E$5:$E$26*'VIP Levels'!$E$7*(Inputs!$B$14-1)*(Missions!$H$5:$H$26/30))+SUMPRODUCT((Missions!$F$5:$F$26="Commission Boost")*(Missions!$A$5:$A$26="Platinum")*(Missions!$D$5:$D$26="One-time")*L22*Missions!$E$5:$E$26*'VIP Levels'!$E$8*(Inputs!$B$14-1)*(Missions!$H$5:$H$26/30))+SUMPRODUCT((Missions!$F$5:$F$26="Commission Boost")*(Missions!$A$5:$A$26="Platinum")*(Missions!$D$5:$D$26&lt;&gt;"One-time")*L16*Missions!$E$5:$E$26*'VIP Levels'!$E$8*(Inputs!$B$14-1)*(Missions!$H$5:$H$26/30))+SUMPRODUCT((Missions!$F$5:$F$26="Commission Boost")*(Missions!$A$5:$A$26="Diamond")*(Missions!$D$5:$D$26="One-time")*L23*Missions!$E$5:$E$26*'VIP Levels'!$E$9*(Inputs!$B$14-1)*(Missions!$H$5:$H$26/30))+SUMPRODUCT((Missions!$F$5:$F$26="Commission Boost")*(Missions!$A$5:$A$26="Diamond")*(Missions!$D$5:$D$26&lt;&gt;"One-time")*L17*Missions!$E$5:$E$26*'VIP Levels'!$E$9*(Inputs!$B$14-1)*(Missions!$H$5:$H$26/30))+SUMPRODUCT((Missions!$F$5:$F$26="Discount")*(Missions!$A$5:$A$26="Bronze")*(Missions!$D$5:$D$26="One-time")*L19*Missions!$E$5:$E$26*'VIP Levels'!$E$5*(Inputs!$B$14-1)*(Missions!$H$5:$H$26/30))+SUMPRODUCT((Missions!$F$5:$F$26="Discount")*(Missions!$A$5:$A$26="Bronze")*(Missions!$D$5:$D$26&lt;&gt;"One-time")*L13*Missions!$E$5:$E$26*'VIP Levels'!$E$5*(Inputs!$B$14-1)*(Missions!$H$5:$H$26/30))+SUMPRODUCT((Missions!$F$5:$F$26="Discount")*(Missions!$A$5:$A$26="Silver")*(Missions!$D$5:$D$26="One-time")*L20*Missions!$E$5:$E$26*'VIP Levels'!$E$6*(Inputs!$B$14-1)*(Missions!$H$5:$H$26/30))+SUMPRODUCT((Missions!$F$5:$F$26="Discount")*(Missions!$A$5:$A$26="Silver")*(Missions!$D$5:$D$26&lt;&gt;"One-time")*L14*Missions!$E$5:$E$26*'VIP Levels'!$E$6*(Inputs!$B$14-1)*(Missions!$H$5:$H$26/30))+SUMPRODUCT((Missions!$F$5:$F$26="Discount")*(Missions!$A$5:$A$26="Gold")*(Missions!$D$5:$D$26="One-time")*L21*Missions!$E$5:$E$26*'VIP Levels'!$E$7*(Inputs!$B$14-1)*(Missions!$H$5:$H$26/30))+SUMPRODUCT((Missions!$F$5:$F$26="Discount")*(Missions!$A$5:$A$26="Gold")*(Missions!$D$5:$D$26&lt;&gt;"One-time")*L15*Missions!$E$5:$E$26*'VIP Levels'!$E$7*(Inputs!$B$14-1)*(Missions!$H$5:$H$26/30))+SUMPRODUCT((Missions!$F$5:$F$26="Discount")*(Missions!$A$5:$A$26="Platinum")*(Missions!$D$5:$D$26="One-time")*L22*Missions!$E$5:$E$26*'VIP Levels'!$E$8*(Inputs!$B$14-1)*(Missions!$H$5:$H$26/30))+SUMPRODUCT((Missions!$F$5:$F$26="Discount")*(Missions!$A$5:$A$26="Platinum")*(Missions!$D$5:$D$26&lt;&gt;"One-time")*L16*Missions!$E$5:$E$26*'VIP Levels'!$E$8*(Inputs!$B$14-1)*(Missions!$H$5:$H$26/30))+SUMPRODUCT((Missions!$F$5:$F$26="Discount")*(Missions!$A$5:$A$26="Diamond")*(Missions!$D$5:$D$26="One-time")*L23*Missions!$E$5:$E$26*'VIP Levels'!$E$9*(Inputs!$B$14-1)*(Missions!$H$5:$H$26/30))+SUMPRODUCT((Missions!$F$5:$F$26="Discount")*(Missions!$A$5:$A$26="Diamond")*(Missions!$D$5:$D$26&lt;&gt;"One-time")*L17*Missions!$E$5:$E$26*'VIP Levels'!$E$9*(Inputs!$B$14-1)*(Missions!$H$5:$H$26/30)),0)</f>
        <v>377</v>
      </c>
      <c r="M11" s="8">
        <f>ROUND(M19*'VIP Levels'!$B$15*'VIP Levels'!$E$5*(Inputs!$B$14-1)*('VIP Levels'!$D$15/30)+M20*'VIP Levels'!$B$16*'VIP Levels'!$E$6*(Inputs!$B$14-1)*('VIP Levels'!$D$16/30)+M21*'VIP Levels'!$B$17*'VIP Levels'!$E$7*(Inputs!$B$14-1)*('VIP Levels'!$D$17/30)+M22*'VIP Levels'!$B$18*'VIP Levels'!$E$8*(Inputs!$B$14-1)*('VIP Levels'!$D$18/30)+M23*'VIP Levels'!$B$19*'VIP Levels'!$E$9*(Inputs!$B$14-1)*('VIP Levels'!$D$19/30)+M19*'VIP Levels'!$B$23*'VIP Levels'!$E$5*(Inputs!$B$14-1)*('VIP Levels'!$D$23/30)+M20*'VIP Levels'!$B$24*'VIP Levels'!$E$6*(Inputs!$B$14-1)*('VIP Levels'!$D$24/30)+M21*'VIP Levels'!$B$25*'VIP Levels'!$E$7*(Inputs!$B$14-1)*('VIP Levels'!$D$25/30)+M22*'VIP Levels'!$B$26*'VIP Levels'!$E$8*(Inputs!$B$14-1)*('VIP Levels'!$D$26/30)+M23*'VIP Levels'!$B$27*'VIP Levels'!$E$9*(Inputs!$B$14-1)*('VIP Levels'!$D$27/30)+SUMPRODUCT((Missions!$F$5:$F$26="Commission Boost")*(Missions!$A$5:$A$26="Bronze")*(Missions!$D$5:$D$26="One-time")*M19*Missions!$E$5:$E$26*'VIP Levels'!$E$5*(Inputs!$B$14-1)*(Missions!$H$5:$H$26/30))+SUMPRODUCT((Missions!$F$5:$F$26="Commission Boost")*(Missions!$A$5:$A$26="Bronze")*(Missions!$D$5:$D$26&lt;&gt;"One-time")*M13*Missions!$E$5:$E$26*'VIP Levels'!$E$5*(Inputs!$B$14-1)*(Missions!$H$5:$H$26/30))+SUMPRODUCT((Missions!$F$5:$F$26="Commission Boost")*(Missions!$A$5:$A$26="Silver")*(Missions!$D$5:$D$26="One-time")*M20*Missions!$E$5:$E$26*'VIP Levels'!$E$6*(Inputs!$B$14-1)*(Missions!$H$5:$H$26/30))+SUMPRODUCT((Missions!$F$5:$F$26="Commission Boost")*(Missions!$A$5:$A$26="Silver")*(Missions!$D$5:$D$26&lt;&gt;"One-time")*M14*Missions!$E$5:$E$26*'VIP Levels'!$E$6*(Inputs!$B$14-1)*(Missions!$H$5:$H$26/30))+SUMPRODUCT((Missions!$F$5:$F$26="Commission Boost")*(Missions!$A$5:$A$26="Gold")*(Missions!$D$5:$D$26="One-time")*M21*Missions!$E$5:$E$26*'VIP Levels'!$E$7*(Inputs!$B$14-1)*(Missions!$H$5:$H$26/30))+SUMPRODUCT((Missions!$F$5:$F$26="Commission Boost")*(Missions!$A$5:$A$26="Gold")*(Missions!$D$5:$D$26&lt;&gt;"One-time")*M15*Missions!$E$5:$E$26*'VIP Levels'!$E$7*(Inputs!$B$14-1)*(Missions!$H$5:$H$26/30))+SUMPRODUCT((Missions!$F$5:$F$26="Commission Boost")*(Missions!$A$5:$A$26="Platinum")*(Missions!$D$5:$D$26="One-time")*M22*Missions!$E$5:$E$26*'VIP Levels'!$E$8*(Inputs!$B$14-1)*(Missions!$H$5:$H$26/30))+SUMPRODUCT((Missions!$F$5:$F$26="Commission Boost")*(Missions!$A$5:$A$26="Platinum")*(Missions!$D$5:$D$26&lt;&gt;"One-time")*M16*Missions!$E$5:$E$26*'VIP Levels'!$E$8*(Inputs!$B$14-1)*(Missions!$H$5:$H$26/30))+SUMPRODUCT((Missions!$F$5:$F$26="Commission Boost")*(Missions!$A$5:$A$26="Diamond")*(Missions!$D$5:$D$26="One-time")*M23*Missions!$E$5:$E$26*'VIP Levels'!$E$9*(Inputs!$B$14-1)*(Missions!$H$5:$H$26/30))+SUMPRODUCT((Missions!$F$5:$F$26="Commission Boost")*(Missions!$A$5:$A$26="Diamond")*(Missions!$D$5:$D$26&lt;&gt;"One-time")*M17*Missions!$E$5:$E$26*'VIP Levels'!$E$9*(Inputs!$B$14-1)*(Missions!$H$5:$H$26/30))+SUMPRODUCT((Missions!$F$5:$F$26="Discount")*(Missions!$A$5:$A$26="Bronze")*(Missions!$D$5:$D$26="One-time")*M19*Missions!$E$5:$E$26*'VIP Levels'!$E$5*(Inputs!$B$14-1)*(Missions!$H$5:$H$26/30))+SUMPRODUCT((Missions!$F$5:$F$26="Discount")*(Missions!$A$5:$A$26="Bronze")*(Missions!$D$5:$D$26&lt;&gt;"One-time")*M13*Missions!$E$5:$E$26*'VIP Levels'!$E$5*(Inputs!$B$14-1)*(Missions!$H$5:$H$26/30))+SUMPRODUCT((Missions!$F$5:$F$26="Discount")*(Missions!$A$5:$A$26="Silver")*(Missions!$D$5:$D$26="One-time")*M20*Missions!$E$5:$E$26*'VIP Levels'!$E$6*(Inputs!$B$14-1)*(Missions!$H$5:$H$26/30))+SUMPRODUCT((Missions!$F$5:$F$26="Discount")*(Missions!$A$5:$A$26="Silver")*(Missions!$D$5:$D$26&lt;&gt;"One-time")*M14*Missions!$E$5:$E$26*'VIP Levels'!$E$6*(Inputs!$B$14-1)*(Missions!$H$5:$H$26/30))+SUMPRODUCT((Missions!$F$5:$F$26="Discount")*(Missions!$A$5:$A$26="Gold")*(Missions!$D$5:$D$26="One-time")*M21*Missions!$E$5:$E$26*'VIP Levels'!$E$7*(Inputs!$B$14-1)*(Missions!$H$5:$H$26/30))+SUMPRODUCT((Missions!$F$5:$F$26="Discount")*(Missions!$A$5:$A$26="Gold")*(Missions!$D$5:$D$26&lt;&gt;"One-time")*M15*Missions!$E$5:$E$26*'VIP Levels'!$E$7*(Inputs!$B$14-1)*(Missions!$H$5:$H$26/30))+SUMPRODUCT((Missions!$F$5:$F$26="Discount")*(Missions!$A$5:$A$26="Platinum")*(Missions!$D$5:$D$26="One-time")*M22*Missions!$E$5:$E$26*'VIP Levels'!$E$8*(Inputs!$B$14-1)*(Missions!$H$5:$H$26/30))+SUMPRODUCT((Missions!$F$5:$F$26="Discount")*(Missions!$A$5:$A$26="Platinum")*(Missions!$D$5:$D$26&lt;&gt;"One-time")*M16*Missions!$E$5:$E$26*'VIP Levels'!$E$8*(Inputs!$B$14-1)*(Missions!$H$5:$H$26/30))+SUMPRODUCT((Missions!$F$5:$F$26="Discount")*(Missions!$A$5:$A$26="Diamond")*(Missions!$D$5:$D$26="One-time")*M23*Missions!$E$5:$E$26*'VIP Levels'!$E$9*(Inputs!$B$14-1)*(Missions!$H$5:$H$26/30))+SUMPRODUCT((Missions!$F$5:$F$26="Discount")*(Missions!$A$5:$A$26="Diamond")*(Missions!$D$5:$D$26&lt;&gt;"One-time")*M17*Missions!$E$5:$E$26*'VIP Levels'!$E$9*(Inputs!$B$14-1)*(Missions!$H$5:$H$26/30)),0)</f>
        <v>470</v>
      </c>
    </row>
    <row r="12" spans="1:17" ht="18.75" customHeight="1" x14ac:dyDescent="0.3">
      <c r="A12" s="1" t="s">
        <v>108</v>
      </c>
    </row>
    <row r="13" spans="1:17" ht="18.75" customHeight="1" x14ac:dyDescent="0.25">
      <c r="A13" s="9" t="s">
        <v>109</v>
      </c>
      <c r="B13" s="8">
        <f>ROUND(B8*Inputs!G$6,0)</f>
        <v>98</v>
      </c>
      <c r="C13" s="8">
        <f>ROUND(C8*Inputs!H$6,0)</f>
        <v>131</v>
      </c>
      <c r="D13" s="8">
        <f>ROUND(D8*Inputs!I$6,0)</f>
        <v>150</v>
      </c>
      <c r="E13" s="8">
        <f>ROUND(E8*Inputs!J$6,0)</f>
        <v>165</v>
      </c>
      <c r="F13" s="8">
        <f>ROUND(F8*Inputs!K$6,0)</f>
        <v>164</v>
      </c>
      <c r="G13" s="8">
        <f>ROUND(G8*Inputs!L$6,0)</f>
        <v>196</v>
      </c>
      <c r="H13" s="8">
        <f>ROUND(H8*Inputs!M$6,0)</f>
        <v>228</v>
      </c>
      <c r="I13" s="8">
        <f>ROUND(I8*Inputs!N$6,0)</f>
        <v>260</v>
      </c>
      <c r="J13" s="8">
        <f>ROUND(J8*Inputs!O$6,0)</f>
        <v>292</v>
      </c>
      <c r="K13" s="8">
        <f>ROUND(K8*Inputs!P$6,0)</f>
        <v>243</v>
      </c>
      <c r="L13" s="8">
        <f>ROUND(L8*Inputs!Q$6,0)</f>
        <v>267</v>
      </c>
      <c r="M13" s="8">
        <f>ROUND(M8*Inputs!R$6,0)</f>
        <v>291</v>
      </c>
    </row>
    <row r="14" spans="1:17" x14ac:dyDescent="0.25">
      <c r="A14" s="9" t="s">
        <v>110</v>
      </c>
      <c r="B14" s="8">
        <f>ROUND(B8*Inputs!G$7,0)</f>
        <v>6</v>
      </c>
      <c r="C14" s="8">
        <f>ROUND(C8*Inputs!H$7,0)</f>
        <v>42</v>
      </c>
      <c r="D14" s="8">
        <f>ROUND(D8*Inputs!I$7,0)</f>
        <v>94</v>
      </c>
      <c r="E14" s="8">
        <f>ROUND(E8*Inputs!J$7,0)</f>
        <v>152</v>
      </c>
      <c r="F14" s="8">
        <f>ROUND(F8*Inputs!K$7,0)</f>
        <v>220</v>
      </c>
      <c r="G14" s="8">
        <f>ROUND(G8*Inputs!L$7,0)</f>
        <v>233</v>
      </c>
      <c r="H14" s="8">
        <f>ROUND(H8*Inputs!M$7,0)</f>
        <v>249</v>
      </c>
      <c r="I14" s="8">
        <f>ROUND(I8*Inputs!N$7,0)</f>
        <v>260</v>
      </c>
      <c r="J14" s="8">
        <f>ROUND(J8*Inputs!O$7,0)</f>
        <v>274</v>
      </c>
      <c r="K14" s="8">
        <f>ROUND(K8*Inputs!P$7,0)</f>
        <v>365</v>
      </c>
      <c r="L14" s="8">
        <f>ROUND(L8*Inputs!Q$7,0)</f>
        <v>401</v>
      </c>
      <c r="M14" s="8">
        <f>ROUND(M8*Inputs!R$7,0)</f>
        <v>437</v>
      </c>
    </row>
    <row r="15" spans="1:17" x14ac:dyDescent="0.25">
      <c r="A15" s="9" t="s">
        <v>111</v>
      </c>
      <c r="B15" s="8">
        <f>ROUND(B8*Inputs!G$8,0)</f>
        <v>1</v>
      </c>
      <c r="C15" s="8">
        <f>ROUND(C8*Inputs!H$8,0)</f>
        <v>1</v>
      </c>
      <c r="D15" s="8">
        <f>ROUND(D8*Inputs!I$8,0)</f>
        <v>4</v>
      </c>
      <c r="E15" s="8">
        <f>ROUND(E8*Inputs!J$8,0)</f>
        <v>10</v>
      </c>
      <c r="F15" s="8">
        <f>ROUND(F8*Inputs!K$8,0)</f>
        <v>21</v>
      </c>
      <c r="G15" s="8">
        <f>ROUND(G8*Inputs!L$8,0)</f>
        <v>49</v>
      </c>
      <c r="H15" s="8">
        <f>ROUND(H8*Inputs!M$8,0)</f>
        <v>74</v>
      </c>
      <c r="I15" s="8">
        <f>ROUND(I8*Inputs!N$8,0)</f>
        <v>104</v>
      </c>
      <c r="J15" s="8">
        <f>ROUND(J8*Inputs!O$8,0)</f>
        <v>132</v>
      </c>
      <c r="K15" s="8">
        <f>ROUND(K8*Inputs!P$8,0)</f>
        <v>152</v>
      </c>
      <c r="L15" s="8">
        <f>ROUND(L8*Inputs!Q$8,0)</f>
        <v>145</v>
      </c>
      <c r="M15" s="8">
        <f>ROUND(M8*Inputs!R$8,0)</f>
        <v>121</v>
      </c>
    </row>
    <row r="16" spans="1:17" x14ac:dyDescent="0.25">
      <c r="A16" s="9" t="s">
        <v>112</v>
      </c>
      <c r="B16" s="8">
        <f>ROUND(B8*Inputs!G$9,0)</f>
        <v>0</v>
      </c>
      <c r="C16" s="8">
        <f>ROUND(C8*Inputs!H$9,0)</f>
        <v>1</v>
      </c>
      <c r="D16" s="8">
        <f>ROUND(D8*Inputs!I$9,0)</f>
        <v>3</v>
      </c>
      <c r="E16" s="8">
        <f>ROUND(E8*Inputs!J$9,0)</f>
        <v>3</v>
      </c>
      <c r="F16" s="8">
        <f>ROUND(F8*Inputs!K$9,0)</f>
        <v>5</v>
      </c>
      <c r="G16" s="8">
        <f>ROUND(G8*Inputs!L$9,0)</f>
        <v>12</v>
      </c>
      <c r="H16" s="8">
        <f>ROUND(H8*Inputs!M$9,0)</f>
        <v>19</v>
      </c>
      <c r="I16" s="8">
        <f>ROUND(I8*Inputs!N$9,0)</f>
        <v>26</v>
      </c>
      <c r="J16" s="8">
        <f>ROUND(J8*Inputs!O$9,0)</f>
        <v>33</v>
      </c>
      <c r="K16" s="8">
        <f>ROUND(K8*Inputs!P$9,0)</f>
        <v>51</v>
      </c>
      <c r="L16" s="8">
        <f>ROUND(L8*Inputs!Q$9,0)</f>
        <v>78</v>
      </c>
      <c r="M16" s="8">
        <f>ROUND(M8*Inputs!R$9,0)</f>
        <v>121</v>
      </c>
    </row>
    <row r="17" spans="1:13" x14ac:dyDescent="0.25">
      <c r="A17" s="9" t="s">
        <v>113</v>
      </c>
      <c r="B17" s="8">
        <f>ROUND(B8*Inputs!G$10,0)</f>
        <v>0</v>
      </c>
      <c r="C17" s="8">
        <f>ROUND(C8*Inputs!G$10,0)</f>
        <v>0</v>
      </c>
      <c r="D17" s="8">
        <f>ROUND(D8*Inputs!G$10,0)</f>
        <v>0</v>
      </c>
      <c r="E17" s="8">
        <f>ROUND(E8*Inputs!G$10,0)</f>
        <v>0</v>
      </c>
      <c r="F17" s="8">
        <f>ROUND(F8*Inputs!G$10,0)</f>
        <v>0</v>
      </c>
      <c r="G17" s="8">
        <f>ROUND(G8*Inputs!G$10,0)</f>
        <v>0</v>
      </c>
      <c r="H17" s="8">
        <f>ROUND(H8*Inputs!G$10,0)</f>
        <v>0</v>
      </c>
      <c r="I17" s="8">
        <f>ROUND(I8*Inputs!G$10,0)</f>
        <v>0</v>
      </c>
      <c r="J17" s="8">
        <f>ROUND(J8*Inputs!G$10,0)</f>
        <v>0</v>
      </c>
      <c r="K17" s="8">
        <f>ROUND(K8*Inputs!G$10,0)</f>
        <v>0</v>
      </c>
      <c r="L17" s="8">
        <f>ROUND(L8*Inputs!G$10,0)</f>
        <v>0</v>
      </c>
      <c r="M17" s="8">
        <f>ROUND(M8*Inputs!G$10,0)</f>
        <v>0</v>
      </c>
    </row>
    <row r="18" spans="1:13" ht="18.75" customHeight="1" x14ac:dyDescent="0.3">
      <c r="A18" s="1" t="s">
        <v>114</v>
      </c>
    </row>
    <row r="19" spans="1:13" ht="18.75" customHeight="1" x14ac:dyDescent="0.25">
      <c r="A19" s="12" t="s">
        <v>115</v>
      </c>
      <c r="B19" s="8">
        <f t="shared" ref="B19:M19" si="4">B7</f>
        <v>105</v>
      </c>
      <c r="C19" s="8">
        <f t="shared" si="4"/>
        <v>70</v>
      </c>
      <c r="D19" s="8">
        <f t="shared" si="4"/>
        <v>75</v>
      </c>
      <c r="E19" s="8">
        <f t="shared" si="4"/>
        <v>80</v>
      </c>
      <c r="F19" s="8">
        <f t="shared" si="4"/>
        <v>80</v>
      </c>
      <c r="G19" s="8">
        <f t="shared" si="4"/>
        <v>80</v>
      </c>
      <c r="H19" s="8">
        <f t="shared" si="4"/>
        <v>80</v>
      </c>
      <c r="I19" s="8">
        <f t="shared" si="4"/>
        <v>80</v>
      </c>
      <c r="J19" s="8">
        <f t="shared" si="4"/>
        <v>80</v>
      </c>
      <c r="K19" s="8">
        <f t="shared" si="4"/>
        <v>80</v>
      </c>
      <c r="L19" s="8">
        <f t="shared" si="4"/>
        <v>80</v>
      </c>
      <c r="M19" s="8">
        <f t="shared" si="4"/>
        <v>80</v>
      </c>
    </row>
    <row r="20" spans="1:13" x14ac:dyDescent="0.25">
      <c r="A20" s="12" t="s">
        <v>116</v>
      </c>
      <c r="B20" s="8">
        <f>B14</f>
        <v>6</v>
      </c>
      <c r="C20" s="8">
        <f t="shared" ref="C20:M20" si="5">MAX(0,C14-B14)</f>
        <v>36</v>
      </c>
      <c r="D20" s="8">
        <f t="shared" si="5"/>
        <v>52</v>
      </c>
      <c r="E20" s="8">
        <f t="shared" si="5"/>
        <v>58</v>
      </c>
      <c r="F20" s="8">
        <f t="shared" si="5"/>
        <v>68</v>
      </c>
      <c r="G20" s="8">
        <f t="shared" si="5"/>
        <v>13</v>
      </c>
      <c r="H20" s="8">
        <f t="shared" si="5"/>
        <v>16</v>
      </c>
      <c r="I20" s="8">
        <f t="shared" si="5"/>
        <v>11</v>
      </c>
      <c r="J20" s="8">
        <f t="shared" si="5"/>
        <v>14</v>
      </c>
      <c r="K20" s="8">
        <f t="shared" si="5"/>
        <v>91</v>
      </c>
      <c r="L20" s="8">
        <f t="shared" si="5"/>
        <v>36</v>
      </c>
      <c r="M20" s="8">
        <f t="shared" si="5"/>
        <v>36</v>
      </c>
    </row>
    <row r="21" spans="1:13" ht="18.75" customHeight="1" x14ac:dyDescent="0.25">
      <c r="A21" s="12" t="s">
        <v>117</v>
      </c>
      <c r="B21" s="8">
        <f>B15</f>
        <v>1</v>
      </c>
      <c r="C21" s="8">
        <f t="shared" ref="C21:M21" si="6">MAX(0,C15-B15)</f>
        <v>0</v>
      </c>
      <c r="D21" s="8">
        <f t="shared" si="6"/>
        <v>3</v>
      </c>
      <c r="E21" s="8">
        <f t="shared" si="6"/>
        <v>6</v>
      </c>
      <c r="F21" s="8">
        <f t="shared" si="6"/>
        <v>11</v>
      </c>
      <c r="G21" s="8">
        <f t="shared" si="6"/>
        <v>28</v>
      </c>
      <c r="H21" s="8">
        <f t="shared" si="6"/>
        <v>25</v>
      </c>
      <c r="I21" s="8">
        <f t="shared" si="6"/>
        <v>30</v>
      </c>
      <c r="J21" s="8">
        <f t="shared" si="6"/>
        <v>28</v>
      </c>
      <c r="K21" s="8">
        <f t="shared" si="6"/>
        <v>20</v>
      </c>
      <c r="L21" s="8">
        <f t="shared" si="6"/>
        <v>0</v>
      </c>
      <c r="M21" s="8">
        <f t="shared" si="6"/>
        <v>0</v>
      </c>
    </row>
    <row r="22" spans="1:13" x14ac:dyDescent="0.25">
      <c r="A22" s="12" t="s">
        <v>118</v>
      </c>
      <c r="B22" s="8">
        <f>B16</f>
        <v>0</v>
      </c>
      <c r="C22" s="8">
        <f t="shared" ref="C22:M22" si="7">MAX(0,C16-B16)</f>
        <v>1</v>
      </c>
      <c r="D22" s="8">
        <f t="shared" si="7"/>
        <v>2</v>
      </c>
      <c r="E22" s="8">
        <f t="shared" si="7"/>
        <v>0</v>
      </c>
      <c r="F22" s="8">
        <f t="shared" si="7"/>
        <v>2</v>
      </c>
      <c r="G22" s="8">
        <f t="shared" si="7"/>
        <v>7</v>
      </c>
      <c r="H22" s="8">
        <f t="shared" si="7"/>
        <v>7</v>
      </c>
      <c r="I22" s="8">
        <f t="shared" si="7"/>
        <v>7</v>
      </c>
      <c r="J22" s="8">
        <f t="shared" si="7"/>
        <v>7</v>
      </c>
      <c r="K22" s="8">
        <f t="shared" si="7"/>
        <v>18</v>
      </c>
      <c r="L22" s="8">
        <f t="shared" si="7"/>
        <v>27</v>
      </c>
      <c r="M22" s="8">
        <f t="shared" si="7"/>
        <v>43</v>
      </c>
    </row>
    <row r="23" spans="1:13" x14ac:dyDescent="0.25">
      <c r="A23" s="12" t="s">
        <v>119</v>
      </c>
      <c r="B23" s="8">
        <f>B17</f>
        <v>0</v>
      </c>
      <c r="C23" s="8">
        <f t="shared" ref="C23:M23" si="8">MAX(0,C17-B17)</f>
        <v>0</v>
      </c>
      <c r="D23" s="8">
        <f t="shared" si="8"/>
        <v>0</v>
      </c>
      <c r="E23" s="8">
        <f t="shared" si="8"/>
        <v>0</v>
      </c>
      <c r="F23" s="8">
        <f t="shared" si="8"/>
        <v>0</v>
      </c>
      <c r="G23" s="8">
        <f t="shared" si="8"/>
        <v>0</v>
      </c>
      <c r="H23" s="8">
        <f t="shared" si="8"/>
        <v>0</v>
      </c>
      <c r="I23" s="8">
        <f t="shared" si="8"/>
        <v>0</v>
      </c>
      <c r="J23" s="8">
        <f t="shared" si="8"/>
        <v>0</v>
      </c>
      <c r="K23" s="8">
        <f t="shared" si="8"/>
        <v>0</v>
      </c>
      <c r="L23" s="8">
        <f t="shared" si="8"/>
        <v>0</v>
      </c>
      <c r="M23" s="8">
        <f t="shared" si="8"/>
        <v>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8"/>
  <sheetViews>
    <sheetView workbookViewId="0">
      <selection activeCell="G4" sqref="G4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236" t="s">
        <v>120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x14ac:dyDescent="0.25">
      <c r="A4" s="9" t="s">
        <v>121</v>
      </c>
      <c r="B4" s="8">
        <f>'Affiliate Projection'!B9</f>
        <v>151</v>
      </c>
      <c r="C4" s="8">
        <f>'Affiliate Projection'!C9</f>
        <v>361</v>
      </c>
      <c r="D4" s="8">
        <f>'Affiliate Projection'!D9</f>
        <v>681</v>
      </c>
      <c r="E4" s="8">
        <f>'Affiliate Projection'!E9</f>
        <v>990</v>
      </c>
      <c r="F4" s="8">
        <f>'Affiliate Projection'!F9</f>
        <v>1441</v>
      </c>
      <c r="G4" s="8">
        <f>'Affiliate Projection'!G9</f>
        <v>1994</v>
      </c>
      <c r="H4" s="8">
        <f>'Affiliate Projection'!H9</f>
        <v>2502</v>
      </c>
      <c r="I4" s="8">
        <f>'Affiliate Projection'!I9</f>
        <v>3051</v>
      </c>
      <c r="J4" s="8">
        <f>'Affiliate Projection'!J9</f>
        <v>3583</v>
      </c>
      <c r="K4" s="8">
        <f>'Affiliate Projection'!K9</f>
        <v>4576</v>
      </c>
      <c r="L4" s="8">
        <f>'Affiliate Projection'!L9</f>
        <v>5258</v>
      </c>
      <c r="M4" s="8">
        <f>'Affiliate Projection'!M9</f>
        <v>6197</v>
      </c>
    </row>
    <row r="5" spans="1:14" x14ac:dyDescent="0.25">
      <c r="A5" s="9" t="s">
        <v>36</v>
      </c>
      <c r="B5" s="7">
        <f>Inputs!$B$12</f>
        <v>40</v>
      </c>
      <c r="C5" s="7">
        <f>Inputs!$B$12</f>
        <v>40</v>
      </c>
      <c r="D5" s="7">
        <f>Inputs!$B$12</f>
        <v>40</v>
      </c>
      <c r="E5" s="7">
        <f>Inputs!$B$12</f>
        <v>40</v>
      </c>
      <c r="F5" s="7">
        <f>Inputs!$B$12</f>
        <v>40</v>
      </c>
      <c r="G5" s="7">
        <f>Inputs!$B$12</f>
        <v>40</v>
      </c>
      <c r="H5" s="7">
        <f>Inputs!$B$12</f>
        <v>40</v>
      </c>
      <c r="I5" s="7">
        <f>Inputs!$B$12</f>
        <v>40</v>
      </c>
      <c r="J5" s="7">
        <f>Inputs!$B$12</f>
        <v>40</v>
      </c>
      <c r="K5" s="7">
        <f>Inputs!$B$12</f>
        <v>40</v>
      </c>
      <c r="L5" s="7">
        <f>Inputs!$B$12</f>
        <v>40</v>
      </c>
      <c r="M5" s="7">
        <f>Inputs!$B$12</f>
        <v>40</v>
      </c>
    </row>
    <row r="6" spans="1:14" x14ac:dyDescent="0.25">
      <c r="A6" s="9" t="s">
        <v>122</v>
      </c>
      <c r="B6" s="10">
        <f t="shared" ref="B6:M6" si="0">B4*B5</f>
        <v>6040</v>
      </c>
      <c r="C6" s="10">
        <f t="shared" si="0"/>
        <v>14440</v>
      </c>
      <c r="D6" s="10">
        <f t="shared" si="0"/>
        <v>27240</v>
      </c>
      <c r="E6" s="10">
        <f t="shared" si="0"/>
        <v>39600</v>
      </c>
      <c r="F6" s="10">
        <f t="shared" si="0"/>
        <v>57640</v>
      </c>
      <c r="G6" s="10">
        <f t="shared" si="0"/>
        <v>79760</v>
      </c>
      <c r="H6" s="10">
        <f t="shared" si="0"/>
        <v>100080</v>
      </c>
      <c r="I6" s="10">
        <f t="shared" si="0"/>
        <v>122040</v>
      </c>
      <c r="J6" s="10">
        <f t="shared" si="0"/>
        <v>143320</v>
      </c>
      <c r="K6" s="10">
        <f t="shared" si="0"/>
        <v>183040</v>
      </c>
      <c r="L6" s="10">
        <f t="shared" si="0"/>
        <v>210320</v>
      </c>
      <c r="M6" s="10">
        <f t="shared" si="0"/>
        <v>247880</v>
      </c>
    </row>
    <row r="7" spans="1:14" x14ac:dyDescent="0.25">
      <c r="A7" s="9" t="s">
        <v>123</v>
      </c>
      <c r="B7" s="7">
        <f t="shared" ref="B7:M7" si="1">B5</f>
        <v>40</v>
      </c>
      <c r="C7" s="7">
        <f t="shared" si="1"/>
        <v>40</v>
      </c>
      <c r="D7" s="7">
        <f t="shared" si="1"/>
        <v>40</v>
      </c>
      <c r="E7" s="7">
        <f t="shared" si="1"/>
        <v>40</v>
      </c>
      <c r="F7" s="7">
        <f t="shared" si="1"/>
        <v>40</v>
      </c>
      <c r="G7" s="7">
        <f t="shared" si="1"/>
        <v>40</v>
      </c>
      <c r="H7" s="7">
        <f t="shared" si="1"/>
        <v>40</v>
      </c>
      <c r="I7" s="7">
        <f t="shared" si="1"/>
        <v>40</v>
      </c>
      <c r="J7" s="7">
        <f t="shared" si="1"/>
        <v>40</v>
      </c>
      <c r="K7" s="7">
        <f t="shared" si="1"/>
        <v>40</v>
      </c>
      <c r="L7" s="7">
        <f t="shared" si="1"/>
        <v>40</v>
      </c>
      <c r="M7" s="7">
        <f t="shared" si="1"/>
        <v>40</v>
      </c>
    </row>
    <row r="8" spans="1:14" x14ac:dyDescent="0.25">
      <c r="A8" s="9" t="s">
        <v>124</v>
      </c>
      <c r="B8" s="10">
        <f t="shared" ref="B8:M8" si="2">B4*B7</f>
        <v>6040</v>
      </c>
      <c r="C8" s="10">
        <f t="shared" si="2"/>
        <v>14440</v>
      </c>
      <c r="D8" s="10">
        <f t="shared" si="2"/>
        <v>27240</v>
      </c>
      <c r="E8" s="10">
        <f t="shared" si="2"/>
        <v>39600</v>
      </c>
      <c r="F8" s="10">
        <f t="shared" si="2"/>
        <v>57640</v>
      </c>
      <c r="G8" s="10">
        <f t="shared" si="2"/>
        <v>79760</v>
      </c>
      <c r="H8" s="10">
        <f t="shared" si="2"/>
        <v>100080</v>
      </c>
      <c r="I8" s="10">
        <f t="shared" si="2"/>
        <v>122040</v>
      </c>
      <c r="J8" s="10">
        <f t="shared" si="2"/>
        <v>143320</v>
      </c>
      <c r="K8" s="10">
        <f t="shared" si="2"/>
        <v>183040</v>
      </c>
      <c r="L8" s="10">
        <f t="shared" si="2"/>
        <v>210320</v>
      </c>
      <c r="M8" s="10">
        <f t="shared" si="2"/>
        <v>247880</v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0"/>
  <sheetViews>
    <sheetView workbookViewId="0">
      <selection activeCell="C13" sqref="C13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236" t="s">
        <v>125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ht="18.75" customHeight="1" x14ac:dyDescent="0.3">
      <c r="A4" s="1" t="s">
        <v>126</v>
      </c>
    </row>
    <row r="5" spans="1:14" x14ac:dyDescent="0.25">
      <c r="A5" s="9" t="s">
        <v>127</v>
      </c>
      <c r="B5" s="10">
        <f>Revenue!B8*SUMPRODUCT('VIP Levels'!$D$5:$D$9,Inputs!G$6:G$10)</f>
        <v>1207.9999999999993</v>
      </c>
      <c r="C5" s="10">
        <f>Revenue!C8*SUMPRODUCT('VIP Levels'!$D$5:$D$9,Inputs!H$6:H$10)</f>
        <v>2888</v>
      </c>
      <c r="D5" s="10">
        <f>Revenue!D8*SUMPRODUCT('VIP Levels'!$D$5:$D$9,Inputs!I$6:I$10)</f>
        <v>5448.0000000000009</v>
      </c>
      <c r="E5" s="10">
        <f>Revenue!E8*SUMPRODUCT('VIP Levels'!$D$5:$D$9,Inputs!J$6:J$10)</f>
        <v>7920</v>
      </c>
      <c r="F5" s="10">
        <f>Revenue!F8*SUMPRODUCT('VIP Levels'!$D$5:$D$9,Inputs!K$6:K$10)</f>
        <v>11528</v>
      </c>
      <c r="G5" s="10">
        <f>Revenue!G8*SUMPRODUCT('VIP Levels'!$D$5:$D$9,Inputs!L$6:L$10)</f>
        <v>15952.000000000005</v>
      </c>
      <c r="H5" s="10">
        <f>Revenue!H8*SUMPRODUCT('VIP Levels'!$D$5:$D$9,Inputs!M$6:M$10)</f>
        <v>20016.000000000004</v>
      </c>
      <c r="I5" s="10">
        <f>Revenue!I8*SUMPRODUCT('VIP Levels'!$D$5:$D$9,Inputs!N$6:N$10)</f>
        <v>24408</v>
      </c>
      <c r="J5" s="10">
        <f>Revenue!J8*SUMPRODUCT('VIP Levels'!$D$5:$D$9,Inputs!O$6:O$10)</f>
        <v>28664</v>
      </c>
      <c r="K5" s="10">
        <f>Revenue!K8*SUMPRODUCT('VIP Levels'!$D$5:$D$9,Inputs!P$6:P$10)</f>
        <v>36608.000000000007</v>
      </c>
      <c r="L5" s="10">
        <f>Revenue!L8*SUMPRODUCT('VIP Levels'!$D$5:$D$9,Inputs!Q$6:Q$10)</f>
        <v>42064.000000000007</v>
      </c>
      <c r="M5" s="10">
        <f>Revenue!M8*SUMPRODUCT('VIP Levels'!$D$5:$D$9,Inputs!R$6:R$10)</f>
        <v>49576.000000000015</v>
      </c>
    </row>
    <row r="6" spans="1:14" x14ac:dyDescent="0.25">
      <c r="A6" s="9" t="s">
        <v>128</v>
      </c>
      <c r="B6" s="10">
        <f>'Affiliate Projection'!B19*'VIP Levels'!$B$15*'VIP Levels'!$E$5*Inputs!$B$14*('VIP Levels'!$D$15/30)*'VIP Levels'!$C$15*Revenue!B7+'Affiliate Projection'!B20*'VIP Levels'!$B$16*'VIP Levels'!$E$6*Inputs!$B$14*('VIP Levels'!$D$16/30)*'VIP Levels'!$C$16*Revenue!B7+'Affiliate Projection'!B21*'VIP Levels'!$B$17*'VIP Levels'!$E$7*Inputs!$B$14*('VIP Levels'!$D$17/30)*'VIP Levels'!$C$17*Revenue!B7+'Affiliate Projection'!B22*'VIP Levels'!$B$18*'VIP Levels'!$E$8*Inputs!$B$14*('VIP Levels'!$D$18/30)*'VIP Levels'!$C$18*Revenue!B7+'Affiliate Projection'!B23*'VIP Levels'!$B$19*'VIP Levels'!$E$9*Inputs!$B$14*('VIP Levels'!$D$19/30)*'VIP Levels'!$C$19*Revenue!B7</f>
        <v>47.493333333333339</v>
      </c>
      <c r="C6" s="10">
        <f>'Affiliate Projection'!C19*'VIP Levels'!$B$15*'VIP Levels'!$E$5*Inputs!$B$14*('VIP Levels'!$D$15/30)*'VIP Levels'!$C$15*Revenue!C7+'Affiliate Projection'!C20*'VIP Levels'!$B$16*'VIP Levels'!$E$6*Inputs!$B$14*('VIP Levels'!$D$16/30)*'VIP Levels'!$C$16*Revenue!C7+'Affiliate Projection'!C21*'VIP Levels'!$B$17*'VIP Levels'!$E$7*Inputs!$B$14*('VIP Levels'!$D$17/30)*'VIP Levels'!$C$17*Revenue!C7+'Affiliate Projection'!C22*'VIP Levels'!$B$18*'VIP Levels'!$E$8*Inputs!$B$14*('VIP Levels'!$D$18/30)*'VIP Levels'!$C$18*Revenue!C7+'Affiliate Projection'!C23*'VIP Levels'!$B$19*'VIP Levels'!$E$9*Inputs!$B$14*('VIP Levels'!$D$19/30)*'VIP Levels'!$C$19*Revenue!C7</f>
        <v>272.09866666666665</v>
      </c>
      <c r="D6" s="10">
        <f>'Affiliate Projection'!D19*'VIP Levels'!$B$15*'VIP Levels'!$E$5*Inputs!$B$14*('VIP Levels'!$D$15/30)*'VIP Levels'!$C$15*Revenue!D7+'Affiliate Projection'!D20*'VIP Levels'!$B$16*'VIP Levels'!$E$6*Inputs!$B$14*('VIP Levels'!$D$16/30)*'VIP Levels'!$C$16*Revenue!D7+'Affiliate Projection'!D21*'VIP Levels'!$B$17*'VIP Levels'!$E$7*Inputs!$B$14*('VIP Levels'!$D$17/30)*'VIP Levels'!$C$17*Revenue!D7+'Affiliate Projection'!D22*'VIP Levels'!$B$18*'VIP Levels'!$E$8*Inputs!$B$14*('VIP Levels'!$D$18/30)*'VIP Levels'!$C$18*Revenue!D7+'Affiliate Projection'!D23*'VIP Levels'!$B$19*'VIP Levels'!$E$9*Inputs!$B$14*('VIP Levels'!$D$19/30)*'VIP Levels'!$C$19*Revenue!D7</f>
        <v>536.50133333333338</v>
      </c>
      <c r="E6" s="10">
        <f>'Affiliate Projection'!E19*'VIP Levels'!$B$15*'VIP Levels'!$E$5*Inputs!$B$14*('VIP Levels'!$D$15/30)*'VIP Levels'!$C$15*Revenue!E7+'Affiliate Projection'!E20*'VIP Levels'!$B$16*'VIP Levels'!$E$6*Inputs!$B$14*('VIP Levels'!$D$16/30)*'VIP Levels'!$C$16*Revenue!E7+'Affiliate Projection'!E21*'VIP Levels'!$B$17*'VIP Levels'!$E$7*Inputs!$B$14*('VIP Levels'!$D$17/30)*'VIP Levels'!$C$17*Revenue!E7+'Affiliate Projection'!E22*'VIP Levels'!$B$18*'VIP Levels'!$E$8*Inputs!$B$14*('VIP Levels'!$D$18/30)*'VIP Levels'!$C$18*Revenue!E7+'Affiliate Projection'!E23*'VIP Levels'!$B$19*'VIP Levels'!$E$9*Inputs!$B$14*('VIP Levels'!$D$19/30)*'VIP Levels'!$C$19*Revenue!E7</f>
        <v>371.904</v>
      </c>
      <c r="F6" s="10">
        <f>'Affiliate Projection'!F19*'VIP Levels'!$B$15*'VIP Levels'!$E$5*Inputs!$B$14*('VIP Levels'!$D$15/30)*'VIP Levels'!$C$15*Revenue!F7+'Affiliate Projection'!F20*'VIP Levels'!$B$16*'VIP Levels'!$E$6*Inputs!$B$14*('VIP Levels'!$D$16/30)*'VIP Levels'!$C$16*Revenue!F7+'Affiliate Projection'!F21*'VIP Levels'!$B$17*'VIP Levels'!$E$7*Inputs!$B$14*('VIP Levels'!$D$17/30)*'VIP Levels'!$C$17*Revenue!F7+'Affiliate Projection'!F22*'VIP Levels'!$B$18*'VIP Levels'!$E$8*Inputs!$B$14*('VIP Levels'!$D$18/30)*'VIP Levels'!$C$18*Revenue!F7+'Affiliate Projection'!F23*'VIP Levels'!$B$19*'VIP Levels'!$E$9*Inputs!$B$14*('VIP Levels'!$D$19/30)*'VIP Levels'!$C$19*Revenue!F7</f>
        <v>789.98399999999992</v>
      </c>
      <c r="G6" s="10">
        <f>'Affiliate Projection'!G19*'VIP Levels'!$B$15*'VIP Levels'!$E$5*Inputs!$B$14*('VIP Levels'!$D$15/30)*'VIP Levels'!$C$15*Revenue!G7+'Affiliate Projection'!G20*'VIP Levels'!$B$16*'VIP Levels'!$E$6*Inputs!$B$14*('VIP Levels'!$D$16/30)*'VIP Levels'!$C$16*Revenue!G7+'Affiliate Projection'!G21*'VIP Levels'!$B$17*'VIP Levels'!$E$7*Inputs!$B$14*('VIP Levels'!$D$17/30)*'VIP Levels'!$C$17*Revenue!G7+'Affiliate Projection'!G22*'VIP Levels'!$B$18*'VIP Levels'!$E$8*Inputs!$B$14*('VIP Levels'!$D$18/30)*'VIP Levels'!$C$18*Revenue!G7+'Affiliate Projection'!G23*'VIP Levels'!$B$19*'VIP Levels'!$E$9*Inputs!$B$14*('VIP Levels'!$D$19/30)*'VIP Levels'!$C$19*Revenue!G7</f>
        <v>1626.04</v>
      </c>
      <c r="H6" s="10">
        <f>'Affiliate Projection'!H19*'VIP Levels'!$B$15*'VIP Levels'!$E$5*Inputs!$B$14*('VIP Levels'!$D$15/30)*'VIP Levels'!$C$15*Revenue!H7+'Affiliate Projection'!H20*'VIP Levels'!$B$16*'VIP Levels'!$E$6*Inputs!$B$14*('VIP Levels'!$D$16/30)*'VIP Levels'!$C$16*Revenue!H7+'Affiliate Projection'!H21*'VIP Levels'!$B$17*'VIP Levels'!$E$7*Inputs!$B$14*('VIP Levels'!$D$17/30)*'VIP Levels'!$C$17*Revenue!H7+'Affiliate Projection'!H22*'VIP Levels'!$B$18*'VIP Levels'!$E$8*Inputs!$B$14*('VIP Levels'!$D$18/30)*'VIP Levels'!$C$18*Revenue!H7+'Affiliate Projection'!H23*'VIP Levels'!$B$19*'VIP Levels'!$E$9*Inputs!$B$14*('VIP Levels'!$D$19/30)*'VIP Levels'!$C$19*Revenue!H7</f>
        <v>1566.5520000000001</v>
      </c>
      <c r="I6" s="10">
        <f>'Affiliate Projection'!I19*'VIP Levels'!$B$15*'VIP Levels'!$E$5*Inputs!$B$14*('VIP Levels'!$D$15/30)*'VIP Levels'!$C$15*Revenue!I7+'Affiliate Projection'!I20*'VIP Levels'!$B$16*'VIP Levels'!$E$6*Inputs!$B$14*('VIP Levels'!$D$16/30)*'VIP Levels'!$C$16*Revenue!I7+'Affiliate Projection'!I21*'VIP Levels'!$B$17*'VIP Levels'!$E$7*Inputs!$B$14*('VIP Levels'!$D$17/30)*'VIP Levels'!$C$17*Revenue!I7+'Affiliate Projection'!I22*'VIP Levels'!$B$18*'VIP Levels'!$E$8*Inputs!$B$14*('VIP Levels'!$D$18/30)*'VIP Levels'!$C$18*Revenue!I7+'Affiliate Projection'!I23*'VIP Levels'!$B$19*'VIP Levels'!$E$9*Inputs!$B$14*('VIP Levels'!$D$19/30)*'VIP Levels'!$C$19*Revenue!I7</f>
        <v>1665.6986666666667</v>
      </c>
      <c r="J6" s="10">
        <f>'Affiliate Projection'!J19*'VIP Levels'!$B$15*'VIP Levels'!$E$5*Inputs!$B$14*('VIP Levels'!$D$15/30)*'VIP Levels'!$C$15*Revenue!J7+'Affiliate Projection'!J20*'VIP Levels'!$B$16*'VIP Levels'!$E$6*Inputs!$B$14*('VIP Levels'!$D$16/30)*'VIP Levels'!$C$16*Revenue!J7+'Affiliate Projection'!J21*'VIP Levels'!$B$17*'VIP Levels'!$E$7*Inputs!$B$14*('VIP Levels'!$D$17/30)*'VIP Levels'!$C$17*Revenue!J7+'Affiliate Projection'!J22*'VIP Levels'!$B$18*'VIP Levels'!$E$8*Inputs!$B$14*('VIP Levels'!$D$18/30)*'VIP Levels'!$C$18*Revenue!J7+'Affiliate Projection'!J23*'VIP Levels'!$B$19*'VIP Levels'!$E$9*Inputs!$B$14*('VIP Levels'!$D$19/30)*'VIP Levels'!$C$19*Revenue!J7</f>
        <v>1629.9920000000002</v>
      </c>
      <c r="K6" s="10">
        <f>'Affiliate Projection'!K19*'VIP Levels'!$B$15*'VIP Levels'!$E$5*Inputs!$B$14*('VIP Levels'!$D$15/30)*'VIP Levels'!$C$15*Revenue!K7+'Affiliate Projection'!K20*'VIP Levels'!$B$16*'VIP Levels'!$E$6*Inputs!$B$14*('VIP Levels'!$D$16/30)*'VIP Levels'!$C$16*Revenue!K7+'Affiliate Projection'!K21*'VIP Levels'!$B$17*'VIP Levels'!$E$7*Inputs!$B$14*('VIP Levels'!$D$17/30)*'VIP Levels'!$C$17*Revenue!K7+'Affiliate Projection'!K22*'VIP Levels'!$B$18*'VIP Levels'!$E$8*Inputs!$B$14*('VIP Levels'!$D$18/30)*'VIP Levels'!$C$18*Revenue!K7+'Affiliate Projection'!K23*'VIP Levels'!$B$19*'VIP Levels'!$E$9*Inputs!$B$14*('VIP Levels'!$D$19/30)*'VIP Levels'!$C$19*Revenue!K7</f>
        <v>3172.1386666666667</v>
      </c>
      <c r="L6" s="10">
        <f>'Affiliate Projection'!L19*'VIP Levels'!$B$15*'VIP Levels'!$E$5*Inputs!$B$14*('VIP Levels'!$D$15/30)*'VIP Levels'!$C$15*Revenue!L7+'Affiliate Projection'!L20*'VIP Levels'!$B$16*'VIP Levels'!$E$6*Inputs!$B$14*('VIP Levels'!$D$16/30)*'VIP Levels'!$C$16*Revenue!L7+'Affiliate Projection'!L21*'VIP Levels'!$B$17*'VIP Levels'!$E$7*Inputs!$B$14*('VIP Levels'!$D$17/30)*'VIP Levels'!$C$17*Revenue!L7+'Affiliate Projection'!L22*'VIP Levels'!$B$18*'VIP Levels'!$E$8*Inputs!$B$14*('VIP Levels'!$D$18/30)*'VIP Levels'!$C$18*Revenue!L7+'Affiliate Projection'!L23*'VIP Levels'!$B$19*'VIP Levels'!$E$9*Inputs!$B$14*('VIP Levels'!$D$19/30)*'VIP Levels'!$C$19*Revenue!L7</f>
        <v>3647.5919999999996</v>
      </c>
      <c r="M6" s="10">
        <f>'Affiliate Projection'!M19*'VIP Levels'!$B$15*'VIP Levels'!$E$5*Inputs!$B$14*('VIP Levels'!$D$15/30)*'VIP Levels'!$C$15*Revenue!M7+'Affiliate Projection'!M20*'VIP Levels'!$B$16*'VIP Levels'!$E$6*Inputs!$B$14*('VIP Levels'!$D$16/30)*'VIP Levels'!$C$16*Revenue!M7+'Affiliate Projection'!M21*'VIP Levels'!$B$17*'VIP Levels'!$E$7*Inputs!$B$14*('VIP Levels'!$D$17/30)*'VIP Levels'!$C$17*Revenue!M7+'Affiliate Projection'!M22*'VIP Levels'!$B$18*'VIP Levels'!$E$8*Inputs!$B$14*('VIP Levels'!$D$18/30)*'VIP Levels'!$C$18*Revenue!M7+'Affiliate Projection'!M23*'VIP Levels'!$B$19*'VIP Levels'!$E$9*Inputs!$B$14*('VIP Levels'!$D$19/30)*'VIP Levels'!$C$19*Revenue!M7</f>
        <v>5724.818666666667</v>
      </c>
    </row>
    <row r="7" spans="1:14" x14ac:dyDescent="0.25">
      <c r="A7" s="9" t="s">
        <v>129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24.921866666666663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171.24986666666666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433.54826666666668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643.94026666666662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1017.0888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1613.2722666666664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2192.7845333333335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2800.0821333333333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3399.0320000000002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4658.5205333333333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5961.7618666666658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7871.3058666666657</v>
      </c>
    </row>
    <row r="8" spans="1:14" x14ac:dyDescent="0.25">
      <c r="A8" s="22" t="s">
        <v>130</v>
      </c>
      <c r="B8" s="23">
        <f>'Affiliate Projection'!B19*'VIP Levels'!$B$23*'VIP Levels'!$E$5*Inputs!$B$14*('VIP Levels'!$D$23/30)*'VIP Levels'!$C$23*Inputs!$B$12+'Affiliate Projection'!B20*'VIP Levels'!$B$24*'VIP Levels'!$E$6*Inputs!$B$14*('VIP Levels'!$D$24/30)*'VIP Levels'!$C$24*Inputs!$B$12+'Affiliate Projection'!B21*'VIP Levels'!$B$25*'VIP Levels'!$E$7*Inputs!$B$14*('VIP Levels'!$D$25/30)*'VIP Levels'!$C$25*Inputs!$B$12+'Affiliate Projection'!B22*'VIP Levels'!$B$26*'VIP Levels'!$E$8*Inputs!$B$14*('VIP Levels'!$D$26/30)*'VIP Levels'!$C$26*Inputs!$B$12+'Affiliate Projection'!B23*'VIP Levels'!$B$27*'VIP Levels'!$E$9*Inputs!$B$14*('VIP Levels'!$D$27/30)*'VIP Levels'!$C$27*Inputs!$B$12</f>
        <v>256.37733333333335</v>
      </c>
      <c r="C8" s="23">
        <f>'Affiliate Projection'!C19*'VIP Levels'!$B$23*'VIP Levels'!$E$5*Inputs!$B$14*('VIP Levels'!$D$23/30)*'VIP Levels'!$C$23*Inputs!$B$12+'Affiliate Projection'!C20*'VIP Levels'!$B$24*'VIP Levels'!$E$6*Inputs!$B$14*('VIP Levels'!$D$24/30)*'VIP Levels'!$C$24*Inputs!$B$12+'Affiliate Projection'!C21*'VIP Levels'!$B$25*'VIP Levels'!$E$7*Inputs!$B$14*('VIP Levels'!$D$25/30)*'VIP Levels'!$C$25*Inputs!$B$12+'Affiliate Projection'!C22*'VIP Levels'!$B$26*'VIP Levels'!$E$8*Inputs!$B$14*('VIP Levels'!$D$26/30)*'VIP Levels'!$C$26*Inputs!$B$12+'Affiliate Projection'!C23*'VIP Levels'!$B$27*'VIP Levels'!$E$9*Inputs!$B$14*('VIP Levels'!$D$27/30)*'VIP Levels'!$C$27*Inputs!$B$12</f>
        <v>428.30666666666662</v>
      </c>
      <c r="D8" s="23">
        <f>'Affiliate Projection'!D19*'VIP Levels'!$B$23*'VIP Levels'!$E$5*Inputs!$B$14*('VIP Levels'!$D$23/30)*'VIP Levels'!$C$23*Inputs!$B$12+'Affiliate Projection'!D20*'VIP Levels'!$B$24*'VIP Levels'!$E$6*Inputs!$B$14*('VIP Levels'!$D$24/30)*'VIP Levels'!$C$24*Inputs!$B$12+'Affiliate Projection'!D21*'VIP Levels'!$B$25*'VIP Levels'!$E$7*Inputs!$B$14*('VIP Levels'!$D$25/30)*'VIP Levels'!$C$25*Inputs!$B$12+'Affiliate Projection'!D22*'VIP Levels'!$B$26*'VIP Levels'!$E$8*Inputs!$B$14*('VIP Levels'!$D$26/30)*'VIP Levels'!$C$26*Inputs!$B$12+'Affiliate Projection'!D23*'VIP Levels'!$B$27*'VIP Levels'!$E$9*Inputs!$B$14*('VIP Levels'!$D$27/30)*'VIP Levels'!$C$27*Inputs!$B$12</f>
        <v>671.33733333333339</v>
      </c>
      <c r="E8" s="23">
        <f>'Affiliate Projection'!E19*'VIP Levels'!$B$23*'VIP Levels'!$E$5*Inputs!$B$14*('VIP Levels'!$D$23/30)*'VIP Levels'!$C$23*Inputs!$B$12+'Affiliate Projection'!E20*'VIP Levels'!$B$24*'VIP Levels'!$E$6*Inputs!$B$14*('VIP Levels'!$D$24/30)*'VIP Levels'!$C$24*Inputs!$B$12+'Affiliate Projection'!E21*'VIP Levels'!$B$25*'VIP Levels'!$E$7*Inputs!$B$14*('VIP Levels'!$D$25/30)*'VIP Levels'!$C$25*Inputs!$B$12+'Affiliate Projection'!E22*'VIP Levels'!$B$26*'VIP Levels'!$E$8*Inputs!$B$14*('VIP Levels'!$D$26/30)*'VIP Levels'!$C$26*Inputs!$B$12+'Affiliate Projection'!E23*'VIP Levels'!$B$27*'VIP Levels'!$E$9*Inputs!$B$14*('VIP Levels'!$D$27/30)*'VIP Levels'!$C$27*Inputs!$B$12</f>
        <v>689.41599999999994</v>
      </c>
      <c r="F8" s="23">
        <f>'Affiliate Projection'!F19*'VIP Levels'!$B$23*'VIP Levels'!$E$5*Inputs!$B$14*('VIP Levels'!$D$23/30)*'VIP Levels'!$C$23*Inputs!$B$12+'Affiliate Projection'!F20*'VIP Levels'!$B$24*'VIP Levels'!$E$6*Inputs!$B$14*('VIP Levels'!$D$24/30)*'VIP Levels'!$C$24*Inputs!$B$12+'Affiliate Projection'!F21*'VIP Levels'!$B$25*'VIP Levels'!$E$7*Inputs!$B$14*('VIP Levels'!$D$25/30)*'VIP Levels'!$C$25*Inputs!$B$12+'Affiliate Projection'!F22*'VIP Levels'!$B$26*'VIP Levels'!$E$8*Inputs!$B$14*('VIP Levels'!$D$26/30)*'VIP Levels'!$C$26*Inputs!$B$12+'Affiliate Projection'!F23*'VIP Levels'!$B$27*'VIP Levels'!$E$9*Inputs!$B$14*('VIP Levels'!$D$27/30)*'VIP Levels'!$C$27*Inputs!$B$12</f>
        <v>981.34399999999982</v>
      </c>
      <c r="G8" s="23">
        <f>'Affiliate Projection'!G19*'VIP Levels'!$B$23*'VIP Levels'!$E$5*Inputs!$B$14*('VIP Levels'!$D$23/30)*'VIP Levels'!$C$23*Inputs!$B$12+'Affiliate Projection'!G20*'VIP Levels'!$B$24*'VIP Levels'!$E$6*Inputs!$B$14*('VIP Levels'!$D$24/30)*'VIP Levels'!$C$24*Inputs!$B$12+'Affiliate Projection'!G21*'VIP Levels'!$B$25*'VIP Levels'!$E$7*Inputs!$B$14*('VIP Levels'!$D$25/30)*'VIP Levels'!$C$25*Inputs!$B$12+'Affiliate Projection'!G22*'VIP Levels'!$B$26*'VIP Levels'!$E$8*Inputs!$B$14*('VIP Levels'!$D$26/30)*'VIP Levels'!$C$26*Inputs!$B$12+'Affiliate Projection'!G23*'VIP Levels'!$B$27*'VIP Levels'!$E$9*Inputs!$B$14*('VIP Levels'!$D$27/30)*'VIP Levels'!$C$27*Inputs!$B$12</f>
        <v>1264.9000000000001</v>
      </c>
      <c r="H8" s="23">
        <f>'Affiliate Projection'!H19*'VIP Levels'!$B$23*'VIP Levels'!$E$5*Inputs!$B$14*('VIP Levels'!$D$23/30)*'VIP Levels'!$C$23*Inputs!$B$12+'Affiliate Projection'!H20*'VIP Levels'!$B$24*'VIP Levels'!$E$6*Inputs!$B$14*('VIP Levels'!$D$24/30)*'VIP Levels'!$C$24*Inputs!$B$12+'Affiliate Projection'!H21*'VIP Levels'!$B$25*'VIP Levels'!$E$7*Inputs!$B$14*('VIP Levels'!$D$25/30)*'VIP Levels'!$C$25*Inputs!$B$12+'Affiliate Projection'!H22*'VIP Levels'!$B$26*'VIP Levels'!$E$8*Inputs!$B$14*('VIP Levels'!$D$26/30)*'VIP Levels'!$C$26*Inputs!$B$12+'Affiliate Projection'!H23*'VIP Levels'!$B$27*'VIP Levels'!$E$9*Inputs!$B$14*('VIP Levels'!$D$27/30)*'VIP Levels'!$C$27*Inputs!$B$12</f>
        <v>1214.3040000000001</v>
      </c>
      <c r="I8" s="23">
        <f>'Affiliate Projection'!I19*'VIP Levels'!$B$23*'VIP Levels'!$E$5*Inputs!$B$14*('VIP Levels'!$D$23/30)*'VIP Levels'!$C$23*Inputs!$B$12+'Affiliate Projection'!I20*'VIP Levels'!$B$24*'VIP Levels'!$E$6*Inputs!$B$14*('VIP Levels'!$D$24/30)*'VIP Levels'!$C$24*Inputs!$B$12+'Affiliate Projection'!I21*'VIP Levels'!$B$25*'VIP Levels'!$E$7*Inputs!$B$14*('VIP Levels'!$D$25/30)*'VIP Levels'!$C$25*Inputs!$B$12+'Affiliate Projection'!I22*'VIP Levels'!$B$26*'VIP Levels'!$E$8*Inputs!$B$14*('VIP Levels'!$D$26/30)*'VIP Levels'!$C$26*Inputs!$B$12+'Affiliate Projection'!I23*'VIP Levels'!$B$27*'VIP Levels'!$E$9*Inputs!$B$14*('VIP Levels'!$D$27/30)*'VIP Levels'!$C$27*Inputs!$B$12</f>
        <v>1298.6306666666667</v>
      </c>
      <c r="J8" s="23">
        <f>'Affiliate Projection'!J19*'VIP Levels'!$B$23*'VIP Levels'!$E$5*Inputs!$B$14*('VIP Levels'!$D$23/30)*'VIP Levels'!$C$23*Inputs!$B$12+'Affiliate Projection'!J20*'VIP Levels'!$B$24*'VIP Levels'!$E$6*Inputs!$B$14*('VIP Levels'!$D$24/30)*'VIP Levels'!$C$24*Inputs!$B$12+'Affiliate Projection'!J21*'VIP Levels'!$B$25*'VIP Levels'!$E$7*Inputs!$B$14*('VIP Levels'!$D$25/30)*'VIP Levels'!$C$25*Inputs!$B$12+'Affiliate Projection'!J22*'VIP Levels'!$B$26*'VIP Levels'!$E$8*Inputs!$B$14*('VIP Levels'!$D$26/30)*'VIP Levels'!$C$26*Inputs!$B$12+'Affiliate Projection'!J23*'VIP Levels'!$B$27*'VIP Levels'!$E$9*Inputs!$B$14*('VIP Levels'!$D$27/30)*'VIP Levels'!$C$27*Inputs!$B$12</f>
        <v>1271.8160000000003</v>
      </c>
      <c r="K8" s="23">
        <f>'Affiliate Projection'!K19*'VIP Levels'!$B$23*'VIP Levels'!$E$5*Inputs!$B$14*('VIP Levels'!$D$23/30)*'VIP Levels'!$C$23*Inputs!$B$12+'Affiliate Projection'!K20*'VIP Levels'!$B$24*'VIP Levels'!$E$6*Inputs!$B$14*('VIP Levels'!$D$24/30)*'VIP Levels'!$C$24*Inputs!$B$12+'Affiliate Projection'!K21*'VIP Levels'!$B$25*'VIP Levels'!$E$7*Inputs!$B$14*('VIP Levels'!$D$25/30)*'VIP Levels'!$C$25*Inputs!$B$12+'Affiliate Projection'!K22*'VIP Levels'!$B$26*'VIP Levels'!$E$8*Inputs!$B$14*('VIP Levels'!$D$26/30)*'VIP Levels'!$C$26*Inputs!$B$12+'Affiliate Projection'!K23*'VIP Levels'!$B$27*'VIP Levels'!$E$9*Inputs!$B$14*('VIP Levels'!$D$27/30)*'VIP Levels'!$C$27*Inputs!$B$12</f>
        <v>2185.3346666666666</v>
      </c>
      <c r="L8" s="23">
        <f>'Affiliate Projection'!L19*'VIP Levels'!$B$23*'VIP Levels'!$E$5*Inputs!$B$14*('VIP Levels'!$D$23/30)*'VIP Levels'!$C$23*Inputs!$B$12+'Affiliate Projection'!L20*'VIP Levels'!$B$24*'VIP Levels'!$E$6*Inputs!$B$14*('VIP Levels'!$D$24/30)*'VIP Levels'!$C$24*Inputs!$B$12+'Affiliate Projection'!L21*'VIP Levels'!$B$25*'VIP Levels'!$E$7*Inputs!$B$14*('VIP Levels'!$D$25/30)*'VIP Levels'!$C$25*Inputs!$B$12+'Affiliate Projection'!L22*'VIP Levels'!$B$26*'VIP Levels'!$E$8*Inputs!$B$14*('VIP Levels'!$D$26/30)*'VIP Levels'!$C$26*Inputs!$B$12+'Affiliate Projection'!L23*'VIP Levels'!$B$27*'VIP Levels'!$E$9*Inputs!$B$14*('VIP Levels'!$D$27/30)*'VIP Levels'!$C$27*Inputs!$B$12</f>
        <v>1796.704</v>
      </c>
      <c r="M8" s="23">
        <f>'Affiliate Projection'!M19*'VIP Levels'!$B$23*'VIP Levels'!$E$5*Inputs!$B$14*('VIP Levels'!$D$23/30)*'VIP Levels'!$C$23*Inputs!$B$12+'Affiliate Projection'!M20*'VIP Levels'!$B$24*'VIP Levels'!$E$6*Inputs!$B$14*('VIP Levels'!$D$24/30)*'VIP Levels'!$C$24*Inputs!$B$12+'Affiliate Projection'!M21*'VIP Levels'!$B$25*'VIP Levels'!$E$7*Inputs!$B$14*('VIP Levels'!$D$25/30)*'VIP Levels'!$C$25*Inputs!$B$12+'Affiliate Projection'!M22*'VIP Levels'!$B$26*'VIP Levels'!$E$8*Inputs!$B$14*('VIP Levels'!$D$26/30)*'VIP Levels'!$C$26*Inputs!$B$12+'Affiliate Projection'!M23*'VIP Levels'!$B$27*'VIP Levels'!$E$9*Inputs!$B$14*('VIP Levels'!$D$27/30)*'VIP Levels'!$C$27*Inputs!$B$12</f>
        <v>2627.5946666666669</v>
      </c>
    </row>
    <row r="9" spans="1:14" x14ac:dyDescent="0.25">
      <c r="A9" s="12" t="s">
        <v>131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190.98733333333331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212.82213333333331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376.26333333333332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533.21493333333331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789.85919999999999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1232.5525333333335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1651.4506666666668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2110.0074666666669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2554.2816000000003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3288.9930666666669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3880.2261333333336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4665.8421333333335</v>
      </c>
    </row>
    <row r="10" spans="1:14" x14ac:dyDescent="0.25">
      <c r="A10" s="9" t="s">
        <v>132</v>
      </c>
      <c r="B10" s="11">
        <f t="shared" ref="B10:M10" si="0">SUM(B5:B9)</f>
        <v>1727.7798666666658</v>
      </c>
      <c r="C10" s="11">
        <f t="shared" si="0"/>
        <v>3972.4773333333333</v>
      </c>
      <c r="D10" s="11">
        <f t="shared" si="0"/>
        <v>7465.6502666666684</v>
      </c>
      <c r="E10" s="11">
        <f t="shared" si="0"/>
        <v>10158.475199999999</v>
      </c>
      <c r="F10" s="11">
        <f t="shared" si="0"/>
        <v>15106.276</v>
      </c>
      <c r="G10" s="11">
        <f t="shared" si="0"/>
        <v>21688.764800000004</v>
      </c>
      <c r="H10" s="11">
        <f t="shared" si="0"/>
        <v>26641.091200000003</v>
      </c>
      <c r="I10" s="11">
        <f t="shared" si="0"/>
        <v>32282.418933333334</v>
      </c>
      <c r="J10" s="11">
        <f t="shared" si="0"/>
        <v>37519.121599999999</v>
      </c>
      <c r="K10" s="11">
        <f t="shared" si="0"/>
        <v>49912.986933333348</v>
      </c>
      <c r="L10" s="11">
        <f t="shared" si="0"/>
        <v>57350.284</v>
      </c>
      <c r="M10" s="11">
        <f t="shared" si="0"/>
        <v>70465.56133333336</v>
      </c>
    </row>
    <row r="11" spans="1:14" ht="18.75" customHeight="1" x14ac:dyDescent="0.25">
      <c r="A11" s="9"/>
    </row>
    <row r="12" spans="1:14" ht="18.75" customHeight="1" x14ac:dyDescent="0.3">
      <c r="A12" s="1" t="s">
        <v>133</v>
      </c>
    </row>
    <row r="13" spans="1:14" x14ac:dyDescent="0.25">
      <c r="A13" s="9" t="s">
        <v>134</v>
      </c>
      <c r="B13" s="10">
        <f>'Affiliate Projection'!B19*'VIP Levels'!$G$15*'VIP Levels'!$H$15+'Affiliate Projection'!B20*'VIP Levels'!$G$16*'VIP Levels'!$H$16+'Affiliate Projection'!B21*'VIP Levels'!$G$17*'VIP Levels'!$H$17+'Affiliate Projection'!B22*'VIP Levels'!$G$18*'VIP Levels'!$H$18+'Affiliate Projection'!B23*'VIP Levels'!$G$19*'VIP Levels'!$H$19</f>
        <v>400</v>
      </c>
      <c r="C13" s="10">
        <f>'Affiliate Projection'!C19*'VIP Levels'!$G$15*'VIP Levels'!$H$15+'Affiliate Projection'!C20*'VIP Levels'!$G$16*'VIP Levels'!$H$16+'Affiliate Projection'!C21*'VIP Levels'!$G$17*'VIP Levels'!$H$17+'Affiliate Projection'!C22*'VIP Levels'!$G$18*'VIP Levels'!$H$18+'Affiliate Projection'!C23*'VIP Levels'!$G$19*'VIP Levels'!$H$19</f>
        <v>2100</v>
      </c>
      <c r="D13" s="10">
        <f>'Affiliate Projection'!D19*'VIP Levels'!$G$15*'VIP Levels'!$H$15+'Affiliate Projection'!D20*'VIP Levels'!$G$16*'VIP Levels'!$H$16+'Affiliate Projection'!D21*'VIP Levels'!$G$17*'VIP Levels'!$H$17+'Affiliate Projection'!D22*'VIP Levels'!$G$18*'VIP Levels'!$H$18+'Affiliate Projection'!D23*'VIP Levels'!$G$19*'VIP Levels'!$H$19</f>
        <v>3500</v>
      </c>
      <c r="E13" s="10">
        <f>'Affiliate Projection'!E19*'VIP Levels'!$G$15*'VIP Levels'!$H$15+'Affiliate Projection'!E20*'VIP Levels'!$G$16*'VIP Levels'!$H$16+'Affiliate Projection'!E21*'VIP Levels'!$G$17*'VIP Levels'!$H$17+'Affiliate Projection'!E22*'VIP Levels'!$G$18*'VIP Levels'!$H$18+'Affiliate Projection'!E23*'VIP Levels'!$G$19*'VIP Levels'!$H$19</f>
        <v>3500</v>
      </c>
      <c r="F13" s="10">
        <f>'Affiliate Projection'!F19*'VIP Levels'!$G$15*'VIP Levels'!$H$15+'Affiliate Projection'!F20*'VIP Levels'!$G$16*'VIP Levels'!$H$16+'Affiliate Projection'!F21*'VIP Levels'!$G$17*'VIP Levels'!$H$17+'Affiliate Projection'!F22*'VIP Levels'!$G$18*'VIP Levels'!$H$18+'Affiliate Projection'!F23*'VIP Levels'!$G$19*'VIP Levels'!$H$19</f>
        <v>5100</v>
      </c>
      <c r="G13" s="10">
        <f>'Affiliate Projection'!G19*'VIP Levels'!$G$15*'VIP Levels'!$H$15+'Affiliate Projection'!G20*'VIP Levels'!$G$16*'VIP Levels'!$H$16+'Affiliate Projection'!G21*'VIP Levels'!$G$17*'VIP Levels'!$H$17+'Affiliate Projection'!G22*'VIP Levels'!$G$18*'VIP Levels'!$H$18+'Affiliate Projection'!G23*'VIP Levels'!$G$19*'VIP Levels'!$H$19</f>
        <v>5550</v>
      </c>
      <c r="H13" s="10">
        <f>'Affiliate Projection'!H19*'VIP Levels'!$G$15*'VIP Levels'!$H$15+'Affiliate Projection'!H20*'VIP Levels'!$G$16*'VIP Levels'!$H$16+'Affiliate Projection'!H21*'VIP Levels'!$G$17*'VIP Levels'!$H$17+'Affiliate Projection'!H22*'VIP Levels'!$G$18*'VIP Levels'!$H$18+'Affiliate Projection'!H23*'VIP Levels'!$G$19*'VIP Levels'!$H$19</f>
        <v>5400</v>
      </c>
      <c r="I13" s="10">
        <f>'Affiliate Projection'!I19*'VIP Levels'!$G$15*'VIP Levels'!$H$15+'Affiliate Projection'!I20*'VIP Levels'!$G$16*'VIP Levels'!$H$16+'Affiliate Projection'!I21*'VIP Levels'!$G$17*'VIP Levels'!$H$17+'Affiliate Projection'!I22*'VIP Levels'!$G$18*'VIP Levels'!$H$18+'Affiliate Projection'!I23*'VIP Levels'!$G$19*'VIP Levels'!$H$19</f>
        <v>5650</v>
      </c>
      <c r="J13" s="10">
        <f>'Affiliate Projection'!J19*'VIP Levels'!$G$15*'VIP Levels'!$H$15+'Affiliate Projection'!J20*'VIP Levels'!$G$16*'VIP Levels'!$H$16+'Affiliate Projection'!J21*'VIP Levels'!$G$17*'VIP Levels'!$H$17+'Affiliate Projection'!J22*'VIP Levels'!$G$18*'VIP Levels'!$H$18+'Affiliate Projection'!J23*'VIP Levels'!$G$19*'VIP Levels'!$H$19</f>
        <v>5600</v>
      </c>
      <c r="K13" s="10">
        <f>'Affiliate Projection'!K19*'VIP Levels'!$G$15*'VIP Levels'!$H$15+'Affiliate Projection'!K20*'VIP Levels'!$G$16*'VIP Levels'!$H$16+'Affiliate Projection'!K21*'VIP Levels'!$G$17*'VIP Levels'!$H$17+'Affiliate Projection'!K22*'VIP Levels'!$G$18*'VIP Levels'!$H$18+'Affiliate Projection'!K23*'VIP Levels'!$G$19*'VIP Levels'!$H$19</f>
        <v>11950</v>
      </c>
      <c r="L13" s="10">
        <f>'Affiliate Projection'!L19*'VIP Levels'!$G$15*'VIP Levels'!$H$15+'Affiliate Projection'!L20*'VIP Levels'!$G$16*'VIP Levels'!$H$16+'Affiliate Projection'!L21*'VIP Levels'!$G$17*'VIP Levels'!$H$17+'Affiliate Projection'!L22*'VIP Levels'!$G$18*'VIP Levels'!$H$18+'Affiliate Projection'!L23*'VIP Levels'!$G$19*'VIP Levels'!$H$19</f>
        <v>9900</v>
      </c>
      <c r="M13" s="10">
        <f>'Affiliate Projection'!M19*'VIP Levels'!$G$15*'VIP Levels'!$H$15+'Affiliate Projection'!M20*'VIP Levels'!$G$16*'VIP Levels'!$H$16+'Affiliate Projection'!M21*'VIP Levels'!$G$17*'VIP Levels'!$H$17+'Affiliate Projection'!M22*'VIP Levels'!$G$18*'VIP Levels'!$H$18+'Affiliate Projection'!M23*'VIP Levels'!$G$19*'VIP Levels'!$H$19</f>
        <v>14700</v>
      </c>
    </row>
    <row r="14" spans="1:14" x14ac:dyDescent="0.25">
      <c r="A14" s="9" t="s">
        <v>135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429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545.25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972.75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1428.75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2054.25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2736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3390.75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4090.5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4778.25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6096.75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6916.5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7901.25</v>
      </c>
    </row>
    <row r="15" spans="1:14" x14ac:dyDescent="0.25">
      <c r="A15" s="9" t="s">
        <v>136</v>
      </c>
      <c r="B15" s="10">
        <f t="shared" ref="B15:M15" si="1">B13+B14</f>
        <v>829</v>
      </c>
      <c r="C15" s="10">
        <f t="shared" si="1"/>
        <v>2645.25</v>
      </c>
      <c r="D15" s="10">
        <f t="shared" si="1"/>
        <v>4472.75</v>
      </c>
      <c r="E15" s="10">
        <f t="shared" si="1"/>
        <v>4928.75</v>
      </c>
      <c r="F15" s="10">
        <f t="shared" si="1"/>
        <v>7154.25</v>
      </c>
      <c r="G15" s="10">
        <f t="shared" si="1"/>
        <v>8286</v>
      </c>
      <c r="H15" s="10">
        <f t="shared" si="1"/>
        <v>8790.75</v>
      </c>
      <c r="I15" s="10">
        <f t="shared" si="1"/>
        <v>9740.5</v>
      </c>
      <c r="J15" s="10">
        <f t="shared" si="1"/>
        <v>10378.25</v>
      </c>
      <c r="K15" s="10">
        <f t="shared" si="1"/>
        <v>18046.75</v>
      </c>
      <c r="L15" s="10">
        <f t="shared" si="1"/>
        <v>16816.5</v>
      </c>
      <c r="M15" s="10">
        <f t="shared" si="1"/>
        <v>22601.25</v>
      </c>
    </row>
    <row r="16" spans="1:14" x14ac:dyDescent="0.25">
      <c r="A16" s="9" t="s">
        <v>137</v>
      </c>
      <c r="B16" s="11">
        <f t="shared" ref="B16:M16" si="2">B15</f>
        <v>829</v>
      </c>
      <c r="C16" s="11">
        <f t="shared" si="2"/>
        <v>2645.25</v>
      </c>
      <c r="D16" s="11">
        <f t="shared" si="2"/>
        <v>4472.75</v>
      </c>
      <c r="E16" s="11">
        <f t="shared" si="2"/>
        <v>4928.75</v>
      </c>
      <c r="F16" s="11">
        <f t="shared" si="2"/>
        <v>7154.25</v>
      </c>
      <c r="G16" s="11">
        <f t="shared" si="2"/>
        <v>8286</v>
      </c>
      <c r="H16" s="11">
        <f t="shared" si="2"/>
        <v>8790.75</v>
      </c>
      <c r="I16" s="11">
        <f t="shared" si="2"/>
        <v>9740.5</v>
      </c>
      <c r="J16" s="11">
        <f t="shared" si="2"/>
        <v>10378.25</v>
      </c>
      <c r="K16" s="11">
        <f t="shared" si="2"/>
        <v>18046.75</v>
      </c>
      <c r="L16" s="11">
        <f t="shared" si="2"/>
        <v>16816.5</v>
      </c>
      <c r="M16" s="11">
        <f t="shared" si="2"/>
        <v>22601.25</v>
      </c>
    </row>
    <row r="17" spans="1:13" ht="18.75" customHeight="1" x14ac:dyDescent="0.25">
      <c r="A17" s="9"/>
    </row>
    <row r="18" spans="1:13" ht="16.5" hidden="1" customHeight="1" x14ac:dyDescent="0.25"/>
    <row r="19" spans="1:13" hidden="1" x14ac:dyDescent="0.25"/>
    <row r="20" spans="1:13" ht="18.75" customHeight="1" x14ac:dyDescent="0.3">
      <c r="A20" s="1" t="s">
        <v>138</v>
      </c>
    </row>
    <row r="21" spans="1:13" x14ac:dyDescent="0.25">
      <c r="A21" s="9" t="s">
        <v>139</v>
      </c>
      <c r="B21" s="11">
        <f t="shared" ref="B21:M21" si="3">B10+B16</f>
        <v>2556.7798666666658</v>
      </c>
      <c r="C21" s="11">
        <f t="shared" si="3"/>
        <v>6617.7273333333333</v>
      </c>
      <c r="D21" s="11">
        <f t="shared" si="3"/>
        <v>11938.400266666667</v>
      </c>
      <c r="E21" s="11">
        <f t="shared" si="3"/>
        <v>15087.225199999999</v>
      </c>
      <c r="F21" s="11">
        <f t="shared" si="3"/>
        <v>22260.525999999998</v>
      </c>
      <c r="G21" s="11">
        <f t="shared" si="3"/>
        <v>29974.764800000004</v>
      </c>
      <c r="H21" s="11">
        <f t="shared" si="3"/>
        <v>35431.841200000003</v>
      </c>
      <c r="I21" s="11">
        <f t="shared" si="3"/>
        <v>42022.918933333334</v>
      </c>
      <c r="J21" s="11">
        <f t="shared" si="3"/>
        <v>47897.371599999999</v>
      </c>
      <c r="K21" s="11">
        <f t="shared" si="3"/>
        <v>67959.736933333348</v>
      </c>
      <c r="L21" s="11">
        <f t="shared" si="3"/>
        <v>74166.784</v>
      </c>
      <c r="M21" s="11">
        <f t="shared" si="3"/>
        <v>93066.81133333336</v>
      </c>
    </row>
    <row r="23" spans="1:13" ht="18.75" customHeight="1" x14ac:dyDescent="0.3">
      <c r="A23" s="71" t="s">
        <v>140</v>
      </c>
    </row>
    <row r="24" spans="1:13" ht="18.75" hidden="1" customHeight="1" x14ac:dyDescent="0.25">
      <c r="A24" s="72" t="s">
        <v>141</v>
      </c>
      <c r="B24" s="10">
        <f>'Affiliate Projection'!B19*'VIP Levels'!$K$15*'VIP Levels'!$L$15+'Affiliate Projection'!B20*'VIP Levels'!$K$16*'VIP Levels'!$L$16+'Affiliate Projection'!B21*'VIP Levels'!$K$17*'VIP Levels'!$L$17+'Affiliate Projection'!B22*'VIP Levels'!$K$18*'VIP Levels'!$L$18+'Affiliate Projection'!B23*'VIP Levels'!$K$19*'VIP Levels'!$L$19</f>
        <v>0</v>
      </c>
      <c r="C24" s="10">
        <f>'Affiliate Projection'!C19*'VIP Levels'!$K$15*'VIP Levels'!$L$15+'Affiliate Projection'!C20*'VIP Levels'!$K$16*'VIP Levels'!$L$16+'Affiliate Projection'!C21*'VIP Levels'!$K$17*'VIP Levels'!$L$17+'Affiliate Projection'!C22*'VIP Levels'!$K$18*'VIP Levels'!$L$18+'Affiliate Projection'!C23*'VIP Levels'!$K$19*'VIP Levels'!$L$19</f>
        <v>0</v>
      </c>
      <c r="D24" s="10">
        <f>'Affiliate Projection'!D19*'VIP Levels'!$K$15*'VIP Levels'!$L$15+'Affiliate Projection'!D20*'VIP Levels'!$K$16*'VIP Levels'!$L$16+'Affiliate Projection'!D21*'VIP Levels'!$K$17*'VIP Levels'!$L$17+'Affiliate Projection'!D22*'VIP Levels'!$K$18*'VIP Levels'!$L$18+'Affiliate Projection'!D23*'VIP Levels'!$K$19*'VIP Levels'!$L$19</f>
        <v>0</v>
      </c>
      <c r="E24" s="10">
        <f>'Affiliate Projection'!E19*'VIP Levels'!$K$15*'VIP Levels'!$L$15+'Affiliate Projection'!E20*'VIP Levels'!$K$16*'VIP Levels'!$L$16+'Affiliate Projection'!E21*'VIP Levels'!$K$17*'VIP Levels'!$L$17+'Affiliate Projection'!E22*'VIP Levels'!$K$18*'VIP Levels'!$L$18+'Affiliate Projection'!E23*'VIP Levels'!$K$19*'VIP Levels'!$L$19</f>
        <v>0</v>
      </c>
      <c r="F24" s="10">
        <f>'Affiliate Projection'!F19*'VIP Levels'!$K$15*'VIP Levels'!$L$15+'Affiliate Projection'!F20*'VIP Levels'!$K$16*'VIP Levels'!$L$16+'Affiliate Projection'!F21*'VIP Levels'!$K$17*'VIP Levels'!$L$17+'Affiliate Projection'!F22*'VIP Levels'!$K$18*'VIP Levels'!$L$18+'Affiliate Projection'!F23*'VIP Levels'!$K$19*'VIP Levels'!$L$19</f>
        <v>0</v>
      </c>
      <c r="G24" s="10">
        <f>'Affiliate Projection'!G19*'VIP Levels'!$K$15*'VIP Levels'!$L$15+'Affiliate Projection'!G20*'VIP Levels'!$K$16*'VIP Levels'!$L$16+'Affiliate Projection'!G21*'VIP Levels'!$K$17*'VIP Levels'!$L$17+'Affiliate Projection'!G22*'VIP Levels'!$K$18*'VIP Levels'!$L$18+'Affiliate Projection'!G23*'VIP Levels'!$K$19*'VIP Levels'!$L$19</f>
        <v>0</v>
      </c>
      <c r="H24" s="10">
        <f>'Affiliate Projection'!H19*'VIP Levels'!$K$15*'VIP Levels'!$L$15+'Affiliate Projection'!H20*'VIP Levels'!$K$16*'VIP Levels'!$L$16+'Affiliate Projection'!H21*'VIP Levels'!$K$17*'VIP Levels'!$L$17+'Affiliate Projection'!H22*'VIP Levels'!$K$18*'VIP Levels'!$L$18+'Affiliate Projection'!H23*'VIP Levels'!$K$19*'VIP Levels'!$L$19</f>
        <v>0</v>
      </c>
      <c r="I24" s="10">
        <f>'Affiliate Projection'!I19*'VIP Levels'!$K$15*'VIP Levels'!$L$15+'Affiliate Projection'!I20*'VIP Levels'!$K$16*'VIP Levels'!$L$16+'Affiliate Projection'!I21*'VIP Levels'!$K$17*'VIP Levels'!$L$17+'Affiliate Projection'!I22*'VIP Levels'!$K$18*'VIP Levels'!$L$18+'Affiliate Projection'!I23*'VIP Levels'!$K$19*'VIP Levels'!$L$19</f>
        <v>0</v>
      </c>
      <c r="J24" s="10">
        <f>'Affiliate Projection'!J19*'VIP Levels'!$K$15*'VIP Levels'!$L$15+'Affiliate Projection'!J20*'VIP Levels'!$K$16*'VIP Levels'!$L$16+'Affiliate Projection'!J21*'VIP Levels'!$K$17*'VIP Levels'!$L$17+'Affiliate Projection'!J22*'VIP Levels'!$K$18*'VIP Levels'!$L$18+'Affiliate Projection'!J23*'VIP Levels'!$K$19*'VIP Levels'!$L$19</f>
        <v>0</v>
      </c>
      <c r="K24" s="10">
        <f>'Affiliate Projection'!K19*'VIP Levels'!$K$15*'VIP Levels'!$L$15+'Affiliate Projection'!K20*'VIP Levels'!$K$16*'VIP Levels'!$L$16+'Affiliate Projection'!K21*'VIP Levels'!$K$17*'VIP Levels'!$L$17+'Affiliate Projection'!K22*'VIP Levels'!$K$18*'VIP Levels'!$L$18+'Affiliate Projection'!K23*'VIP Levels'!$K$19*'VIP Levels'!$L$19</f>
        <v>0</v>
      </c>
      <c r="L24" s="10">
        <f>'Affiliate Projection'!L19*'VIP Levels'!$K$15*'VIP Levels'!$L$15+'Affiliate Projection'!L20*'VIP Levels'!$K$16*'VIP Levels'!$L$16+'Affiliate Projection'!L21*'VIP Levels'!$K$17*'VIP Levels'!$L$17+'Affiliate Projection'!L22*'VIP Levels'!$K$18*'VIP Levels'!$L$18+'Affiliate Projection'!L23*'VIP Levels'!$K$19*'VIP Levels'!$L$19</f>
        <v>0</v>
      </c>
      <c r="M24" s="10">
        <f>'Affiliate Projection'!M19*'VIP Levels'!$K$15*'VIP Levels'!$L$15+'Affiliate Projection'!M20*'VIP Levels'!$K$16*'VIP Levels'!$L$16+'Affiliate Projection'!M21*'VIP Levels'!$K$17*'VIP Levels'!$L$17+'Affiliate Projection'!M22*'VIP Levels'!$K$18*'VIP Levels'!$L$18+'Affiliate Projection'!M23*'VIP Levels'!$K$19*'VIP Levels'!$L$19</f>
        <v>0</v>
      </c>
    </row>
    <row r="25" spans="1:13" ht="18.75" hidden="1" customHeight="1" x14ac:dyDescent="0.25">
      <c r="A25" s="72" t="s">
        <v>142</v>
      </c>
      <c r="B25" s="10">
        <f>SUMPRODUCT((Missions!$F$5:$F$26="Spark Ads")*(Missions!$A$5:$A$26="Bronze")*(Missions!$D$5:$D$26="One-time")*'Affiliate Projection'!B19*Missions!$E$5:$E$26*Missions!$J$5:$J$26)+SUMPRODUCT((Missions!$F$5:$F$26="Spark Ads")*(Missions!$A$5:$A$26="Bronze")*(Missions!$D$5:$D$26&lt;&gt;"One-time")*'Affiliate Projection'!B13*Missions!$E$5:$E$26*Missions!$J$5:$J$26)+SUMPRODUCT((Missions!$F$5:$F$26="Spark Ads")*(Missions!$A$5:$A$26="Silver")*(Missions!$D$5:$D$26="One-time")*'Affiliate Projection'!B20*Missions!$E$5:$E$26*Missions!$J$5:$J$26)+SUMPRODUCT((Missions!$F$5:$F$26="Spark Ads")*(Missions!$A$5:$A$26="Silver")*(Missions!$D$5:$D$26&lt;&gt;"One-time")*'Affiliate Projection'!B14*Missions!$E$5:$E$26*Missions!$J$5:$J$26)+SUMPRODUCT((Missions!$F$5:$F$26="Spark Ads")*(Missions!$A$5:$A$26="Gold")*(Missions!$D$5:$D$26="One-time")*'Affiliate Projection'!B21*Missions!$E$5:$E$26*Missions!$J$5:$J$26)+SUMPRODUCT((Missions!$F$5:$F$26="Spark Ads")*(Missions!$A$5:$A$26="Gold")*(Missions!$D$5:$D$26&lt;&gt;"One-time")*'Affiliate Projection'!B15*Missions!$E$5:$E$26*Missions!$J$5:$J$26)+SUMPRODUCT((Missions!$F$5:$F$26="Spark Ads")*(Missions!$A$5:$A$26="Platinum")*(Missions!$D$5:$D$26="One-time")*'Affiliate Projection'!B22*Missions!$E$5:$E$26*Missions!$J$5:$J$26)+SUMPRODUCT((Missions!$F$5:$F$26="Spark Ads")*(Missions!$A$5:$A$26="Platinum")*(Missions!$D$5:$D$26&lt;&gt;"One-time")*'Affiliate Projection'!B16*Missions!$E$5:$E$26*Missions!$J$5:$J$26)+SUMPRODUCT((Missions!$F$5:$F$26="Spark Ads")*(Missions!$A$5:$A$26="Diamond")*(Missions!$D$5:$D$26="One-time")*'Affiliate Projection'!B23*Missions!$E$5:$E$26*Missions!$J$5:$J$26)+SUMPRODUCT((Missions!$F$5:$F$26="Spark Ads")*(Missions!$A$5:$A$26="Diamond")*(Missions!$D$5:$D$26&lt;&gt;"One-time")*'Affiliate Projection'!B17*Missions!$E$5:$E$26*Missions!$J$5:$J$26)</f>
        <v>0</v>
      </c>
      <c r="C25" s="10">
        <f>SUMPRODUCT((Missions!$F$5:$F$26="Spark Ads")*(Missions!$A$5:$A$26="Bronze")*(Missions!$D$5:$D$26="One-time")*'Affiliate Projection'!C19*Missions!$E$5:$E$26*Missions!$J$5:$J$26)+SUMPRODUCT((Missions!$F$5:$F$26="Spark Ads")*(Missions!$A$5:$A$26="Bronze")*(Missions!$D$5:$D$26&lt;&gt;"One-time")*'Affiliate Projection'!C13*Missions!$E$5:$E$26*Missions!$J$5:$J$26)+SUMPRODUCT((Missions!$F$5:$F$26="Spark Ads")*(Missions!$A$5:$A$26="Silver")*(Missions!$D$5:$D$26="One-time")*'Affiliate Projection'!C20*Missions!$E$5:$E$26*Missions!$J$5:$J$26)+SUMPRODUCT((Missions!$F$5:$F$26="Spark Ads")*(Missions!$A$5:$A$26="Silver")*(Missions!$D$5:$D$26&lt;&gt;"One-time")*'Affiliate Projection'!C14*Missions!$E$5:$E$26*Missions!$J$5:$J$26)+SUMPRODUCT((Missions!$F$5:$F$26="Spark Ads")*(Missions!$A$5:$A$26="Gold")*(Missions!$D$5:$D$26="One-time")*'Affiliate Projection'!C21*Missions!$E$5:$E$26*Missions!$J$5:$J$26)+SUMPRODUCT((Missions!$F$5:$F$26="Spark Ads")*(Missions!$A$5:$A$26="Gold")*(Missions!$D$5:$D$26&lt;&gt;"One-time")*'Affiliate Projection'!C15*Missions!$E$5:$E$26*Missions!$J$5:$J$26)+SUMPRODUCT((Missions!$F$5:$F$26="Spark Ads")*(Missions!$A$5:$A$26="Platinum")*(Missions!$D$5:$D$26="One-time")*'Affiliate Projection'!C22*Missions!$E$5:$E$26*Missions!$J$5:$J$26)+SUMPRODUCT((Missions!$F$5:$F$26="Spark Ads")*(Missions!$A$5:$A$26="Platinum")*(Missions!$D$5:$D$26&lt;&gt;"One-time")*'Affiliate Projection'!C16*Missions!$E$5:$E$26*Missions!$J$5:$J$26)+SUMPRODUCT((Missions!$F$5:$F$26="Spark Ads")*(Missions!$A$5:$A$26="Diamond")*(Missions!$D$5:$D$26="One-time")*'Affiliate Projection'!C23*Missions!$E$5:$E$26*Missions!$J$5:$J$26)+SUMPRODUCT((Missions!$F$5:$F$26="Spark Ads")*(Missions!$A$5:$A$26="Diamond")*(Missions!$D$5:$D$26&lt;&gt;"One-time")*'Affiliate Projection'!C17*Missions!$E$5:$E$26*Missions!$J$5:$J$26)</f>
        <v>0</v>
      </c>
      <c r="D25" s="10">
        <f>SUMPRODUCT((Missions!$F$5:$F$26="Spark Ads")*(Missions!$A$5:$A$26="Bronze")*(Missions!$D$5:$D$26="One-time")*'Affiliate Projection'!D19*Missions!$E$5:$E$26*Missions!$J$5:$J$26)+SUMPRODUCT((Missions!$F$5:$F$26="Spark Ads")*(Missions!$A$5:$A$26="Bronze")*(Missions!$D$5:$D$26&lt;&gt;"One-time")*'Affiliate Projection'!D13*Missions!$E$5:$E$26*Missions!$J$5:$J$26)+SUMPRODUCT((Missions!$F$5:$F$26="Spark Ads")*(Missions!$A$5:$A$26="Silver")*(Missions!$D$5:$D$26="One-time")*'Affiliate Projection'!D20*Missions!$E$5:$E$26*Missions!$J$5:$J$26)+SUMPRODUCT((Missions!$F$5:$F$26="Spark Ads")*(Missions!$A$5:$A$26="Silver")*(Missions!$D$5:$D$26&lt;&gt;"One-time")*'Affiliate Projection'!D14*Missions!$E$5:$E$26*Missions!$J$5:$J$26)+SUMPRODUCT((Missions!$F$5:$F$26="Spark Ads")*(Missions!$A$5:$A$26="Gold")*(Missions!$D$5:$D$26="One-time")*'Affiliate Projection'!D21*Missions!$E$5:$E$26*Missions!$J$5:$J$26)+SUMPRODUCT((Missions!$F$5:$F$26="Spark Ads")*(Missions!$A$5:$A$26="Gold")*(Missions!$D$5:$D$26&lt;&gt;"One-time")*'Affiliate Projection'!D15*Missions!$E$5:$E$26*Missions!$J$5:$J$26)+SUMPRODUCT((Missions!$F$5:$F$26="Spark Ads")*(Missions!$A$5:$A$26="Platinum")*(Missions!$D$5:$D$26="One-time")*'Affiliate Projection'!D22*Missions!$E$5:$E$26*Missions!$J$5:$J$26)+SUMPRODUCT((Missions!$F$5:$F$26="Spark Ads")*(Missions!$A$5:$A$26="Platinum")*(Missions!$D$5:$D$26&lt;&gt;"One-time")*'Affiliate Projection'!D16*Missions!$E$5:$E$26*Missions!$J$5:$J$26)+SUMPRODUCT((Missions!$F$5:$F$26="Spark Ads")*(Missions!$A$5:$A$26="Diamond")*(Missions!$D$5:$D$26="One-time")*'Affiliate Projection'!D23*Missions!$E$5:$E$26*Missions!$J$5:$J$26)+SUMPRODUCT((Missions!$F$5:$F$26="Spark Ads")*(Missions!$A$5:$A$26="Diamond")*(Missions!$D$5:$D$26&lt;&gt;"One-time")*'Affiliate Projection'!D17*Missions!$E$5:$E$26*Missions!$J$5:$J$26)</f>
        <v>0</v>
      </c>
      <c r="E25" s="10">
        <f>SUMPRODUCT((Missions!$F$5:$F$26="Spark Ads")*(Missions!$A$5:$A$26="Bronze")*(Missions!$D$5:$D$26="One-time")*'Affiliate Projection'!E19*Missions!$E$5:$E$26*Missions!$J$5:$J$26)+SUMPRODUCT((Missions!$F$5:$F$26="Spark Ads")*(Missions!$A$5:$A$26="Bronze")*(Missions!$D$5:$D$26&lt;&gt;"One-time")*'Affiliate Projection'!E13*Missions!$E$5:$E$26*Missions!$J$5:$J$26)+SUMPRODUCT((Missions!$F$5:$F$26="Spark Ads")*(Missions!$A$5:$A$26="Silver")*(Missions!$D$5:$D$26="One-time")*'Affiliate Projection'!E20*Missions!$E$5:$E$26*Missions!$J$5:$J$26)+SUMPRODUCT((Missions!$F$5:$F$26="Spark Ads")*(Missions!$A$5:$A$26="Silver")*(Missions!$D$5:$D$26&lt;&gt;"One-time")*'Affiliate Projection'!E14*Missions!$E$5:$E$26*Missions!$J$5:$J$26)+SUMPRODUCT((Missions!$F$5:$F$26="Spark Ads")*(Missions!$A$5:$A$26="Gold")*(Missions!$D$5:$D$26="One-time")*'Affiliate Projection'!E21*Missions!$E$5:$E$26*Missions!$J$5:$J$26)+SUMPRODUCT((Missions!$F$5:$F$26="Spark Ads")*(Missions!$A$5:$A$26="Gold")*(Missions!$D$5:$D$26&lt;&gt;"One-time")*'Affiliate Projection'!E15*Missions!$E$5:$E$26*Missions!$J$5:$J$26)+SUMPRODUCT((Missions!$F$5:$F$26="Spark Ads")*(Missions!$A$5:$A$26="Platinum")*(Missions!$D$5:$D$26="One-time")*'Affiliate Projection'!E22*Missions!$E$5:$E$26*Missions!$J$5:$J$26)+SUMPRODUCT((Missions!$F$5:$F$26="Spark Ads")*(Missions!$A$5:$A$26="Platinum")*(Missions!$D$5:$D$26&lt;&gt;"One-time")*'Affiliate Projection'!E16*Missions!$E$5:$E$26*Missions!$J$5:$J$26)+SUMPRODUCT((Missions!$F$5:$F$26="Spark Ads")*(Missions!$A$5:$A$26="Diamond")*(Missions!$D$5:$D$26="One-time")*'Affiliate Projection'!E23*Missions!$E$5:$E$26*Missions!$J$5:$J$26)+SUMPRODUCT((Missions!$F$5:$F$26="Spark Ads")*(Missions!$A$5:$A$26="Diamond")*(Missions!$D$5:$D$26&lt;&gt;"One-time")*'Affiliate Projection'!E17*Missions!$E$5:$E$26*Missions!$J$5:$J$26)</f>
        <v>0</v>
      </c>
      <c r="F25" s="10">
        <f>SUMPRODUCT((Missions!$F$5:$F$26="Spark Ads")*(Missions!$A$5:$A$26="Bronze")*(Missions!$D$5:$D$26="One-time")*'Affiliate Projection'!F19*Missions!$E$5:$E$26*Missions!$J$5:$J$26)+SUMPRODUCT((Missions!$F$5:$F$26="Spark Ads")*(Missions!$A$5:$A$26="Bronze")*(Missions!$D$5:$D$26&lt;&gt;"One-time")*'Affiliate Projection'!F13*Missions!$E$5:$E$26*Missions!$J$5:$J$26)+SUMPRODUCT((Missions!$F$5:$F$26="Spark Ads")*(Missions!$A$5:$A$26="Silver")*(Missions!$D$5:$D$26="One-time")*'Affiliate Projection'!F20*Missions!$E$5:$E$26*Missions!$J$5:$J$26)+SUMPRODUCT((Missions!$F$5:$F$26="Spark Ads")*(Missions!$A$5:$A$26="Silver")*(Missions!$D$5:$D$26&lt;&gt;"One-time")*'Affiliate Projection'!F14*Missions!$E$5:$E$26*Missions!$J$5:$J$26)+SUMPRODUCT((Missions!$F$5:$F$26="Spark Ads")*(Missions!$A$5:$A$26="Gold")*(Missions!$D$5:$D$26="One-time")*'Affiliate Projection'!F21*Missions!$E$5:$E$26*Missions!$J$5:$J$26)+SUMPRODUCT((Missions!$F$5:$F$26="Spark Ads")*(Missions!$A$5:$A$26="Gold")*(Missions!$D$5:$D$26&lt;&gt;"One-time")*'Affiliate Projection'!F15*Missions!$E$5:$E$26*Missions!$J$5:$J$26)+SUMPRODUCT((Missions!$F$5:$F$26="Spark Ads")*(Missions!$A$5:$A$26="Platinum")*(Missions!$D$5:$D$26="One-time")*'Affiliate Projection'!F22*Missions!$E$5:$E$26*Missions!$J$5:$J$26)+SUMPRODUCT((Missions!$F$5:$F$26="Spark Ads")*(Missions!$A$5:$A$26="Platinum")*(Missions!$D$5:$D$26&lt;&gt;"One-time")*'Affiliate Projection'!F16*Missions!$E$5:$E$26*Missions!$J$5:$J$26)+SUMPRODUCT((Missions!$F$5:$F$26="Spark Ads")*(Missions!$A$5:$A$26="Diamond")*(Missions!$D$5:$D$26="One-time")*'Affiliate Projection'!F23*Missions!$E$5:$E$26*Missions!$J$5:$J$26)+SUMPRODUCT((Missions!$F$5:$F$26="Spark Ads")*(Missions!$A$5:$A$26="Diamond")*(Missions!$D$5:$D$26&lt;&gt;"One-time")*'Affiliate Projection'!F17*Missions!$E$5:$E$26*Missions!$J$5:$J$26)</f>
        <v>0</v>
      </c>
      <c r="G25" s="10">
        <f>SUMPRODUCT((Missions!$F$5:$F$26="Spark Ads")*(Missions!$A$5:$A$26="Bronze")*(Missions!$D$5:$D$26="One-time")*'Affiliate Projection'!G19*Missions!$E$5:$E$26*Missions!$J$5:$J$26)+SUMPRODUCT((Missions!$F$5:$F$26="Spark Ads")*(Missions!$A$5:$A$26="Bronze")*(Missions!$D$5:$D$26&lt;&gt;"One-time")*'Affiliate Projection'!G13*Missions!$E$5:$E$26*Missions!$J$5:$J$26)+SUMPRODUCT((Missions!$F$5:$F$26="Spark Ads")*(Missions!$A$5:$A$26="Silver")*(Missions!$D$5:$D$26="One-time")*'Affiliate Projection'!G20*Missions!$E$5:$E$26*Missions!$J$5:$J$26)+SUMPRODUCT((Missions!$F$5:$F$26="Spark Ads")*(Missions!$A$5:$A$26="Silver")*(Missions!$D$5:$D$26&lt;&gt;"One-time")*'Affiliate Projection'!G14*Missions!$E$5:$E$26*Missions!$J$5:$J$26)+SUMPRODUCT((Missions!$F$5:$F$26="Spark Ads")*(Missions!$A$5:$A$26="Gold")*(Missions!$D$5:$D$26="One-time")*'Affiliate Projection'!G21*Missions!$E$5:$E$26*Missions!$J$5:$J$26)+SUMPRODUCT((Missions!$F$5:$F$26="Spark Ads")*(Missions!$A$5:$A$26="Gold")*(Missions!$D$5:$D$26&lt;&gt;"One-time")*'Affiliate Projection'!G15*Missions!$E$5:$E$26*Missions!$J$5:$J$26)+SUMPRODUCT((Missions!$F$5:$F$26="Spark Ads")*(Missions!$A$5:$A$26="Platinum")*(Missions!$D$5:$D$26="One-time")*'Affiliate Projection'!G22*Missions!$E$5:$E$26*Missions!$J$5:$J$26)+SUMPRODUCT((Missions!$F$5:$F$26="Spark Ads")*(Missions!$A$5:$A$26="Platinum")*(Missions!$D$5:$D$26&lt;&gt;"One-time")*'Affiliate Projection'!G16*Missions!$E$5:$E$26*Missions!$J$5:$J$26)+SUMPRODUCT((Missions!$F$5:$F$26="Spark Ads")*(Missions!$A$5:$A$26="Diamond")*(Missions!$D$5:$D$26="One-time")*'Affiliate Projection'!G23*Missions!$E$5:$E$26*Missions!$J$5:$J$26)+SUMPRODUCT((Missions!$F$5:$F$26="Spark Ads")*(Missions!$A$5:$A$26="Diamond")*(Missions!$D$5:$D$26&lt;&gt;"One-time")*'Affiliate Projection'!G17*Missions!$E$5:$E$26*Missions!$J$5:$J$26)</f>
        <v>0</v>
      </c>
      <c r="H25" s="10">
        <f>SUMPRODUCT((Missions!$F$5:$F$26="Spark Ads")*(Missions!$A$5:$A$26="Bronze")*(Missions!$D$5:$D$26="One-time")*'Affiliate Projection'!H19*Missions!$E$5:$E$26*Missions!$J$5:$J$26)+SUMPRODUCT((Missions!$F$5:$F$26="Spark Ads")*(Missions!$A$5:$A$26="Bronze")*(Missions!$D$5:$D$26&lt;&gt;"One-time")*'Affiliate Projection'!H13*Missions!$E$5:$E$26*Missions!$J$5:$J$26)+SUMPRODUCT((Missions!$F$5:$F$26="Spark Ads")*(Missions!$A$5:$A$26="Silver")*(Missions!$D$5:$D$26="One-time")*'Affiliate Projection'!H20*Missions!$E$5:$E$26*Missions!$J$5:$J$26)+SUMPRODUCT((Missions!$F$5:$F$26="Spark Ads")*(Missions!$A$5:$A$26="Silver")*(Missions!$D$5:$D$26&lt;&gt;"One-time")*'Affiliate Projection'!H14*Missions!$E$5:$E$26*Missions!$J$5:$J$26)+SUMPRODUCT((Missions!$F$5:$F$26="Spark Ads")*(Missions!$A$5:$A$26="Gold")*(Missions!$D$5:$D$26="One-time")*'Affiliate Projection'!H21*Missions!$E$5:$E$26*Missions!$J$5:$J$26)+SUMPRODUCT((Missions!$F$5:$F$26="Spark Ads")*(Missions!$A$5:$A$26="Gold")*(Missions!$D$5:$D$26&lt;&gt;"One-time")*'Affiliate Projection'!H15*Missions!$E$5:$E$26*Missions!$J$5:$J$26)+SUMPRODUCT((Missions!$F$5:$F$26="Spark Ads")*(Missions!$A$5:$A$26="Platinum")*(Missions!$D$5:$D$26="One-time")*'Affiliate Projection'!H22*Missions!$E$5:$E$26*Missions!$J$5:$J$26)+SUMPRODUCT((Missions!$F$5:$F$26="Spark Ads")*(Missions!$A$5:$A$26="Platinum")*(Missions!$D$5:$D$26&lt;&gt;"One-time")*'Affiliate Projection'!H16*Missions!$E$5:$E$26*Missions!$J$5:$J$26)+SUMPRODUCT((Missions!$F$5:$F$26="Spark Ads")*(Missions!$A$5:$A$26="Diamond")*(Missions!$D$5:$D$26="One-time")*'Affiliate Projection'!H23*Missions!$E$5:$E$26*Missions!$J$5:$J$26)+SUMPRODUCT((Missions!$F$5:$F$26="Spark Ads")*(Missions!$A$5:$A$26="Diamond")*(Missions!$D$5:$D$26&lt;&gt;"One-time")*'Affiliate Projection'!H17*Missions!$E$5:$E$26*Missions!$J$5:$J$26)</f>
        <v>0</v>
      </c>
      <c r="I25" s="10">
        <f>SUMPRODUCT((Missions!$F$5:$F$26="Spark Ads")*(Missions!$A$5:$A$26="Bronze")*(Missions!$D$5:$D$26="One-time")*'Affiliate Projection'!I19*Missions!$E$5:$E$26*Missions!$J$5:$J$26)+SUMPRODUCT((Missions!$F$5:$F$26="Spark Ads")*(Missions!$A$5:$A$26="Bronze")*(Missions!$D$5:$D$26&lt;&gt;"One-time")*'Affiliate Projection'!I13*Missions!$E$5:$E$26*Missions!$J$5:$J$26)+SUMPRODUCT((Missions!$F$5:$F$26="Spark Ads")*(Missions!$A$5:$A$26="Silver")*(Missions!$D$5:$D$26="One-time")*'Affiliate Projection'!I20*Missions!$E$5:$E$26*Missions!$J$5:$J$26)+SUMPRODUCT((Missions!$F$5:$F$26="Spark Ads")*(Missions!$A$5:$A$26="Silver")*(Missions!$D$5:$D$26&lt;&gt;"One-time")*'Affiliate Projection'!I14*Missions!$E$5:$E$26*Missions!$J$5:$J$26)+SUMPRODUCT((Missions!$F$5:$F$26="Spark Ads")*(Missions!$A$5:$A$26="Gold")*(Missions!$D$5:$D$26="One-time")*'Affiliate Projection'!I21*Missions!$E$5:$E$26*Missions!$J$5:$J$26)+SUMPRODUCT((Missions!$F$5:$F$26="Spark Ads")*(Missions!$A$5:$A$26="Gold")*(Missions!$D$5:$D$26&lt;&gt;"One-time")*'Affiliate Projection'!I15*Missions!$E$5:$E$26*Missions!$J$5:$J$26)+SUMPRODUCT((Missions!$F$5:$F$26="Spark Ads")*(Missions!$A$5:$A$26="Platinum")*(Missions!$D$5:$D$26="One-time")*'Affiliate Projection'!I22*Missions!$E$5:$E$26*Missions!$J$5:$J$26)+SUMPRODUCT((Missions!$F$5:$F$26="Spark Ads")*(Missions!$A$5:$A$26="Platinum")*(Missions!$D$5:$D$26&lt;&gt;"One-time")*'Affiliate Projection'!I16*Missions!$E$5:$E$26*Missions!$J$5:$J$26)+SUMPRODUCT((Missions!$F$5:$F$26="Spark Ads")*(Missions!$A$5:$A$26="Diamond")*(Missions!$D$5:$D$26="One-time")*'Affiliate Projection'!I23*Missions!$E$5:$E$26*Missions!$J$5:$J$26)+SUMPRODUCT((Missions!$F$5:$F$26="Spark Ads")*(Missions!$A$5:$A$26="Diamond")*(Missions!$D$5:$D$26&lt;&gt;"One-time")*'Affiliate Projection'!I17*Missions!$E$5:$E$26*Missions!$J$5:$J$26)</f>
        <v>0</v>
      </c>
      <c r="J25" s="10">
        <f>SUMPRODUCT((Missions!$F$5:$F$26="Spark Ads")*(Missions!$A$5:$A$26="Bronze")*(Missions!$D$5:$D$26="One-time")*'Affiliate Projection'!J19*Missions!$E$5:$E$26*Missions!$J$5:$J$26)+SUMPRODUCT((Missions!$F$5:$F$26="Spark Ads")*(Missions!$A$5:$A$26="Bronze")*(Missions!$D$5:$D$26&lt;&gt;"One-time")*'Affiliate Projection'!J13*Missions!$E$5:$E$26*Missions!$J$5:$J$26)+SUMPRODUCT((Missions!$F$5:$F$26="Spark Ads")*(Missions!$A$5:$A$26="Silver")*(Missions!$D$5:$D$26="One-time")*'Affiliate Projection'!J20*Missions!$E$5:$E$26*Missions!$J$5:$J$26)+SUMPRODUCT((Missions!$F$5:$F$26="Spark Ads")*(Missions!$A$5:$A$26="Silver")*(Missions!$D$5:$D$26&lt;&gt;"One-time")*'Affiliate Projection'!J14*Missions!$E$5:$E$26*Missions!$J$5:$J$26)+SUMPRODUCT((Missions!$F$5:$F$26="Spark Ads")*(Missions!$A$5:$A$26="Gold")*(Missions!$D$5:$D$26="One-time")*'Affiliate Projection'!J21*Missions!$E$5:$E$26*Missions!$J$5:$J$26)+SUMPRODUCT((Missions!$F$5:$F$26="Spark Ads")*(Missions!$A$5:$A$26="Gold")*(Missions!$D$5:$D$26&lt;&gt;"One-time")*'Affiliate Projection'!J15*Missions!$E$5:$E$26*Missions!$J$5:$J$26)+SUMPRODUCT((Missions!$F$5:$F$26="Spark Ads")*(Missions!$A$5:$A$26="Platinum")*(Missions!$D$5:$D$26="One-time")*'Affiliate Projection'!J22*Missions!$E$5:$E$26*Missions!$J$5:$J$26)+SUMPRODUCT((Missions!$F$5:$F$26="Spark Ads")*(Missions!$A$5:$A$26="Platinum")*(Missions!$D$5:$D$26&lt;&gt;"One-time")*'Affiliate Projection'!J16*Missions!$E$5:$E$26*Missions!$J$5:$J$26)+SUMPRODUCT((Missions!$F$5:$F$26="Spark Ads")*(Missions!$A$5:$A$26="Diamond")*(Missions!$D$5:$D$26="One-time")*'Affiliate Projection'!J23*Missions!$E$5:$E$26*Missions!$J$5:$J$26)+SUMPRODUCT((Missions!$F$5:$F$26="Spark Ads")*(Missions!$A$5:$A$26="Diamond")*(Missions!$D$5:$D$26&lt;&gt;"One-time")*'Affiliate Projection'!J17*Missions!$E$5:$E$26*Missions!$J$5:$J$26)</f>
        <v>0</v>
      </c>
      <c r="K25" s="10">
        <f>SUMPRODUCT((Missions!$F$5:$F$26="Spark Ads")*(Missions!$A$5:$A$26="Bronze")*(Missions!$D$5:$D$26="One-time")*'Affiliate Projection'!K19*Missions!$E$5:$E$26*Missions!$J$5:$J$26)+SUMPRODUCT((Missions!$F$5:$F$26="Spark Ads")*(Missions!$A$5:$A$26="Bronze")*(Missions!$D$5:$D$26&lt;&gt;"One-time")*'Affiliate Projection'!K13*Missions!$E$5:$E$26*Missions!$J$5:$J$26)+SUMPRODUCT((Missions!$F$5:$F$26="Spark Ads")*(Missions!$A$5:$A$26="Silver")*(Missions!$D$5:$D$26="One-time")*'Affiliate Projection'!K20*Missions!$E$5:$E$26*Missions!$J$5:$J$26)+SUMPRODUCT((Missions!$F$5:$F$26="Spark Ads")*(Missions!$A$5:$A$26="Silver")*(Missions!$D$5:$D$26&lt;&gt;"One-time")*'Affiliate Projection'!K14*Missions!$E$5:$E$26*Missions!$J$5:$J$26)+SUMPRODUCT((Missions!$F$5:$F$26="Spark Ads")*(Missions!$A$5:$A$26="Gold")*(Missions!$D$5:$D$26="One-time")*'Affiliate Projection'!K21*Missions!$E$5:$E$26*Missions!$J$5:$J$26)+SUMPRODUCT((Missions!$F$5:$F$26="Spark Ads")*(Missions!$A$5:$A$26="Gold")*(Missions!$D$5:$D$26&lt;&gt;"One-time")*'Affiliate Projection'!K15*Missions!$E$5:$E$26*Missions!$J$5:$J$26)+SUMPRODUCT((Missions!$F$5:$F$26="Spark Ads")*(Missions!$A$5:$A$26="Platinum")*(Missions!$D$5:$D$26="One-time")*'Affiliate Projection'!K22*Missions!$E$5:$E$26*Missions!$J$5:$J$26)+SUMPRODUCT((Missions!$F$5:$F$26="Spark Ads")*(Missions!$A$5:$A$26="Platinum")*(Missions!$D$5:$D$26&lt;&gt;"One-time")*'Affiliate Projection'!K16*Missions!$E$5:$E$26*Missions!$J$5:$J$26)+SUMPRODUCT((Missions!$F$5:$F$26="Spark Ads")*(Missions!$A$5:$A$26="Diamond")*(Missions!$D$5:$D$26="One-time")*'Affiliate Projection'!K23*Missions!$E$5:$E$26*Missions!$J$5:$J$26)+SUMPRODUCT((Missions!$F$5:$F$26="Spark Ads")*(Missions!$A$5:$A$26="Diamond")*(Missions!$D$5:$D$26&lt;&gt;"One-time")*'Affiliate Projection'!K17*Missions!$E$5:$E$26*Missions!$J$5:$J$26)</f>
        <v>0</v>
      </c>
      <c r="L25" s="10">
        <f>SUMPRODUCT((Missions!$F$5:$F$26="Spark Ads")*(Missions!$A$5:$A$26="Bronze")*(Missions!$D$5:$D$26="One-time")*'Affiliate Projection'!L19*Missions!$E$5:$E$26*Missions!$J$5:$J$26)+SUMPRODUCT((Missions!$F$5:$F$26="Spark Ads")*(Missions!$A$5:$A$26="Bronze")*(Missions!$D$5:$D$26&lt;&gt;"One-time")*'Affiliate Projection'!L13*Missions!$E$5:$E$26*Missions!$J$5:$J$26)+SUMPRODUCT((Missions!$F$5:$F$26="Spark Ads")*(Missions!$A$5:$A$26="Silver")*(Missions!$D$5:$D$26="One-time")*'Affiliate Projection'!L20*Missions!$E$5:$E$26*Missions!$J$5:$J$26)+SUMPRODUCT((Missions!$F$5:$F$26="Spark Ads")*(Missions!$A$5:$A$26="Silver")*(Missions!$D$5:$D$26&lt;&gt;"One-time")*'Affiliate Projection'!L14*Missions!$E$5:$E$26*Missions!$J$5:$J$26)+SUMPRODUCT((Missions!$F$5:$F$26="Spark Ads")*(Missions!$A$5:$A$26="Gold")*(Missions!$D$5:$D$26="One-time")*'Affiliate Projection'!L21*Missions!$E$5:$E$26*Missions!$J$5:$J$26)+SUMPRODUCT((Missions!$F$5:$F$26="Spark Ads")*(Missions!$A$5:$A$26="Gold")*(Missions!$D$5:$D$26&lt;&gt;"One-time")*'Affiliate Projection'!L15*Missions!$E$5:$E$26*Missions!$J$5:$J$26)+SUMPRODUCT((Missions!$F$5:$F$26="Spark Ads")*(Missions!$A$5:$A$26="Platinum")*(Missions!$D$5:$D$26="One-time")*'Affiliate Projection'!L22*Missions!$E$5:$E$26*Missions!$J$5:$J$26)+SUMPRODUCT((Missions!$F$5:$F$26="Spark Ads")*(Missions!$A$5:$A$26="Platinum")*(Missions!$D$5:$D$26&lt;&gt;"One-time")*'Affiliate Projection'!L16*Missions!$E$5:$E$26*Missions!$J$5:$J$26)+SUMPRODUCT((Missions!$F$5:$F$26="Spark Ads")*(Missions!$A$5:$A$26="Diamond")*(Missions!$D$5:$D$26="One-time")*'Affiliate Projection'!L23*Missions!$E$5:$E$26*Missions!$J$5:$J$26)+SUMPRODUCT((Missions!$F$5:$F$26="Spark Ads")*(Missions!$A$5:$A$26="Diamond")*(Missions!$D$5:$D$26&lt;&gt;"One-time")*'Affiliate Projection'!L17*Missions!$E$5:$E$26*Missions!$J$5:$J$26)</f>
        <v>0</v>
      </c>
      <c r="M25" s="10">
        <f>SUMPRODUCT((Missions!$F$5:$F$26="Spark Ads")*(Missions!$A$5:$A$26="Bronze")*(Missions!$D$5:$D$26="One-time")*'Affiliate Projection'!M19*Missions!$E$5:$E$26*Missions!$J$5:$J$26)+SUMPRODUCT((Missions!$F$5:$F$26="Spark Ads")*(Missions!$A$5:$A$26="Bronze")*(Missions!$D$5:$D$26&lt;&gt;"One-time")*'Affiliate Projection'!M13*Missions!$E$5:$E$26*Missions!$J$5:$J$26)+SUMPRODUCT((Missions!$F$5:$F$26="Spark Ads")*(Missions!$A$5:$A$26="Silver")*(Missions!$D$5:$D$26="One-time")*'Affiliate Projection'!M20*Missions!$E$5:$E$26*Missions!$J$5:$J$26)+SUMPRODUCT((Missions!$F$5:$F$26="Spark Ads")*(Missions!$A$5:$A$26="Silver")*(Missions!$D$5:$D$26&lt;&gt;"One-time")*'Affiliate Projection'!M14*Missions!$E$5:$E$26*Missions!$J$5:$J$26)+SUMPRODUCT((Missions!$F$5:$F$26="Spark Ads")*(Missions!$A$5:$A$26="Gold")*(Missions!$D$5:$D$26="One-time")*'Affiliate Projection'!M21*Missions!$E$5:$E$26*Missions!$J$5:$J$26)+SUMPRODUCT((Missions!$F$5:$F$26="Spark Ads")*(Missions!$A$5:$A$26="Gold")*(Missions!$D$5:$D$26&lt;&gt;"One-time")*'Affiliate Projection'!M15*Missions!$E$5:$E$26*Missions!$J$5:$J$26)+SUMPRODUCT((Missions!$F$5:$F$26="Spark Ads")*(Missions!$A$5:$A$26="Platinum")*(Missions!$D$5:$D$26="One-time")*'Affiliate Projection'!M22*Missions!$E$5:$E$26*Missions!$J$5:$J$26)+SUMPRODUCT((Missions!$F$5:$F$26="Spark Ads")*(Missions!$A$5:$A$26="Platinum")*(Missions!$D$5:$D$26&lt;&gt;"One-time")*'Affiliate Projection'!M16*Missions!$E$5:$E$26*Missions!$J$5:$J$26)+SUMPRODUCT((Missions!$F$5:$F$26="Spark Ads")*(Missions!$A$5:$A$26="Diamond")*(Missions!$D$5:$D$26="One-time")*'Affiliate Projection'!M23*Missions!$E$5:$E$26*Missions!$J$5:$J$26)+SUMPRODUCT((Missions!$F$5:$F$26="Spark Ads")*(Missions!$A$5:$A$26="Diamond")*(Missions!$D$5:$D$26&lt;&gt;"One-time")*'Affiliate Projection'!M17*Missions!$E$5:$E$26*Missions!$J$5:$J$26)</f>
        <v>0</v>
      </c>
    </row>
    <row r="26" spans="1:13" hidden="1" x14ac:dyDescent="0.25">
      <c r="A26" s="72" t="s">
        <v>143</v>
      </c>
      <c r="B26" s="10">
        <f>'Affiliate Projection'!B19*'VIP Levels'!$G$23*'VIP Levels'!$H$23+'Affiliate Projection'!B20*'VIP Levels'!$G$24*'VIP Levels'!$H$24+'Affiliate Projection'!B21*'VIP Levels'!$G$25*'VIP Levels'!$H$25+'Affiliate Projection'!B22*'VIP Levels'!$G$26*'VIP Levels'!$H$26+'Affiliate Projection'!B23*'VIP Levels'!$G$27*'VIP Levels'!$H$27</f>
        <v>0</v>
      </c>
      <c r="C26" s="10">
        <f>'Affiliate Projection'!C19*'VIP Levels'!$G$23*'VIP Levels'!$H$23+'Affiliate Projection'!C20*'VIP Levels'!$G$24*'VIP Levels'!$H$24+'Affiliate Projection'!C21*'VIP Levels'!$G$25*'VIP Levels'!$H$25+'Affiliate Projection'!C22*'VIP Levels'!$G$26*'VIP Levels'!$H$26+'Affiliate Projection'!C23*'VIP Levels'!$G$27*'VIP Levels'!$H$27</f>
        <v>0</v>
      </c>
      <c r="D26" s="10">
        <f>'Affiliate Projection'!D19*'VIP Levels'!$G$23*'VIP Levels'!$H$23+'Affiliate Projection'!D20*'VIP Levels'!$G$24*'VIP Levels'!$H$24+'Affiliate Projection'!D21*'VIP Levels'!$G$25*'VIP Levels'!$H$25+'Affiliate Projection'!D22*'VIP Levels'!$G$26*'VIP Levels'!$H$26+'Affiliate Projection'!D23*'VIP Levels'!$G$27*'VIP Levels'!$H$27</f>
        <v>0</v>
      </c>
      <c r="E26" s="10">
        <f>'Affiliate Projection'!E19*'VIP Levels'!$G$23*'VIP Levels'!$H$23+'Affiliate Projection'!E20*'VIP Levels'!$G$24*'VIP Levels'!$H$24+'Affiliate Projection'!E21*'VIP Levels'!$G$25*'VIP Levels'!$H$25+'Affiliate Projection'!E22*'VIP Levels'!$G$26*'VIP Levels'!$H$26+'Affiliate Projection'!E23*'VIP Levels'!$G$27*'VIP Levels'!$H$27</f>
        <v>0</v>
      </c>
      <c r="F26" s="10">
        <f>'Affiliate Projection'!F19*'VIP Levels'!$G$23*'VIP Levels'!$H$23+'Affiliate Projection'!F20*'VIP Levels'!$G$24*'VIP Levels'!$H$24+'Affiliate Projection'!F21*'VIP Levels'!$G$25*'VIP Levels'!$H$25+'Affiliate Projection'!F22*'VIP Levels'!$G$26*'VIP Levels'!$H$26+'Affiliate Projection'!F23*'VIP Levels'!$G$27*'VIP Levels'!$H$27</f>
        <v>0</v>
      </c>
      <c r="G26" s="10">
        <f>'Affiliate Projection'!G19*'VIP Levels'!$G$23*'VIP Levels'!$H$23+'Affiliate Projection'!G20*'VIP Levels'!$G$24*'VIP Levels'!$H$24+'Affiliate Projection'!G21*'VIP Levels'!$G$25*'VIP Levels'!$H$25+'Affiliate Projection'!G22*'VIP Levels'!$G$26*'VIP Levels'!$H$26+'Affiliate Projection'!G23*'VIP Levels'!$G$27*'VIP Levels'!$H$27</f>
        <v>0</v>
      </c>
      <c r="H26" s="10">
        <f>'Affiliate Projection'!H19*'VIP Levels'!$G$23*'VIP Levels'!$H$23+'Affiliate Projection'!H20*'VIP Levels'!$G$24*'VIP Levels'!$H$24+'Affiliate Projection'!H21*'VIP Levels'!$G$25*'VIP Levels'!$H$25+'Affiliate Projection'!H22*'VIP Levels'!$G$26*'VIP Levels'!$H$26+'Affiliate Projection'!H23*'VIP Levels'!$G$27*'VIP Levels'!$H$27</f>
        <v>0</v>
      </c>
      <c r="I26" s="10">
        <f>'Affiliate Projection'!I19*'VIP Levels'!$G$23*'VIP Levels'!$H$23+'Affiliate Projection'!I20*'VIP Levels'!$G$24*'VIP Levels'!$H$24+'Affiliate Projection'!I21*'VIP Levels'!$G$25*'VIP Levels'!$H$25+'Affiliate Projection'!I22*'VIP Levels'!$G$26*'VIP Levels'!$H$26+'Affiliate Projection'!I23*'VIP Levels'!$G$27*'VIP Levels'!$H$27</f>
        <v>0</v>
      </c>
      <c r="J26" s="10">
        <f>'Affiliate Projection'!J19*'VIP Levels'!$G$23*'VIP Levels'!$H$23+'Affiliate Projection'!J20*'VIP Levels'!$G$24*'VIP Levels'!$H$24+'Affiliate Projection'!J21*'VIP Levels'!$G$25*'VIP Levels'!$H$25+'Affiliate Projection'!J22*'VIP Levels'!$G$26*'VIP Levels'!$H$26+'Affiliate Projection'!J23*'VIP Levels'!$G$27*'VIP Levels'!$H$27</f>
        <v>0</v>
      </c>
      <c r="K26" s="10">
        <f>'Affiliate Projection'!K19*'VIP Levels'!$G$23*'VIP Levels'!$H$23+'Affiliate Projection'!K20*'VIP Levels'!$G$24*'VIP Levels'!$H$24+'Affiliate Projection'!K21*'VIP Levels'!$G$25*'VIP Levels'!$H$25+'Affiliate Projection'!K22*'VIP Levels'!$G$26*'VIP Levels'!$H$26+'Affiliate Projection'!K23*'VIP Levels'!$G$27*'VIP Levels'!$H$27</f>
        <v>0</v>
      </c>
      <c r="L26" s="10">
        <f>'Affiliate Projection'!L19*'VIP Levels'!$G$23*'VIP Levels'!$H$23+'Affiliate Projection'!L20*'VIP Levels'!$G$24*'VIP Levels'!$H$24+'Affiliate Projection'!L21*'VIP Levels'!$G$25*'VIP Levels'!$H$25+'Affiliate Projection'!L22*'VIP Levels'!$G$26*'VIP Levels'!$H$26+'Affiliate Projection'!L23*'VIP Levels'!$G$27*'VIP Levels'!$H$27</f>
        <v>0</v>
      </c>
      <c r="M26" s="10">
        <f>'Affiliate Projection'!M19*'VIP Levels'!$G$23*'VIP Levels'!$H$23+'Affiliate Projection'!M20*'VIP Levels'!$G$24*'VIP Levels'!$H$24+'Affiliate Projection'!M21*'VIP Levels'!$G$25*'VIP Levels'!$H$25+'Affiliate Projection'!M22*'VIP Levels'!$G$26*'VIP Levels'!$H$26+'Affiliate Projection'!M23*'VIP Levels'!$G$27*'VIP Levels'!$H$27</f>
        <v>0</v>
      </c>
    </row>
    <row r="27" spans="1:13" hidden="1" x14ac:dyDescent="0.25">
      <c r="A27" s="72" t="s">
        <v>144</v>
      </c>
      <c r="B27" s="10">
        <f>'Affiliate Projection'!B19*'VIP Levels'!$B$31*'VIP Levels'!$C$31+'Affiliate Projection'!B20*'VIP Levels'!$B$32*'VIP Levels'!$C$32+'Affiliate Projection'!B21*'VIP Levels'!$B$33*'VIP Levels'!$C$33+'Affiliate Projection'!B22*'VIP Levels'!$B$34*'VIP Levels'!$C$34+'Affiliate Projection'!B23*'VIP Levels'!$B$35*'VIP Levels'!$C$35</f>
        <v>0</v>
      </c>
      <c r="C27" s="10">
        <f>'Affiliate Projection'!C19*'VIP Levels'!$B$31*'VIP Levels'!$C$31+'Affiliate Projection'!C20*'VIP Levels'!$B$32*'VIP Levels'!$C$32+'Affiliate Projection'!C21*'VIP Levels'!$B$33*'VIP Levels'!$C$33+'Affiliate Projection'!C22*'VIP Levels'!$B$34*'VIP Levels'!$C$34+'Affiliate Projection'!C23*'VIP Levels'!$B$35*'VIP Levels'!$C$35</f>
        <v>0</v>
      </c>
      <c r="D27" s="10">
        <f>'Affiliate Projection'!D19*'VIP Levels'!$B$31*'VIP Levels'!$C$31+'Affiliate Projection'!D20*'VIP Levels'!$B$32*'VIP Levels'!$C$32+'Affiliate Projection'!D21*'VIP Levels'!$B$33*'VIP Levels'!$C$33+'Affiliate Projection'!D22*'VIP Levels'!$B$34*'VIP Levels'!$C$34+'Affiliate Projection'!D23*'VIP Levels'!$B$35*'VIP Levels'!$C$35</f>
        <v>0</v>
      </c>
      <c r="E27" s="10">
        <f>'Affiliate Projection'!E19*'VIP Levels'!$B$31*'VIP Levels'!$C$31+'Affiliate Projection'!E20*'VIP Levels'!$B$32*'VIP Levels'!$C$32+'Affiliate Projection'!E21*'VIP Levels'!$B$33*'VIP Levels'!$C$33+'Affiliate Projection'!E22*'VIP Levels'!$B$34*'VIP Levels'!$C$34+'Affiliate Projection'!E23*'VIP Levels'!$B$35*'VIP Levels'!$C$35</f>
        <v>0</v>
      </c>
      <c r="F27" s="10">
        <f>'Affiliate Projection'!F19*'VIP Levels'!$B$31*'VIP Levels'!$C$31+'Affiliate Projection'!F20*'VIP Levels'!$B$32*'VIP Levels'!$C$32+'Affiliate Projection'!F21*'VIP Levels'!$B$33*'VIP Levels'!$C$33+'Affiliate Projection'!F22*'VIP Levels'!$B$34*'VIP Levels'!$C$34+'Affiliate Projection'!F23*'VIP Levels'!$B$35*'VIP Levels'!$C$35</f>
        <v>0</v>
      </c>
      <c r="G27" s="10">
        <f>'Affiliate Projection'!G19*'VIP Levels'!$B$31*'VIP Levels'!$C$31+'Affiliate Projection'!G20*'VIP Levels'!$B$32*'VIP Levels'!$C$32+'Affiliate Projection'!G21*'VIP Levels'!$B$33*'VIP Levels'!$C$33+'Affiliate Projection'!G22*'VIP Levels'!$B$34*'VIP Levels'!$C$34+'Affiliate Projection'!G23*'VIP Levels'!$B$35*'VIP Levels'!$C$35</f>
        <v>0</v>
      </c>
      <c r="H27" s="10">
        <f>'Affiliate Projection'!H19*'VIP Levels'!$B$31*'VIP Levels'!$C$31+'Affiliate Projection'!H20*'VIP Levels'!$B$32*'VIP Levels'!$C$32+'Affiliate Projection'!H21*'VIP Levels'!$B$33*'VIP Levels'!$C$33+'Affiliate Projection'!H22*'VIP Levels'!$B$34*'VIP Levels'!$C$34+'Affiliate Projection'!H23*'VIP Levels'!$B$35*'VIP Levels'!$C$35</f>
        <v>0</v>
      </c>
      <c r="I27" s="10">
        <f>'Affiliate Projection'!I19*'VIP Levels'!$B$31*'VIP Levels'!$C$31+'Affiliate Projection'!I20*'VIP Levels'!$B$32*'VIP Levels'!$C$32+'Affiliate Projection'!I21*'VIP Levels'!$B$33*'VIP Levels'!$C$33+'Affiliate Projection'!I22*'VIP Levels'!$B$34*'VIP Levels'!$C$34+'Affiliate Projection'!I23*'VIP Levels'!$B$35*'VIP Levels'!$C$35</f>
        <v>0</v>
      </c>
      <c r="J27" s="10">
        <f>'Affiliate Projection'!J19*'VIP Levels'!$B$31*'VIP Levels'!$C$31+'Affiliate Projection'!J20*'VIP Levels'!$B$32*'VIP Levels'!$C$32+'Affiliate Projection'!J21*'VIP Levels'!$B$33*'VIP Levels'!$C$33+'Affiliate Projection'!J22*'VIP Levels'!$B$34*'VIP Levels'!$C$34+'Affiliate Projection'!J23*'VIP Levels'!$B$35*'VIP Levels'!$C$35</f>
        <v>0</v>
      </c>
      <c r="K27" s="10">
        <f>'Affiliate Projection'!K19*'VIP Levels'!$B$31*'VIP Levels'!$C$31+'Affiliate Projection'!K20*'VIP Levels'!$B$32*'VIP Levels'!$C$32+'Affiliate Projection'!K21*'VIP Levels'!$B$33*'VIP Levels'!$C$33+'Affiliate Projection'!K22*'VIP Levels'!$B$34*'VIP Levels'!$C$34+'Affiliate Projection'!K23*'VIP Levels'!$B$35*'VIP Levels'!$C$35</f>
        <v>0</v>
      </c>
      <c r="L27" s="10">
        <f>'Affiliate Projection'!L19*'VIP Levels'!$B$31*'VIP Levels'!$C$31+'Affiliate Projection'!L20*'VIP Levels'!$B$32*'VIP Levels'!$C$32+'Affiliate Projection'!L21*'VIP Levels'!$B$33*'VIP Levels'!$C$33+'Affiliate Projection'!L22*'VIP Levels'!$B$34*'VIP Levels'!$C$34+'Affiliate Projection'!L23*'VIP Levels'!$B$35*'VIP Levels'!$C$35</f>
        <v>0</v>
      </c>
      <c r="M27" s="10">
        <f>'Affiliate Projection'!M19*'VIP Levels'!$B$31*'VIP Levels'!$C$31+'Affiliate Projection'!M20*'VIP Levels'!$B$32*'VIP Levels'!$C$32+'Affiliate Projection'!M21*'VIP Levels'!$B$33*'VIP Levels'!$C$33+'Affiliate Projection'!M22*'VIP Levels'!$B$34*'VIP Levels'!$C$34+'Affiliate Projection'!M23*'VIP Levels'!$B$35*'VIP Levels'!$C$35</f>
        <v>0</v>
      </c>
    </row>
    <row r="28" spans="1:13" hidden="1" x14ac:dyDescent="0.25">
      <c r="A28" s="72" t="s">
        <v>145</v>
      </c>
      <c r="B28" s="10">
        <f>'Affiliate Projection'!B4*Inputs!$B$30</f>
        <v>2250</v>
      </c>
      <c r="C28" s="10">
        <f>'Affiliate Projection'!C4*Inputs!$B$30</f>
        <v>1500</v>
      </c>
      <c r="D28" s="10">
        <f>'Affiliate Projection'!D4*Inputs!$B$30</f>
        <v>1500</v>
      </c>
      <c r="E28" s="10">
        <f>'Affiliate Projection'!E4*Inputs!$B$30</f>
        <v>1500</v>
      </c>
      <c r="F28" s="10">
        <f>'Affiliate Projection'!F4*Inputs!$B$30</f>
        <v>1500</v>
      </c>
      <c r="G28" s="10">
        <f>'Affiliate Projection'!G4*Inputs!$B$30</f>
        <v>1500</v>
      </c>
      <c r="H28" s="10">
        <f>'Affiliate Projection'!H4*Inputs!$B$30</f>
        <v>1500</v>
      </c>
      <c r="I28" s="10">
        <f>'Affiliate Projection'!I4*Inputs!$B$30</f>
        <v>1500</v>
      </c>
      <c r="J28" s="10">
        <f>'Affiliate Projection'!J4*Inputs!$B$30</f>
        <v>1500</v>
      </c>
      <c r="K28" s="10">
        <f>'Affiliate Projection'!K4*Inputs!$B$30</f>
        <v>1500</v>
      </c>
      <c r="L28" s="10">
        <f>'Affiliate Projection'!L4*Inputs!$B$30</f>
        <v>1500</v>
      </c>
      <c r="M28" s="10">
        <f>'Affiliate Projection'!M4*Inputs!$B$30</f>
        <v>1500</v>
      </c>
    </row>
    <row r="29" spans="1:13" hidden="1" x14ac:dyDescent="0.25">
      <c r="A29" s="72" t="s">
        <v>146</v>
      </c>
      <c r="B29" s="11">
        <f t="shared" ref="B29:M29" si="4">SUM(B24:B28)</f>
        <v>2250</v>
      </c>
      <c r="C29" s="11">
        <f t="shared" si="4"/>
        <v>1500</v>
      </c>
      <c r="D29" s="11">
        <f t="shared" si="4"/>
        <v>1500</v>
      </c>
      <c r="E29" s="11">
        <f t="shared" si="4"/>
        <v>1500</v>
      </c>
      <c r="F29" s="11">
        <f t="shared" si="4"/>
        <v>1500</v>
      </c>
      <c r="G29" s="11">
        <f t="shared" si="4"/>
        <v>1500</v>
      </c>
      <c r="H29" s="11">
        <f t="shared" si="4"/>
        <v>1500</v>
      </c>
      <c r="I29" s="11">
        <f t="shared" si="4"/>
        <v>1500</v>
      </c>
      <c r="J29" s="11">
        <f t="shared" si="4"/>
        <v>1500</v>
      </c>
      <c r="K29" s="11">
        <f t="shared" si="4"/>
        <v>1500</v>
      </c>
      <c r="L29" s="11">
        <f t="shared" si="4"/>
        <v>1500</v>
      </c>
      <c r="M29" s="11">
        <f t="shared" si="4"/>
        <v>1500</v>
      </c>
    </row>
    <row r="30" spans="1:13" ht="0.75" customHeight="1" x14ac:dyDescent="0.25">
      <c r="A30" s="72"/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2"/>
  <sheetViews>
    <sheetView workbookViewId="0">
      <selection activeCell="B16" sqref="B16:M16"/>
    </sheetView>
  </sheetViews>
  <sheetFormatPr defaultRowHeight="15" x14ac:dyDescent="0.25"/>
  <cols>
    <col min="1" max="1" width="32" customWidth="1"/>
    <col min="2" max="2" width="15" customWidth="1"/>
    <col min="3" max="13" width="10" customWidth="1"/>
  </cols>
  <sheetData>
    <row r="1" spans="1:13" ht="21.75" customHeight="1" x14ac:dyDescent="0.35">
      <c r="A1" s="238" t="s">
        <v>147</v>
      </c>
      <c r="B1" s="237"/>
      <c r="C1" s="237"/>
      <c r="D1" s="237"/>
      <c r="E1" s="237"/>
    </row>
    <row r="2" spans="1:13" ht="18.75" customHeight="1" x14ac:dyDescent="0.3">
      <c r="A2" s="74" t="s">
        <v>148</v>
      </c>
    </row>
    <row r="3" spans="1:13" ht="15.75" customHeight="1" x14ac:dyDescent="0.25">
      <c r="A3" s="65" t="s">
        <v>98</v>
      </c>
      <c r="B3" s="65" t="s">
        <v>149</v>
      </c>
      <c r="C3" s="65" t="s">
        <v>150</v>
      </c>
      <c r="D3" s="65" t="s">
        <v>151</v>
      </c>
      <c r="E3" s="65" t="s">
        <v>152</v>
      </c>
      <c r="F3" s="65" t="s">
        <v>153</v>
      </c>
      <c r="G3" s="65" t="s">
        <v>154</v>
      </c>
      <c r="H3" s="65" t="s">
        <v>155</v>
      </c>
      <c r="I3" s="65" t="s">
        <v>156</v>
      </c>
      <c r="J3" s="65" t="s">
        <v>157</v>
      </c>
      <c r="K3" s="65" t="s">
        <v>158</v>
      </c>
      <c r="L3" s="65" t="s">
        <v>159</v>
      </c>
      <c r="M3" s="65" t="s">
        <v>160</v>
      </c>
    </row>
    <row r="4" spans="1:13" x14ac:dyDescent="0.25">
      <c r="A4" s="64" t="s">
        <v>161</v>
      </c>
      <c r="B4" s="66">
        <f>'Affiliate Projection'!B8</f>
        <v>105</v>
      </c>
      <c r="C4" s="66">
        <f>'Affiliate Projection'!C8</f>
        <v>175</v>
      </c>
      <c r="D4" s="66">
        <f>'Affiliate Projection'!D8</f>
        <v>250</v>
      </c>
      <c r="E4" s="66">
        <f>'Affiliate Projection'!E8</f>
        <v>330</v>
      </c>
      <c r="F4" s="66">
        <f>'Affiliate Projection'!F8</f>
        <v>410</v>
      </c>
      <c r="G4" s="66">
        <f>'Affiliate Projection'!G8</f>
        <v>490</v>
      </c>
      <c r="H4" s="66">
        <f>'Affiliate Projection'!H8</f>
        <v>570</v>
      </c>
      <c r="I4" s="66">
        <f>'Affiliate Projection'!I8</f>
        <v>650</v>
      </c>
      <c r="J4" s="66">
        <f>'Affiliate Projection'!J8</f>
        <v>730</v>
      </c>
      <c r="K4" s="66">
        <f>'Affiliate Projection'!K8</f>
        <v>810</v>
      </c>
      <c r="L4" s="66">
        <f>'Affiliate Projection'!L8</f>
        <v>890</v>
      </c>
      <c r="M4" s="66">
        <f>'Affiliate Projection'!M8</f>
        <v>970</v>
      </c>
    </row>
    <row r="5" spans="1:13" ht="15.75" customHeight="1" x14ac:dyDescent="0.25">
      <c r="A5" s="64" t="s">
        <v>105</v>
      </c>
      <c r="B5" s="66">
        <f>'Affiliate Projection'!B9</f>
        <v>151</v>
      </c>
      <c r="C5" s="66">
        <f>'Affiliate Projection'!C9</f>
        <v>361</v>
      </c>
      <c r="D5" s="66">
        <f>'Affiliate Projection'!D9</f>
        <v>681</v>
      </c>
      <c r="E5" s="66">
        <f>'Affiliate Projection'!E9</f>
        <v>990</v>
      </c>
      <c r="F5" s="66">
        <f>'Affiliate Projection'!F9</f>
        <v>1441</v>
      </c>
      <c r="G5" s="66">
        <f>'Affiliate Projection'!G9</f>
        <v>1994</v>
      </c>
      <c r="H5" s="66">
        <f>'Affiliate Projection'!H9</f>
        <v>2502</v>
      </c>
      <c r="I5" s="66">
        <f>'Affiliate Projection'!I9</f>
        <v>3051</v>
      </c>
      <c r="J5" s="66">
        <f>'Affiliate Projection'!J9</f>
        <v>3583</v>
      </c>
      <c r="K5" s="66">
        <f>'Affiliate Projection'!K9</f>
        <v>4576</v>
      </c>
      <c r="L5" s="66">
        <f>'Affiliate Projection'!L9</f>
        <v>5258</v>
      </c>
      <c r="M5" s="66">
        <f>'Affiliate Projection'!M9</f>
        <v>6197</v>
      </c>
    </row>
    <row r="6" spans="1:13" x14ac:dyDescent="0.25">
      <c r="A6" s="64" t="s">
        <v>124</v>
      </c>
      <c r="B6" s="23">
        <f>Revenue!B8</f>
        <v>6040</v>
      </c>
      <c r="C6" s="23">
        <f>Revenue!C8</f>
        <v>14440</v>
      </c>
      <c r="D6" s="23">
        <f>Revenue!D8</f>
        <v>27240</v>
      </c>
      <c r="E6" s="23">
        <f>Revenue!E8</f>
        <v>39600</v>
      </c>
      <c r="F6" s="23">
        <f>Revenue!F8</f>
        <v>57640</v>
      </c>
      <c r="G6" s="23">
        <f>Revenue!G8</f>
        <v>79760</v>
      </c>
      <c r="H6" s="23">
        <f>Revenue!H8</f>
        <v>100080</v>
      </c>
      <c r="I6" s="23">
        <f>Revenue!I8</f>
        <v>122040</v>
      </c>
      <c r="J6" s="23">
        <f>Revenue!J8</f>
        <v>143320</v>
      </c>
      <c r="K6" s="23">
        <f>Revenue!K8</f>
        <v>183040</v>
      </c>
      <c r="L6" s="23">
        <f>Revenue!L8</f>
        <v>210320</v>
      </c>
      <c r="M6" s="23">
        <f>Revenue!M8</f>
        <v>247880</v>
      </c>
    </row>
    <row r="7" spans="1:13" ht="21" customHeight="1" x14ac:dyDescent="0.35">
      <c r="A7" s="236"/>
      <c r="B7" s="237"/>
      <c r="C7" s="237"/>
      <c r="D7" s="237"/>
      <c r="E7" s="237"/>
    </row>
    <row r="8" spans="1:13" ht="20.25" customHeight="1" x14ac:dyDescent="0.3">
      <c r="A8" s="74" t="s">
        <v>162</v>
      </c>
    </row>
    <row r="9" spans="1:13" ht="15" customHeight="1" x14ac:dyDescent="0.25">
      <c r="A9" s="9" t="s">
        <v>127</v>
      </c>
      <c r="B9" s="73">
        <f>Costs!B5</f>
        <v>1207.9999999999993</v>
      </c>
      <c r="C9" s="73">
        <f>Costs!C5</f>
        <v>2888</v>
      </c>
      <c r="D9" s="73">
        <f>Costs!D5</f>
        <v>5448.0000000000009</v>
      </c>
      <c r="E9" s="73">
        <f>Costs!E5</f>
        <v>7920</v>
      </c>
      <c r="F9" s="73">
        <f>Costs!F5</f>
        <v>11528</v>
      </c>
      <c r="G9" s="73">
        <f>Costs!G5</f>
        <v>15952.000000000005</v>
      </c>
      <c r="H9" s="73">
        <f>Costs!H5</f>
        <v>20016.000000000004</v>
      </c>
      <c r="I9" s="73">
        <f>Costs!I5</f>
        <v>24408</v>
      </c>
      <c r="J9" s="73">
        <f>Costs!J5</f>
        <v>28664</v>
      </c>
      <c r="K9" s="73">
        <f>Costs!K5</f>
        <v>36608.000000000007</v>
      </c>
      <c r="L9" s="73">
        <f>Costs!L5</f>
        <v>42064.000000000007</v>
      </c>
      <c r="M9" s="73">
        <f>Costs!M5</f>
        <v>49576.000000000015</v>
      </c>
    </row>
    <row r="10" spans="1:13" x14ac:dyDescent="0.25">
      <c r="A10" s="9" t="s">
        <v>128</v>
      </c>
      <c r="B10" s="73">
        <f>Costs!B6</f>
        <v>47.493333333333339</v>
      </c>
      <c r="C10" s="73">
        <f>Costs!C6</f>
        <v>272.09866666666665</v>
      </c>
      <c r="D10" s="73">
        <f>Costs!D6</f>
        <v>536.50133333333338</v>
      </c>
      <c r="E10" s="73">
        <f>Costs!E6</f>
        <v>371.904</v>
      </c>
      <c r="F10" s="73">
        <f>Costs!F6</f>
        <v>789.98399999999992</v>
      </c>
      <c r="G10" s="73">
        <f>Costs!G6</f>
        <v>1626.04</v>
      </c>
      <c r="H10" s="73">
        <f>Costs!H6</f>
        <v>1566.5520000000001</v>
      </c>
      <c r="I10" s="73">
        <f>Costs!I6</f>
        <v>1665.6986666666667</v>
      </c>
      <c r="J10" s="73">
        <f>Costs!J6</f>
        <v>1629.9920000000002</v>
      </c>
      <c r="K10" s="73">
        <f>Costs!K6</f>
        <v>3172.1386666666667</v>
      </c>
      <c r="L10" s="73">
        <f>Costs!L6</f>
        <v>3647.5919999999996</v>
      </c>
      <c r="M10" s="73">
        <f>Costs!M6</f>
        <v>5724.818666666667</v>
      </c>
    </row>
    <row r="11" spans="1:13" x14ac:dyDescent="0.25">
      <c r="A11" s="9" t="s">
        <v>129</v>
      </c>
      <c r="B11" s="73">
        <f>Costs!B7</f>
        <v>24.921866666666663</v>
      </c>
      <c r="C11" s="73">
        <f>Costs!C7</f>
        <v>171.24986666666666</v>
      </c>
      <c r="D11" s="73">
        <f>Costs!D7</f>
        <v>433.54826666666668</v>
      </c>
      <c r="E11" s="73">
        <f>Costs!E7</f>
        <v>643.94026666666662</v>
      </c>
      <c r="F11" s="73">
        <f>Costs!F7</f>
        <v>1017.0888</v>
      </c>
      <c r="G11" s="73">
        <f>Costs!G7</f>
        <v>1613.2722666666664</v>
      </c>
      <c r="H11" s="73">
        <f>Costs!H7</f>
        <v>2192.7845333333335</v>
      </c>
      <c r="I11" s="73">
        <f>Costs!I7</f>
        <v>2800.0821333333333</v>
      </c>
      <c r="J11" s="73">
        <f>Costs!J7</f>
        <v>3399.0320000000002</v>
      </c>
      <c r="K11" s="73">
        <f>Costs!K7</f>
        <v>4658.5205333333333</v>
      </c>
      <c r="L11" s="73">
        <f>Costs!L7</f>
        <v>5961.7618666666658</v>
      </c>
      <c r="M11" s="73">
        <f>Costs!M7</f>
        <v>7871.3058666666657</v>
      </c>
    </row>
    <row r="12" spans="1:13" x14ac:dyDescent="0.25">
      <c r="A12" s="9" t="s">
        <v>134</v>
      </c>
      <c r="B12" s="73">
        <f>Costs!B13</f>
        <v>400</v>
      </c>
      <c r="C12" s="73">
        <f>Costs!C13</f>
        <v>2100</v>
      </c>
      <c r="D12" s="73">
        <f>Costs!D13</f>
        <v>3500</v>
      </c>
      <c r="E12" s="73">
        <f>Costs!E13</f>
        <v>3500</v>
      </c>
      <c r="F12" s="73">
        <f>Costs!F13</f>
        <v>5100</v>
      </c>
      <c r="G12" s="73">
        <f>Costs!G13</f>
        <v>5550</v>
      </c>
      <c r="H12" s="73">
        <f>Costs!H13</f>
        <v>5400</v>
      </c>
      <c r="I12" s="73">
        <f>Costs!I13</f>
        <v>5650</v>
      </c>
      <c r="J12" s="73">
        <f>Costs!J13</f>
        <v>5600</v>
      </c>
      <c r="K12" s="73">
        <f>Costs!K13</f>
        <v>11950</v>
      </c>
      <c r="L12" s="73">
        <f>Costs!L13</f>
        <v>9900</v>
      </c>
      <c r="M12" s="73">
        <f>Costs!M13</f>
        <v>14700</v>
      </c>
    </row>
    <row r="13" spans="1:13" x14ac:dyDescent="0.25">
      <c r="A13" s="9" t="s">
        <v>135</v>
      </c>
      <c r="B13" s="73">
        <f>Costs!B14</f>
        <v>429</v>
      </c>
      <c r="C13" s="73">
        <f>Costs!C14</f>
        <v>545.25</v>
      </c>
      <c r="D13" s="73">
        <f>Costs!D14</f>
        <v>972.75</v>
      </c>
      <c r="E13" s="73">
        <f>Costs!E14</f>
        <v>1428.75</v>
      </c>
      <c r="F13" s="73">
        <f>Costs!F14</f>
        <v>2054.25</v>
      </c>
      <c r="G13" s="73">
        <f>Costs!G14</f>
        <v>2736</v>
      </c>
      <c r="H13" s="73">
        <f>Costs!H14</f>
        <v>3390.75</v>
      </c>
      <c r="I13" s="73">
        <f>Costs!I14</f>
        <v>4090.5</v>
      </c>
      <c r="J13" s="73">
        <f>Costs!J14</f>
        <v>4778.25</v>
      </c>
      <c r="K13" s="73">
        <f>Costs!K14</f>
        <v>6096.75</v>
      </c>
      <c r="L13" s="73">
        <f>Costs!L14</f>
        <v>6916.5</v>
      </c>
      <c r="M13" s="73">
        <f>Costs!M14</f>
        <v>7901.25</v>
      </c>
    </row>
    <row r="14" spans="1:13" x14ac:dyDescent="0.25">
      <c r="A14" s="75" t="s">
        <v>163</v>
      </c>
      <c r="B14" s="76">
        <f t="shared" ref="B14:M14" si="0">IF(B5&gt;0,SUM(B9:B13)/B5,0)</f>
        <v>13.969637086092712</v>
      </c>
      <c r="C14" s="76">
        <f t="shared" si="0"/>
        <v>16.555674607571561</v>
      </c>
      <c r="D14" s="76">
        <f t="shared" si="0"/>
        <v>15.992363582966229</v>
      </c>
      <c r="E14" s="76">
        <f t="shared" si="0"/>
        <v>14.004640673400674</v>
      </c>
      <c r="F14" s="76">
        <f t="shared" si="0"/>
        <v>14.218822206800834</v>
      </c>
      <c r="G14" s="76">
        <f t="shared" si="0"/>
        <v>13.779996121698431</v>
      </c>
      <c r="H14" s="76">
        <f t="shared" si="0"/>
        <v>13.016021795896616</v>
      </c>
      <c r="I14" s="76">
        <f t="shared" si="0"/>
        <v>12.656270337594231</v>
      </c>
      <c r="J14" s="76">
        <f t="shared" si="0"/>
        <v>12.300104381802958</v>
      </c>
      <c r="K14" s="76">
        <f t="shared" si="0"/>
        <v>13.655028234265735</v>
      </c>
      <c r="L14" s="76">
        <f t="shared" si="0"/>
        <v>13.025837555471028</v>
      </c>
      <c r="M14" s="76">
        <f t="shared" si="0"/>
        <v>13.841112559840786</v>
      </c>
    </row>
    <row r="15" spans="1:13" x14ac:dyDescent="0.25">
      <c r="A15" s="78" t="s">
        <v>164</v>
      </c>
      <c r="B15" s="77">
        <f>B14/Inputs!$B$12</f>
        <v>0.3492409271523178</v>
      </c>
      <c r="C15" s="77">
        <f>C14/Inputs!$B$12</f>
        <v>0.413891865189289</v>
      </c>
      <c r="D15" s="77">
        <f>D14/Inputs!$B$12</f>
        <v>0.39980908957415573</v>
      </c>
      <c r="E15" s="77">
        <f>E14/Inputs!$B$12</f>
        <v>0.35011601683501686</v>
      </c>
      <c r="F15" s="77">
        <f>F14/Inputs!$B$12</f>
        <v>0.35547055517002085</v>
      </c>
      <c r="G15" s="77">
        <f>G14/Inputs!$B$12</f>
        <v>0.34449990304246081</v>
      </c>
      <c r="H15" s="77">
        <f>H14/Inputs!$B$12</f>
        <v>0.32540054489741543</v>
      </c>
      <c r="I15" s="77">
        <f>I14/Inputs!$B$12</f>
        <v>0.31640675843985577</v>
      </c>
      <c r="J15" s="77">
        <f>J14/Inputs!$B$12</f>
        <v>0.30750260954507397</v>
      </c>
      <c r="K15" s="77">
        <f>K14/Inputs!$B$12</f>
        <v>0.3413757058566434</v>
      </c>
      <c r="L15" s="77">
        <f>L14/Inputs!$B$12</f>
        <v>0.32564593888677573</v>
      </c>
      <c r="M15" s="77">
        <f>M14/Inputs!$B$12</f>
        <v>0.34602781399601967</v>
      </c>
    </row>
    <row r="16" spans="1:13" ht="21" customHeight="1" x14ac:dyDescent="0.35">
      <c r="A16" s="165"/>
      <c r="B16" s="164">
        <v>0.3492409271523178</v>
      </c>
      <c r="C16" s="164">
        <v>0.413891865189289</v>
      </c>
      <c r="D16" s="164">
        <v>0.39980908957415567</v>
      </c>
      <c r="E16" s="164">
        <v>0.35011601683501692</v>
      </c>
      <c r="F16" s="164">
        <v>0.35547055517002091</v>
      </c>
      <c r="G16" s="164">
        <v>0.34449990304246081</v>
      </c>
      <c r="H16" s="164">
        <v>0.32540054489741538</v>
      </c>
      <c r="I16" s="164">
        <v>0.31640675843985577</v>
      </c>
      <c r="J16" s="164">
        <v>0.30750260954507402</v>
      </c>
      <c r="K16" s="164">
        <v>0.3413757058566434</v>
      </c>
      <c r="L16" s="164">
        <v>0.32564593888677568</v>
      </c>
      <c r="M16" s="164">
        <v>0.34602781399601967</v>
      </c>
    </row>
    <row r="17" spans="1:13" ht="18.75" customHeight="1" x14ac:dyDescent="0.3">
      <c r="A17" s="74" t="s">
        <v>165</v>
      </c>
    </row>
    <row r="18" spans="1:13" x14ac:dyDescent="0.25">
      <c r="A18" s="22" t="s">
        <v>130</v>
      </c>
      <c r="B18" s="73">
        <f>Costs!B8</f>
        <v>256.37733333333335</v>
      </c>
      <c r="C18" s="73">
        <f>Costs!C8</f>
        <v>428.30666666666662</v>
      </c>
      <c r="D18" s="73">
        <f>Costs!D8</f>
        <v>671.33733333333339</v>
      </c>
      <c r="E18" s="73">
        <f>Costs!E8</f>
        <v>689.41599999999994</v>
      </c>
      <c r="F18" s="73">
        <f>Costs!F8</f>
        <v>981.34399999999982</v>
      </c>
      <c r="G18" s="73">
        <f>Costs!G8</f>
        <v>1264.9000000000001</v>
      </c>
      <c r="H18" s="73">
        <f>Costs!H8</f>
        <v>1214.3040000000001</v>
      </c>
      <c r="I18" s="73">
        <f>Costs!I8</f>
        <v>1298.6306666666667</v>
      </c>
      <c r="J18" s="73">
        <f>Costs!J8</f>
        <v>1271.8160000000003</v>
      </c>
      <c r="K18" s="73">
        <f>Costs!K8</f>
        <v>2185.3346666666666</v>
      </c>
      <c r="L18" s="73">
        <f>Costs!L8</f>
        <v>1796.704</v>
      </c>
      <c r="M18" s="73">
        <f>Costs!M8</f>
        <v>2627.5946666666669</v>
      </c>
    </row>
    <row r="19" spans="1:13" x14ac:dyDescent="0.25">
      <c r="A19" s="12" t="s">
        <v>131</v>
      </c>
      <c r="B19" s="73">
        <f>Costs!B9</f>
        <v>190.98733333333331</v>
      </c>
      <c r="C19" s="73">
        <f>Costs!C9</f>
        <v>212.82213333333331</v>
      </c>
      <c r="D19" s="73">
        <f>Costs!D9</f>
        <v>376.26333333333332</v>
      </c>
      <c r="E19" s="73">
        <f>Costs!E9</f>
        <v>533.21493333333331</v>
      </c>
      <c r="F19" s="73">
        <f>Costs!F9</f>
        <v>789.85919999999999</v>
      </c>
      <c r="G19" s="73">
        <f>Costs!G9</f>
        <v>1232.5525333333335</v>
      </c>
      <c r="H19" s="73">
        <f>Costs!H9</f>
        <v>1651.4506666666668</v>
      </c>
      <c r="I19" s="73">
        <f>Costs!I9</f>
        <v>2110.0074666666669</v>
      </c>
      <c r="J19" s="73">
        <f>Costs!J9</f>
        <v>2554.2816000000003</v>
      </c>
      <c r="K19" s="73">
        <f>Costs!K9</f>
        <v>3288.9930666666669</v>
      </c>
      <c r="L19" s="73">
        <f>Costs!L9</f>
        <v>3880.2261333333336</v>
      </c>
      <c r="M19" s="73">
        <f>Costs!M9</f>
        <v>4665.8421333333335</v>
      </c>
    </row>
    <row r="20" spans="1:13" x14ac:dyDescent="0.25">
      <c r="A20" s="75" t="s">
        <v>163</v>
      </c>
      <c r="B20" s="76">
        <f t="shared" ref="B20:M20" si="1">IF(B5&gt;0,SUM(B18:B19)/B5,0)</f>
        <v>2.9626799116997793</v>
      </c>
      <c r="C20" s="76">
        <f t="shared" si="1"/>
        <v>1.7759800554016618</v>
      </c>
      <c r="D20" s="76">
        <f t="shared" si="1"/>
        <v>1.5383269701419482</v>
      </c>
      <c r="E20" s="76">
        <f t="shared" si="1"/>
        <v>1.2349807407407407</v>
      </c>
      <c r="F20" s="76">
        <f t="shared" si="1"/>
        <v>1.2291486467730741</v>
      </c>
      <c r="G20" s="76">
        <f t="shared" si="1"/>
        <v>1.2524837178201271</v>
      </c>
      <c r="H20" s="76">
        <f t="shared" si="1"/>
        <v>1.1453855582200907</v>
      </c>
      <c r="I20" s="76">
        <f t="shared" si="1"/>
        <v>1.117219971594013</v>
      </c>
      <c r="J20" s="76">
        <f t="shared" si="1"/>
        <v>1.0678475020932181</v>
      </c>
      <c r="K20" s="76">
        <f t="shared" si="1"/>
        <v>1.1963128787878787</v>
      </c>
      <c r="L20" s="76">
        <f t="shared" si="1"/>
        <v>1.0796748066438442</v>
      </c>
      <c r="M20" s="76">
        <f t="shared" si="1"/>
        <v>1.1769302565757624</v>
      </c>
    </row>
    <row r="21" spans="1:13" x14ac:dyDescent="0.25">
      <c r="A21" s="75" t="s">
        <v>164</v>
      </c>
      <c r="B21" s="77">
        <f>B20/Inputs!$B$12</f>
        <v>7.4066997792494482E-2</v>
      </c>
      <c r="C21" s="77">
        <f>C20/Inputs!$B$12</f>
        <v>4.4399501385041548E-2</v>
      </c>
      <c r="D21" s="77">
        <f>D20/Inputs!$B$12</f>
        <v>3.8458174253548708E-2</v>
      </c>
      <c r="E21" s="77">
        <f>E20/Inputs!$B$12</f>
        <v>3.0874518518518516E-2</v>
      </c>
      <c r="F21" s="77">
        <f>F20/Inputs!$B$12</f>
        <v>3.0728716169326854E-2</v>
      </c>
      <c r="G21" s="77">
        <f>G20/Inputs!$B$12</f>
        <v>3.1312092945503175E-2</v>
      </c>
      <c r="H21" s="77">
        <f>H20/Inputs!$B$12</f>
        <v>2.8634638955502268E-2</v>
      </c>
      <c r="I21" s="77">
        <f>I20/Inputs!$B$12</f>
        <v>2.7930499289850325E-2</v>
      </c>
      <c r="J21" s="77">
        <f>J20/Inputs!$B$12</f>
        <v>2.6696187552330452E-2</v>
      </c>
      <c r="K21" s="77">
        <f>K20/Inputs!$B$12</f>
        <v>2.990782196969697E-2</v>
      </c>
      <c r="L21" s="77">
        <f>L20/Inputs!$B$12</f>
        <v>2.6991870166096103E-2</v>
      </c>
      <c r="M21" s="77">
        <f>M20/Inputs!$B$12</f>
        <v>2.9423256414394063E-2</v>
      </c>
    </row>
    <row r="30" spans="1:13" x14ac:dyDescent="0.25">
      <c r="B30" s="67"/>
    </row>
    <row r="32" spans="1:13" x14ac:dyDescent="0.25">
      <c r="B32" s="67"/>
    </row>
  </sheetData>
  <mergeCells count="2">
    <mergeCell ref="A1:E1"/>
    <mergeCell ref="A7:E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80"/>
  <sheetViews>
    <sheetView workbookViewId="0">
      <selection activeCell="F6" sqref="F6"/>
    </sheetView>
  </sheetViews>
  <sheetFormatPr defaultRowHeight="15" x14ac:dyDescent="0.25"/>
  <cols>
    <col min="1" max="1" width="25" customWidth="1"/>
    <col min="2" max="2" width="16" customWidth="1"/>
    <col min="3" max="3" width="23" customWidth="1"/>
    <col min="4" max="5" width="12.28515625" customWidth="1"/>
    <col min="6" max="13" width="8" customWidth="1"/>
    <col min="14" max="14" width="7.7109375" customWidth="1"/>
  </cols>
  <sheetData>
    <row r="1" spans="1:20" ht="21" customHeight="1" x14ac:dyDescent="0.35">
      <c r="A1" s="239" t="s">
        <v>166</v>
      </c>
      <c r="B1" s="237"/>
      <c r="C1" s="237"/>
      <c r="D1" s="237"/>
      <c r="E1" s="237"/>
      <c r="Q1" s="63"/>
      <c r="T1" s="63"/>
    </row>
    <row r="3" spans="1:20" ht="18.75" customHeight="1" x14ac:dyDescent="0.3">
      <c r="A3" s="68" t="s">
        <v>167</v>
      </c>
    </row>
    <row r="4" spans="1:20" x14ac:dyDescent="0.25">
      <c r="A4" s="69" t="s">
        <v>168</v>
      </c>
      <c r="B4" s="69" t="s">
        <v>169</v>
      </c>
      <c r="C4" s="69" t="s">
        <v>170</v>
      </c>
      <c r="D4" s="69" t="s">
        <v>171</v>
      </c>
      <c r="I4" s="63"/>
    </row>
    <row r="5" spans="1:20" x14ac:dyDescent="0.25">
      <c r="A5" s="70" t="s">
        <v>172</v>
      </c>
      <c r="B5" s="158" t="s">
        <v>169</v>
      </c>
      <c r="C5" s="159" t="s">
        <v>173</v>
      </c>
      <c r="D5" s="160" t="s">
        <v>171</v>
      </c>
    </row>
    <row r="6" spans="1:20" x14ac:dyDescent="0.25">
      <c r="A6" s="70" t="s">
        <v>174</v>
      </c>
      <c r="B6" s="158" t="s">
        <v>175</v>
      </c>
      <c r="C6" s="159" t="s">
        <v>176</v>
      </c>
      <c r="D6" s="160" t="s">
        <v>177</v>
      </c>
      <c r="I6" s="63"/>
    </row>
    <row r="7" spans="1:20" x14ac:dyDescent="0.25">
      <c r="A7" s="70" t="s">
        <v>178</v>
      </c>
      <c r="B7" s="158" t="s">
        <v>179</v>
      </c>
      <c r="C7" s="159" t="s">
        <v>180</v>
      </c>
      <c r="D7" s="160" t="s">
        <v>181</v>
      </c>
    </row>
    <row r="8" spans="1:20" s="149" customFormat="1" x14ac:dyDescent="0.25">
      <c r="B8" s="150"/>
      <c r="C8" s="150"/>
      <c r="D8" s="150"/>
    </row>
    <row r="9" spans="1:20" x14ac:dyDescent="0.25">
      <c r="A9" s="161" t="s">
        <v>182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</row>
    <row r="10" spans="1:20" s="155" customFormat="1" x14ac:dyDescent="0.25">
      <c r="A10" s="153" t="s">
        <v>98</v>
      </c>
      <c r="B10" s="153" t="s">
        <v>149</v>
      </c>
      <c r="C10" s="153" t="s">
        <v>150</v>
      </c>
      <c r="D10" s="153" t="s">
        <v>151</v>
      </c>
      <c r="E10" s="153" t="s">
        <v>152</v>
      </c>
      <c r="F10" s="153" t="s">
        <v>153</v>
      </c>
      <c r="G10" s="153" t="s">
        <v>154</v>
      </c>
      <c r="H10" s="153" t="s">
        <v>155</v>
      </c>
      <c r="I10" s="153" t="s">
        <v>156</v>
      </c>
      <c r="J10" s="153" t="s">
        <v>157</v>
      </c>
      <c r="K10" s="153" t="s">
        <v>158</v>
      </c>
      <c r="L10" s="153" t="s">
        <v>159</v>
      </c>
      <c r="M10" s="153" t="s">
        <v>160</v>
      </c>
      <c r="O10" s="151"/>
      <c r="P10" s="151"/>
      <c r="Q10" s="151"/>
      <c r="R10" s="151"/>
      <c r="S10" s="151"/>
    </row>
    <row r="11" spans="1:20" s="155" customFormat="1" x14ac:dyDescent="0.25">
      <c r="A11" s="154" t="s">
        <v>183</v>
      </c>
      <c r="B11" s="171">
        <f t="shared" ref="B11:M11" si="0">AVERAGE(B24,B32,B40)</f>
        <v>22.941629227053138</v>
      </c>
      <c r="C11" s="171">
        <f t="shared" si="0"/>
        <v>19.283485461544945</v>
      </c>
      <c r="D11" s="171">
        <f t="shared" si="0"/>
        <v>17.915199462297991</v>
      </c>
      <c r="E11" s="171">
        <f t="shared" si="0"/>
        <v>16.140311939830912</v>
      </c>
      <c r="F11" s="171">
        <f t="shared" si="0"/>
        <v>16.067031611714778</v>
      </c>
      <c r="G11" s="171">
        <f t="shared" si="0"/>
        <v>15.539354832334277</v>
      </c>
      <c r="H11" s="171">
        <f t="shared" si="0"/>
        <v>14.52537712789502</v>
      </c>
      <c r="I11" s="171">
        <f t="shared" si="0"/>
        <v>14.869332899583114</v>
      </c>
      <c r="J11" s="171">
        <f t="shared" si="0"/>
        <v>14.803967892681449</v>
      </c>
      <c r="K11" s="171">
        <f t="shared" si="0"/>
        <v>15.082682624008322</v>
      </c>
      <c r="L11" s="171">
        <f t="shared" si="0"/>
        <v>14.549914733303387</v>
      </c>
      <c r="M11" s="171">
        <f t="shared" si="0"/>
        <v>14.490345178812097</v>
      </c>
      <c r="N11" s="149"/>
      <c r="O11" s="151"/>
      <c r="P11" s="151"/>
      <c r="Q11" s="151"/>
      <c r="R11" s="151"/>
      <c r="S11" s="151"/>
    </row>
    <row r="12" spans="1:20" s="155" customFormat="1" x14ac:dyDescent="0.25">
      <c r="A12" s="154" t="s">
        <v>184</v>
      </c>
      <c r="B12" s="167">
        <f>B11/Inputs!$B$12</f>
        <v>0.57354073067632849</v>
      </c>
      <c r="C12" s="167">
        <f>C11/Inputs!$B$12</f>
        <v>0.48208713653862362</v>
      </c>
      <c r="D12" s="167">
        <f>D11/Inputs!$B$12</f>
        <v>0.44787998655744976</v>
      </c>
      <c r="E12" s="167">
        <f>E11/Inputs!$B$12</f>
        <v>0.40350779849577278</v>
      </c>
      <c r="F12" s="167">
        <f>F11/Inputs!$B$12</f>
        <v>0.40167579029286948</v>
      </c>
      <c r="G12" s="167">
        <f>G11/Inputs!$B$12</f>
        <v>0.38848387080835695</v>
      </c>
      <c r="H12" s="167">
        <f>H11/Inputs!$B$12</f>
        <v>0.36313442819737551</v>
      </c>
      <c r="I12" s="167">
        <f>I11/Inputs!$B$12</f>
        <v>0.37173332248957786</v>
      </c>
      <c r="J12" s="167">
        <f>J11/Inputs!$B$12</f>
        <v>0.37009919731703622</v>
      </c>
      <c r="K12" s="167">
        <f>K11/Inputs!$B$12</f>
        <v>0.37706706560020808</v>
      </c>
      <c r="L12" s="167">
        <f>L11/Inputs!$B$12</f>
        <v>0.36374786833258466</v>
      </c>
      <c r="M12" s="167">
        <f>M11/Inputs!$B$12</f>
        <v>0.36225862947030241</v>
      </c>
      <c r="N12" s="151"/>
      <c r="O12" s="151"/>
      <c r="P12" s="151"/>
      <c r="Q12" s="151"/>
      <c r="R12" s="151"/>
      <c r="S12" s="151"/>
    </row>
    <row r="13" spans="1:20" s="155" customFormat="1" x14ac:dyDescent="0.25">
      <c r="A13" s="154" t="s">
        <v>185</v>
      </c>
      <c r="B13" s="171">
        <f t="shared" ref="B13:M13" si="1">AVERAGE(B26,B34,B42)</f>
        <v>2.7756376822188322</v>
      </c>
      <c r="C13" s="171">
        <f t="shared" si="1"/>
        <v>1.7586988726217461</v>
      </c>
      <c r="D13" s="171">
        <f t="shared" si="1"/>
        <v>1.4979199726115384</v>
      </c>
      <c r="E13" s="171">
        <f t="shared" si="1"/>
        <v>1.2516340289809005</v>
      </c>
      <c r="F13" s="171">
        <f t="shared" si="1"/>
        <v>1.2684747914224184</v>
      </c>
      <c r="G13" s="171">
        <f t="shared" si="1"/>
        <v>1.242474340518311</v>
      </c>
      <c r="H13" s="171">
        <f t="shared" si="1"/>
        <v>1.1247476119721773</v>
      </c>
      <c r="I13" s="171">
        <f t="shared" si="1"/>
        <v>1.166742770392077</v>
      </c>
      <c r="J13" s="171">
        <f t="shared" si="1"/>
        <v>1.1544792374413972</v>
      </c>
      <c r="K13" s="171">
        <f t="shared" si="1"/>
        <v>1.1777212427847095</v>
      </c>
      <c r="L13" s="171">
        <f t="shared" si="1"/>
        <v>1.1155075038874296</v>
      </c>
      <c r="M13" s="171">
        <f t="shared" si="1"/>
        <v>1.1222186847152162</v>
      </c>
      <c r="N13" s="151"/>
      <c r="O13" s="151"/>
      <c r="P13" s="151"/>
      <c r="Q13" s="151"/>
      <c r="R13" s="151"/>
      <c r="S13" s="151"/>
    </row>
    <row r="14" spans="1:20" s="155" customFormat="1" x14ac:dyDescent="0.25">
      <c r="A14" s="154" t="s">
        <v>186</v>
      </c>
      <c r="B14" s="167">
        <f>B13/Inputs!$B$12</f>
        <v>6.9390942055470806E-2</v>
      </c>
      <c r="C14" s="167">
        <f>C13/Inputs!$B$12</f>
        <v>4.3967471815543654E-2</v>
      </c>
      <c r="D14" s="167">
        <f>D13/Inputs!$B$12</f>
        <v>3.7447999315288458E-2</v>
      </c>
      <c r="E14" s="167">
        <f>E13/Inputs!$B$12</f>
        <v>3.1290850724522513E-2</v>
      </c>
      <c r="F14" s="167">
        <f>F13/Inputs!$B$12</f>
        <v>3.1711869785560461E-2</v>
      </c>
      <c r="G14" s="167">
        <f>G13/Inputs!$B$12</f>
        <v>3.1061858512957775E-2</v>
      </c>
      <c r="H14" s="167">
        <f>H13/Inputs!$B$12</f>
        <v>2.8118690299304434E-2</v>
      </c>
      <c r="I14" s="167">
        <f>I13/Inputs!$B$12</f>
        <v>2.9168569259801925E-2</v>
      </c>
      <c r="J14" s="167">
        <f>J13/Inputs!$B$12</f>
        <v>2.8861980936034932E-2</v>
      </c>
      <c r="K14" s="167">
        <f>K13/Inputs!$B$12</f>
        <v>2.9443031069617737E-2</v>
      </c>
      <c r="L14" s="167">
        <f>L13/Inputs!$B$12</f>
        <v>2.788768759718574E-2</v>
      </c>
      <c r="M14" s="167">
        <f>M13/Inputs!$B$12</f>
        <v>2.8055467117880407E-2</v>
      </c>
      <c r="N14" s="151"/>
      <c r="O14" s="151"/>
      <c r="P14" s="151"/>
      <c r="Q14" s="151"/>
      <c r="R14" s="151"/>
      <c r="S14" s="151"/>
    </row>
    <row r="15" spans="1:20" s="155" customFormat="1" x14ac:dyDescent="0.25">
      <c r="A15" s="161"/>
      <c r="B15" s="151"/>
      <c r="C15" s="151"/>
      <c r="D15" s="151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</row>
    <row r="16" spans="1:20" s="155" customFormat="1" ht="17.25" customHeight="1" x14ac:dyDescent="0.25">
      <c r="A16" s="163" t="s">
        <v>187</v>
      </c>
      <c r="B16" s="172">
        <f>AVERAGE(B11:M11)</f>
        <v>16.35071941592162</v>
      </c>
      <c r="C16" s="151"/>
      <c r="D16" s="151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</row>
    <row r="17" spans="1:19" s="155" customFormat="1" x14ac:dyDescent="0.25">
      <c r="A17" s="163" t="s">
        <v>188</v>
      </c>
      <c r="B17" s="173">
        <f>AVERAGE(B12:M12)</f>
        <v>0.40876798539804043</v>
      </c>
      <c r="C17" s="151"/>
      <c r="D17" s="151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</row>
    <row r="18" spans="1:19" s="155" customFormat="1" x14ac:dyDescent="0.25">
      <c r="A18" s="163" t="s">
        <v>189</v>
      </c>
      <c r="B18" s="172">
        <f>AVERAGE(B13:M13)</f>
        <v>1.3880213949638958</v>
      </c>
      <c r="C18" s="151"/>
      <c r="D18" s="151"/>
      <c r="E18" s="151"/>
      <c r="F18" s="151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/>
      <c r="S18" s="151"/>
    </row>
    <row r="19" spans="1:19" s="155" customFormat="1" x14ac:dyDescent="0.25">
      <c r="A19" s="163" t="s">
        <v>188</v>
      </c>
      <c r="B19" s="173">
        <f>AVERAGE(B14:M14)</f>
        <v>3.4700534874097404E-2</v>
      </c>
      <c r="C19" s="151"/>
      <c r="D19" s="151"/>
      <c r="E19" s="151"/>
      <c r="F19" s="151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</row>
    <row r="20" spans="1:19" s="155" customFormat="1" x14ac:dyDescent="0.25">
      <c r="A20" s="161"/>
      <c r="B20" s="151"/>
      <c r="C20" s="151"/>
      <c r="D20" s="151"/>
      <c r="E20" s="151"/>
      <c r="F20" s="151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</row>
    <row r="21" spans="1:19" s="155" customFormat="1" x14ac:dyDescent="0.25">
      <c r="A21" s="151"/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</row>
    <row r="22" spans="1:19" ht="18.75" customHeight="1" x14ac:dyDescent="0.25">
      <c r="A22" s="152" t="s">
        <v>190</v>
      </c>
      <c r="B22" s="151"/>
      <c r="C22" s="151"/>
      <c r="D22" s="151"/>
      <c r="E22" s="151"/>
      <c r="F22" s="151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</row>
    <row r="23" spans="1:19" x14ac:dyDescent="0.25">
      <c r="A23" s="153" t="s">
        <v>98</v>
      </c>
      <c r="B23" s="153" t="s">
        <v>149</v>
      </c>
      <c r="C23" s="153" t="s">
        <v>150</v>
      </c>
      <c r="D23" s="153" t="s">
        <v>151</v>
      </c>
      <c r="E23" s="153" t="s">
        <v>152</v>
      </c>
      <c r="F23" s="153" t="s">
        <v>153</v>
      </c>
      <c r="G23" s="153" t="s">
        <v>154</v>
      </c>
      <c r="H23" s="153" t="s">
        <v>155</v>
      </c>
      <c r="I23" s="153" t="s">
        <v>156</v>
      </c>
      <c r="J23" s="153" t="s">
        <v>157</v>
      </c>
      <c r="K23" s="153" t="s">
        <v>158</v>
      </c>
      <c r="L23" s="153" t="s">
        <v>159</v>
      </c>
      <c r="M23" s="153" t="s">
        <v>160</v>
      </c>
      <c r="N23" s="162" t="s">
        <v>191</v>
      </c>
      <c r="O23" s="151"/>
      <c r="P23" s="151"/>
      <c r="Q23" s="151"/>
      <c r="R23" s="151"/>
      <c r="S23" s="151"/>
    </row>
    <row r="24" spans="1:19" x14ac:dyDescent="0.25">
      <c r="A24" s="154" t="s">
        <v>183</v>
      </c>
      <c r="B24" s="166">
        <v>23.688452173913038</v>
      </c>
      <c r="C24" s="166">
        <v>19.79385346534653</v>
      </c>
      <c r="D24" s="166">
        <v>17.181294364851961</v>
      </c>
      <c r="E24" s="166">
        <v>15.94448080808081</v>
      </c>
      <c r="F24" s="166">
        <v>16.841392558496359</v>
      </c>
      <c r="G24" s="166">
        <v>15.94426161137441</v>
      </c>
      <c r="H24" s="166">
        <v>14.214823630875379</v>
      </c>
      <c r="I24" s="166">
        <v>15.03906545047208</v>
      </c>
      <c r="J24" s="166">
        <v>13.759899919807539</v>
      </c>
      <c r="K24" s="166">
        <v>13.44715888319088</v>
      </c>
      <c r="L24" s="166">
        <v>12.876910960868679</v>
      </c>
      <c r="M24" s="166">
        <v>12.92518724826154</v>
      </c>
      <c r="N24" s="168">
        <f>AVERAGE(B24:M24)</f>
        <v>15.971398422961604</v>
      </c>
      <c r="O24" s="151"/>
      <c r="P24" s="151"/>
      <c r="Q24" s="151"/>
      <c r="R24" s="151"/>
      <c r="S24" s="151"/>
    </row>
    <row r="25" spans="1:19" s="149" customFormat="1" x14ac:dyDescent="0.25">
      <c r="A25" s="154" t="s">
        <v>184</v>
      </c>
      <c r="B25" s="167">
        <v>0.5922113043478261</v>
      </c>
      <c r="C25" s="167">
        <v>0.49484633663366318</v>
      </c>
      <c r="D25" s="167">
        <v>0.42953235912129889</v>
      </c>
      <c r="E25" s="167">
        <v>0.39861202020202019</v>
      </c>
      <c r="F25" s="167">
        <v>0.42103481396240888</v>
      </c>
      <c r="G25" s="167">
        <v>0.39860654028436032</v>
      </c>
      <c r="H25" s="167">
        <v>0.35537059077188449</v>
      </c>
      <c r="I25" s="167">
        <v>0.37597663626180189</v>
      </c>
      <c r="J25" s="167">
        <v>0.34399749799518847</v>
      </c>
      <c r="K25" s="167">
        <v>0.33617897207977199</v>
      </c>
      <c r="L25" s="167">
        <v>0.32192277402171687</v>
      </c>
      <c r="M25" s="167">
        <v>0.32312968120653851</v>
      </c>
      <c r="N25" s="170">
        <f>AVERAGE(B25:M25)</f>
        <v>0.39928496057404006</v>
      </c>
      <c r="O25" s="151"/>
      <c r="P25" s="151"/>
      <c r="Q25" s="151"/>
      <c r="R25" s="151"/>
      <c r="S25" s="151"/>
    </row>
    <row r="26" spans="1:19" x14ac:dyDescent="0.25">
      <c r="A26" s="154" t="s">
        <v>185</v>
      </c>
      <c r="B26" s="166">
        <v>2.9519043478260869</v>
      </c>
      <c r="C26" s="166">
        <v>1.8717254125412539</v>
      </c>
      <c r="D26" s="166">
        <v>1.436265329512894</v>
      </c>
      <c r="E26" s="166">
        <v>1.2371272727272731</v>
      </c>
      <c r="F26" s="166">
        <v>1.287254315304948</v>
      </c>
      <c r="G26" s="166">
        <v>1.216496050552923</v>
      </c>
      <c r="H26" s="166">
        <v>1.013514532125916</v>
      </c>
      <c r="I26" s="166">
        <v>1.149867370779325</v>
      </c>
      <c r="J26" s="166">
        <v>1.034208553862604</v>
      </c>
      <c r="K26" s="166">
        <v>1.017063111111111</v>
      </c>
      <c r="L26" s="166">
        <v>0.93170768285187455</v>
      </c>
      <c r="M26" s="166">
        <v>0.97736096812065387</v>
      </c>
      <c r="N26" s="168">
        <f>AVERAGE(B26:M26)</f>
        <v>1.3437079122764051</v>
      </c>
      <c r="O26" s="151"/>
      <c r="P26" s="151"/>
      <c r="Q26" s="151"/>
      <c r="R26" s="151"/>
      <c r="S26" s="151"/>
    </row>
    <row r="27" spans="1:19" x14ac:dyDescent="0.25">
      <c r="A27" s="154" t="s">
        <v>186</v>
      </c>
      <c r="B27" s="167">
        <v>7.3797608695652175E-2</v>
      </c>
      <c r="C27" s="167">
        <v>4.6793135313531353E-2</v>
      </c>
      <c r="D27" s="167">
        <v>3.5906633237822352E-2</v>
      </c>
      <c r="E27" s="167">
        <v>3.092818181818182E-2</v>
      </c>
      <c r="F27" s="167">
        <v>3.2181357882623697E-2</v>
      </c>
      <c r="G27" s="167">
        <v>3.0412401263823059E-2</v>
      </c>
      <c r="H27" s="167">
        <v>2.5337863303147912E-2</v>
      </c>
      <c r="I27" s="167">
        <v>2.8746684269483111E-2</v>
      </c>
      <c r="J27" s="167">
        <v>2.5855213846565091E-2</v>
      </c>
      <c r="K27" s="167">
        <v>2.5426577777777778E-2</v>
      </c>
      <c r="L27" s="167">
        <v>2.3292692071296861E-2</v>
      </c>
      <c r="M27" s="167">
        <v>2.4434024203016349E-2</v>
      </c>
      <c r="N27" s="170">
        <f>AVERAGE(B27:M27)</f>
        <v>3.3592697806910134E-2</v>
      </c>
      <c r="O27" s="151"/>
      <c r="P27" s="151"/>
      <c r="Q27" s="151"/>
      <c r="R27" s="151"/>
      <c r="S27" s="151"/>
    </row>
    <row r="28" spans="1:19" x14ac:dyDescent="0.25">
      <c r="A28" s="161"/>
      <c r="B28" s="151"/>
      <c r="C28" s="151"/>
      <c r="D28" s="151"/>
      <c r="E28" s="151"/>
      <c r="F28" s="151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</row>
    <row r="29" spans="1:19" x14ac:dyDescent="0.25">
      <c r="A29" s="151"/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51"/>
      <c r="N29" s="151"/>
      <c r="O29" s="151"/>
      <c r="P29" s="151"/>
      <c r="Q29" s="151"/>
      <c r="R29" s="151"/>
      <c r="S29" s="151"/>
    </row>
    <row r="30" spans="1:19" ht="15.75" customHeight="1" x14ac:dyDescent="0.25">
      <c r="A30" s="152" t="s">
        <v>192</v>
      </c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51"/>
      <c r="N30" s="151"/>
      <c r="O30" s="151"/>
      <c r="P30" s="151"/>
      <c r="Q30" s="151"/>
      <c r="R30" s="151"/>
      <c r="S30" s="151"/>
    </row>
    <row r="31" spans="1:19" x14ac:dyDescent="0.25">
      <c r="A31" s="153" t="s">
        <v>98</v>
      </c>
      <c r="B31" s="153" t="s">
        <v>149</v>
      </c>
      <c r="C31" s="153" t="s">
        <v>150</v>
      </c>
      <c r="D31" s="153" t="s">
        <v>151</v>
      </c>
      <c r="E31" s="153" t="s">
        <v>152</v>
      </c>
      <c r="F31" s="153" t="s">
        <v>153</v>
      </c>
      <c r="G31" s="153" t="s">
        <v>154</v>
      </c>
      <c r="H31" s="153" t="s">
        <v>155</v>
      </c>
      <c r="I31" s="153" t="s">
        <v>156</v>
      </c>
      <c r="J31" s="153" t="s">
        <v>157</v>
      </c>
      <c r="K31" s="153" t="s">
        <v>158</v>
      </c>
      <c r="L31" s="153" t="s">
        <v>159</v>
      </c>
      <c r="M31" s="153" t="s">
        <v>160</v>
      </c>
      <c r="N31" s="162" t="s">
        <v>191</v>
      </c>
      <c r="O31" s="151"/>
      <c r="P31" s="151"/>
      <c r="Q31" s="151"/>
      <c r="R31" s="151"/>
      <c r="S31" s="151"/>
    </row>
    <row r="32" spans="1:19" x14ac:dyDescent="0.25">
      <c r="A32" s="154" t="s">
        <v>183</v>
      </c>
      <c r="B32" s="166">
        <v>15.39814106280193</v>
      </c>
      <c r="C32" s="166">
        <v>16.14059984532096</v>
      </c>
      <c r="D32" s="166">
        <v>15.743494875164259</v>
      </c>
      <c r="E32" s="166">
        <v>13.965268585577221</v>
      </c>
      <c r="F32" s="166">
        <v>14.178876178010469</v>
      </c>
      <c r="G32" s="166">
        <v>13.72499392783342</v>
      </c>
      <c r="H32" s="166">
        <v>12.969521942537501</v>
      </c>
      <c r="I32" s="166">
        <v>12.609629880728191</v>
      </c>
      <c r="J32" s="166">
        <v>12.25476004284949</v>
      </c>
      <c r="K32" s="166">
        <v>13.60438213906018</v>
      </c>
      <c r="L32" s="166">
        <v>12.985335161509481</v>
      </c>
      <c r="M32" s="166">
        <v>13.777784268010921</v>
      </c>
      <c r="N32" s="168">
        <f>AVERAGE(B32:M32)</f>
        <v>13.946065659117004</v>
      </c>
      <c r="O32" s="151"/>
      <c r="P32" s="151"/>
      <c r="Q32" s="151"/>
      <c r="R32" s="151"/>
      <c r="S32" s="151"/>
    </row>
    <row r="33" spans="1:19" x14ac:dyDescent="0.25">
      <c r="A33" s="154" t="s">
        <v>184</v>
      </c>
      <c r="B33" s="167">
        <v>0.38495352657004822</v>
      </c>
      <c r="C33" s="167">
        <v>0.403514996133024</v>
      </c>
      <c r="D33" s="167">
        <v>0.39358737187910647</v>
      </c>
      <c r="E33" s="167">
        <v>0.34913171463943049</v>
      </c>
      <c r="F33" s="167">
        <v>0.35447190445026178</v>
      </c>
      <c r="G33" s="167">
        <v>0.34312484819583539</v>
      </c>
      <c r="H33" s="167">
        <v>0.32423804856343758</v>
      </c>
      <c r="I33" s="167">
        <v>0.31524074701820459</v>
      </c>
      <c r="J33" s="167">
        <v>0.30636900107123732</v>
      </c>
      <c r="K33" s="167">
        <v>0.3401095534765044</v>
      </c>
      <c r="L33" s="167">
        <v>0.32463337903773698</v>
      </c>
      <c r="M33" s="167">
        <v>0.3444446067002731</v>
      </c>
      <c r="N33" s="170">
        <f>AVERAGE(B33:M33)</f>
        <v>0.34865164147792505</v>
      </c>
      <c r="O33" s="151"/>
      <c r="P33" s="151"/>
      <c r="Q33" s="151"/>
      <c r="R33" s="151"/>
      <c r="S33" s="151"/>
    </row>
    <row r="34" spans="1:19" x14ac:dyDescent="0.25">
      <c r="A34" s="154" t="s">
        <v>185</v>
      </c>
      <c r="B34" s="166">
        <v>2.7981017543859652</v>
      </c>
      <c r="C34" s="166">
        <v>1.7872810996563571</v>
      </c>
      <c r="D34" s="166">
        <v>1.527330560177482</v>
      </c>
      <c r="E34" s="166">
        <v>1.203452756196818</v>
      </c>
      <c r="F34" s="166">
        <v>1.205969867060561</v>
      </c>
      <c r="G34" s="166">
        <v>1.2482182716049379</v>
      </c>
      <c r="H34" s="166">
        <v>1.1445382570988949</v>
      </c>
      <c r="I34" s="166">
        <v>1.1218930131503719</v>
      </c>
      <c r="J34" s="166">
        <v>1.074527272727273</v>
      </c>
      <c r="K34" s="166">
        <v>1.1991028614232211</v>
      </c>
      <c r="L34" s="166">
        <v>1.0819711141498991</v>
      </c>
      <c r="M34" s="166">
        <v>1.1834463777704269</v>
      </c>
      <c r="N34" s="168">
        <f>AVERAGE(B34:M34)</f>
        <v>1.3813194337835173</v>
      </c>
      <c r="O34" s="151"/>
      <c r="P34" s="151"/>
      <c r="Q34" s="151"/>
      <c r="R34" s="151"/>
      <c r="S34" s="151"/>
    </row>
    <row r="35" spans="1:19" x14ac:dyDescent="0.25">
      <c r="A35" s="154" t="s">
        <v>186</v>
      </c>
      <c r="B35" s="167">
        <v>6.9952543859649122E-2</v>
      </c>
      <c r="C35" s="167">
        <v>4.4682027491408927E-2</v>
      </c>
      <c r="D35" s="167">
        <v>3.8183264004437049E-2</v>
      </c>
      <c r="E35" s="167">
        <v>3.0086318904920459E-2</v>
      </c>
      <c r="F35" s="167">
        <v>3.014924667651403E-2</v>
      </c>
      <c r="G35" s="167">
        <v>3.1205456790123459E-2</v>
      </c>
      <c r="H35" s="167">
        <v>2.8613456427472379E-2</v>
      </c>
      <c r="I35" s="167">
        <v>2.8047325328759289E-2</v>
      </c>
      <c r="J35" s="167">
        <v>2.6863181818181821E-2</v>
      </c>
      <c r="K35" s="167">
        <v>2.9977571535580529E-2</v>
      </c>
      <c r="L35" s="167">
        <v>2.7049277853747479E-2</v>
      </c>
      <c r="M35" s="167">
        <v>2.9586159444260671E-2</v>
      </c>
      <c r="N35" s="170">
        <f>AVERAGE(B35:M35)</f>
        <v>3.4532985844587936E-2</v>
      </c>
      <c r="O35" s="151"/>
      <c r="P35" s="151"/>
      <c r="Q35" s="151"/>
      <c r="R35" s="151"/>
      <c r="S35" s="151"/>
    </row>
    <row r="36" spans="1:19" x14ac:dyDescent="0.25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</row>
    <row r="37" spans="1:19" x14ac:dyDescent="0.25">
      <c r="A37" s="151"/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</row>
    <row r="38" spans="1:19" x14ac:dyDescent="0.25">
      <c r="A38" s="152" t="s">
        <v>193</v>
      </c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</row>
    <row r="39" spans="1:19" x14ac:dyDescent="0.25">
      <c r="A39" s="153" t="s">
        <v>98</v>
      </c>
      <c r="B39" s="153" t="s">
        <v>149</v>
      </c>
      <c r="C39" s="153" t="s">
        <v>150</v>
      </c>
      <c r="D39" s="153" t="s">
        <v>151</v>
      </c>
      <c r="E39" s="153" t="s">
        <v>152</v>
      </c>
      <c r="F39" s="153" t="s">
        <v>153</v>
      </c>
      <c r="G39" s="153" t="s">
        <v>154</v>
      </c>
      <c r="H39" s="153" t="s">
        <v>155</v>
      </c>
      <c r="I39" s="153" t="s">
        <v>156</v>
      </c>
      <c r="J39" s="153" t="s">
        <v>157</v>
      </c>
      <c r="K39" s="153" t="s">
        <v>158</v>
      </c>
      <c r="L39" s="153" t="s">
        <v>159</v>
      </c>
      <c r="M39" s="153" t="s">
        <v>160</v>
      </c>
      <c r="N39" s="162" t="s">
        <v>191</v>
      </c>
      <c r="O39" s="151"/>
      <c r="P39" s="151"/>
      <c r="Q39" s="151"/>
      <c r="R39" s="151"/>
      <c r="S39" s="151"/>
    </row>
    <row r="40" spans="1:19" x14ac:dyDescent="0.25">
      <c r="A40" s="154" t="s">
        <v>183</v>
      </c>
      <c r="B40" s="166">
        <v>29.738294444444438</v>
      </c>
      <c r="C40" s="166">
        <v>21.916003073967339</v>
      </c>
      <c r="D40" s="166">
        <v>20.82080914687775</v>
      </c>
      <c r="E40" s="166">
        <v>18.511186425834701</v>
      </c>
      <c r="F40" s="166">
        <v>17.1808260986375</v>
      </c>
      <c r="G40" s="166">
        <v>16.948808957794999</v>
      </c>
      <c r="H40" s="166">
        <v>16.391785810272179</v>
      </c>
      <c r="I40" s="166">
        <v>16.959303367549069</v>
      </c>
      <c r="J40" s="166">
        <v>18.397243715387319</v>
      </c>
      <c r="K40" s="166">
        <v>18.196506849773911</v>
      </c>
      <c r="L40" s="166">
        <v>17.787498077532</v>
      </c>
      <c r="M40" s="166">
        <v>16.76806402016383</v>
      </c>
      <c r="N40" s="168">
        <f>AVERAGE(B40:M40)</f>
        <v>19.134694165686252</v>
      </c>
      <c r="O40" s="151"/>
      <c r="P40" s="151"/>
      <c r="Q40" s="151"/>
      <c r="R40" s="151"/>
      <c r="S40" s="151"/>
    </row>
    <row r="41" spans="1:19" x14ac:dyDescent="0.25">
      <c r="A41" s="154" t="s">
        <v>184</v>
      </c>
      <c r="B41" s="167">
        <v>0.74345736111111094</v>
      </c>
      <c r="C41" s="167">
        <v>0.54790007684918351</v>
      </c>
      <c r="D41" s="167">
        <v>0.5205202286719437</v>
      </c>
      <c r="E41" s="167">
        <v>0.46277966064586751</v>
      </c>
      <c r="F41" s="167">
        <v>0.4295206524659374</v>
      </c>
      <c r="G41" s="167">
        <v>0.42372022394487507</v>
      </c>
      <c r="H41" s="167">
        <v>0.40979464525680448</v>
      </c>
      <c r="I41" s="167">
        <v>0.42398258418872681</v>
      </c>
      <c r="J41" s="167">
        <v>0.45993109288468292</v>
      </c>
      <c r="K41" s="167">
        <v>0.4549126712443477</v>
      </c>
      <c r="L41" s="167">
        <v>0.44468745193830012</v>
      </c>
      <c r="M41" s="167">
        <v>0.41920160050409577</v>
      </c>
      <c r="N41" s="170">
        <f>AVERAGE(B41:M41)</f>
        <v>0.47836735414215625</v>
      </c>
      <c r="O41" s="151"/>
      <c r="P41" s="151"/>
      <c r="Q41" s="151"/>
      <c r="R41" s="151"/>
      <c r="S41" s="151"/>
    </row>
    <row r="42" spans="1:19" x14ac:dyDescent="0.25">
      <c r="A42" s="154" t="s">
        <v>185</v>
      </c>
      <c r="B42" s="166">
        <v>2.576906944444445</v>
      </c>
      <c r="C42" s="166">
        <v>1.617090105667627</v>
      </c>
      <c r="D42" s="166">
        <v>1.530164028144239</v>
      </c>
      <c r="E42" s="166">
        <v>1.3143220580186099</v>
      </c>
      <c r="F42" s="166">
        <v>1.3122001919017461</v>
      </c>
      <c r="G42" s="166">
        <v>1.262708699397072</v>
      </c>
      <c r="H42" s="166">
        <v>1.216190046691721</v>
      </c>
      <c r="I42" s="166">
        <v>1.228467927246534</v>
      </c>
      <c r="J42" s="166">
        <v>1.3547018857343149</v>
      </c>
      <c r="K42" s="166">
        <v>1.3169977558197961</v>
      </c>
      <c r="L42" s="166">
        <v>1.332843714660515</v>
      </c>
      <c r="M42" s="166">
        <v>1.2058487082545679</v>
      </c>
      <c r="N42" s="168">
        <f>AVERAGE(B42:M42)</f>
        <v>1.4390368388317658</v>
      </c>
      <c r="O42" s="151"/>
      <c r="P42" s="151"/>
      <c r="Q42" s="151"/>
      <c r="R42" s="151"/>
      <c r="S42" s="151"/>
    </row>
    <row r="43" spans="1:19" x14ac:dyDescent="0.25">
      <c r="A43" s="154" t="s">
        <v>186</v>
      </c>
      <c r="B43" s="167">
        <v>6.442267361111112E-2</v>
      </c>
      <c r="C43" s="167">
        <v>4.0427252641690677E-2</v>
      </c>
      <c r="D43" s="167">
        <v>3.8254100703605992E-2</v>
      </c>
      <c r="E43" s="167">
        <v>3.2858051450465248E-2</v>
      </c>
      <c r="F43" s="167">
        <v>3.2805004797543648E-2</v>
      </c>
      <c r="G43" s="167">
        <v>3.1567717484926788E-2</v>
      </c>
      <c r="H43" s="167">
        <v>3.0404751167293031E-2</v>
      </c>
      <c r="I43" s="167">
        <v>3.071169818116334E-2</v>
      </c>
      <c r="J43" s="167">
        <v>3.3867547143357872E-2</v>
      </c>
      <c r="K43" s="167">
        <v>3.2924943895494899E-2</v>
      </c>
      <c r="L43" s="167">
        <v>3.3321092866512872E-2</v>
      </c>
      <c r="M43" s="167">
        <v>3.014621770636421E-2</v>
      </c>
      <c r="N43" s="170">
        <f>AVERAGE(B43:M43)</f>
        <v>3.5975920970794141E-2</v>
      </c>
      <c r="O43" s="151"/>
      <c r="P43" s="151"/>
      <c r="Q43" s="151"/>
      <c r="R43" s="151"/>
      <c r="S43" s="151"/>
    </row>
    <row r="44" spans="1:19" x14ac:dyDescent="0.25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</row>
    <row r="45" spans="1:19" x14ac:dyDescent="0.25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</row>
    <row r="46" spans="1:19" x14ac:dyDescent="0.25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</row>
    <row r="47" spans="1:19" x14ac:dyDescent="0.25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</row>
    <row r="48" spans="1:19" x14ac:dyDescent="0.25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</row>
    <row r="49" spans="1:19" x14ac:dyDescent="0.25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</row>
    <row r="50" spans="1:19" x14ac:dyDescent="0.25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</row>
    <row r="51" spans="1:19" x14ac:dyDescent="0.25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</row>
    <row r="52" spans="1:19" x14ac:dyDescent="0.25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</row>
    <row r="53" spans="1:19" x14ac:dyDescent="0.25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</row>
    <row r="54" spans="1:19" x14ac:dyDescent="0.25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  <c r="Q54" s="151"/>
      <c r="R54" s="151"/>
      <c r="S54" s="151"/>
    </row>
    <row r="55" spans="1:19" x14ac:dyDescent="0.25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N55" s="151"/>
      <c r="O55" s="151"/>
      <c r="P55" s="151"/>
      <c r="Q55" s="151"/>
      <c r="R55" s="151"/>
      <c r="S55" s="151"/>
    </row>
    <row r="56" spans="1:19" x14ac:dyDescent="0.25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</row>
    <row r="57" spans="1:19" x14ac:dyDescent="0.25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</row>
    <row r="58" spans="1:19" x14ac:dyDescent="0.25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</row>
    <row r="59" spans="1:19" x14ac:dyDescent="0.25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</row>
    <row r="60" spans="1:19" x14ac:dyDescent="0.25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</row>
    <row r="61" spans="1:19" x14ac:dyDescent="0.25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</row>
    <row r="62" spans="1:19" x14ac:dyDescent="0.25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</row>
    <row r="63" spans="1:19" x14ac:dyDescent="0.25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</row>
    <row r="64" spans="1:19" x14ac:dyDescent="0.25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</row>
    <row r="65" spans="1:19" x14ac:dyDescent="0.25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</row>
    <row r="66" spans="1:19" x14ac:dyDescent="0.25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</row>
    <row r="67" spans="1:19" x14ac:dyDescent="0.25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</row>
    <row r="68" spans="1:19" x14ac:dyDescent="0.25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N68" s="151"/>
      <c r="O68" s="151"/>
      <c r="P68" s="151"/>
      <c r="Q68" s="151"/>
      <c r="R68" s="151"/>
      <c r="S68" s="151"/>
    </row>
    <row r="69" spans="1:19" x14ac:dyDescent="0.25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</row>
    <row r="70" spans="1:19" x14ac:dyDescent="0.25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</row>
    <row r="71" spans="1:19" x14ac:dyDescent="0.25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</row>
    <row r="72" spans="1:19" x14ac:dyDescent="0.25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</row>
    <row r="73" spans="1:19" x14ac:dyDescent="0.25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  <c r="Q73" s="151"/>
      <c r="R73" s="151"/>
      <c r="S73" s="151"/>
    </row>
    <row r="74" spans="1:19" x14ac:dyDescent="0.25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1"/>
      <c r="R74" s="151"/>
      <c r="S74" s="151"/>
    </row>
    <row r="75" spans="1:19" x14ac:dyDescent="0.25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</row>
    <row r="76" spans="1:19" x14ac:dyDescent="0.25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</row>
    <row r="77" spans="1:19" x14ac:dyDescent="0.25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</row>
    <row r="78" spans="1:19" x14ac:dyDescent="0.25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</row>
    <row r="79" spans="1:19" x14ac:dyDescent="0.25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</row>
    <row r="80" spans="1:19" x14ac:dyDescent="0.25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97"/>
  <sheetViews>
    <sheetView workbookViewId="0">
      <selection activeCell="J13" sqref="J13"/>
    </sheetView>
  </sheetViews>
  <sheetFormatPr defaultRowHeight="15" x14ac:dyDescent="0.25"/>
  <cols>
    <col min="1" max="2" width="20" customWidth="1"/>
    <col min="3" max="3" width="16.85546875" customWidth="1"/>
    <col min="4" max="13" width="10" customWidth="1"/>
  </cols>
  <sheetData>
    <row r="1" spans="1:4" ht="18.75" customHeight="1" x14ac:dyDescent="0.3">
      <c r="A1" s="97" t="s">
        <v>194</v>
      </c>
    </row>
    <row r="2" spans="1:4" x14ac:dyDescent="0.25">
      <c r="A2" s="85" t="s">
        <v>195</v>
      </c>
    </row>
    <row r="4" spans="1:4" ht="15.75" customHeight="1" x14ac:dyDescent="0.25">
      <c r="A4" s="98" t="s">
        <v>196</v>
      </c>
    </row>
    <row r="5" spans="1:4" x14ac:dyDescent="0.25">
      <c r="A5" s="99" t="s">
        <v>197</v>
      </c>
      <c r="B5" s="99" t="s">
        <v>198</v>
      </c>
      <c r="C5" s="99" t="s">
        <v>199</v>
      </c>
    </row>
    <row r="6" spans="1:4" x14ac:dyDescent="0.25">
      <c r="A6" s="100" t="s">
        <v>200</v>
      </c>
      <c r="B6" s="93">
        <v>0</v>
      </c>
      <c r="C6" s="100">
        <v>1</v>
      </c>
    </row>
    <row r="7" spans="1:4" x14ac:dyDescent="0.25">
      <c r="A7" s="100" t="s">
        <v>201</v>
      </c>
      <c r="B7" s="93">
        <v>2</v>
      </c>
      <c r="C7" s="100">
        <v>4</v>
      </c>
    </row>
    <row r="8" spans="1:4" x14ac:dyDescent="0.25">
      <c r="A8" s="100" t="s">
        <v>202</v>
      </c>
      <c r="B8" s="93">
        <v>5</v>
      </c>
      <c r="C8" s="100">
        <v>10</v>
      </c>
    </row>
    <row r="9" spans="1:4" x14ac:dyDescent="0.25">
      <c r="A9" s="100" t="s">
        <v>203</v>
      </c>
      <c r="B9" s="93">
        <v>15</v>
      </c>
      <c r="C9" s="100">
        <v>30</v>
      </c>
    </row>
    <row r="10" spans="1:4" x14ac:dyDescent="0.25">
      <c r="A10" s="100" t="s">
        <v>204</v>
      </c>
      <c r="B10" s="100">
        <v>50</v>
      </c>
      <c r="C10" s="100">
        <v>100</v>
      </c>
    </row>
    <row r="11" spans="1:4" ht="15.75" customHeight="1" x14ac:dyDescent="0.25">
      <c r="A11" s="86"/>
    </row>
    <row r="12" spans="1:4" x14ac:dyDescent="0.25">
      <c r="A12" s="85"/>
    </row>
    <row r="13" spans="1:4" x14ac:dyDescent="0.25">
      <c r="A13" s="98" t="s">
        <v>205</v>
      </c>
    </row>
    <row r="14" spans="1:4" x14ac:dyDescent="0.25">
      <c r="A14" s="99" t="s">
        <v>197</v>
      </c>
      <c r="B14" s="99" t="s">
        <v>169</v>
      </c>
      <c r="C14" s="99" t="s">
        <v>173</v>
      </c>
      <c r="D14" s="99" t="s">
        <v>171</v>
      </c>
    </row>
    <row r="15" spans="1:4" x14ac:dyDescent="0.25">
      <c r="A15" s="87" t="s">
        <v>200</v>
      </c>
      <c r="B15" s="101">
        <v>0.47499999999999998</v>
      </c>
      <c r="C15" s="156">
        <v>0.4</v>
      </c>
      <c r="D15" s="157">
        <v>0.32500000000000001</v>
      </c>
    </row>
    <row r="16" spans="1:4" x14ac:dyDescent="0.25">
      <c r="A16" s="87" t="s">
        <v>201</v>
      </c>
      <c r="B16" s="101">
        <v>0.35</v>
      </c>
      <c r="C16" s="88">
        <v>0.35</v>
      </c>
      <c r="D16" s="102">
        <v>0.35</v>
      </c>
    </row>
    <row r="17" spans="1:14" x14ac:dyDescent="0.25">
      <c r="A17" s="87" t="s">
        <v>202</v>
      </c>
      <c r="B17" s="101">
        <v>0.14000000000000001</v>
      </c>
      <c r="C17" s="88">
        <v>0.2</v>
      </c>
      <c r="D17" s="102">
        <v>0.26</v>
      </c>
    </row>
    <row r="18" spans="1:14" x14ac:dyDescent="0.25">
      <c r="A18" s="87" t="s">
        <v>203</v>
      </c>
      <c r="B18" s="101">
        <v>2.8000000000000001E-2</v>
      </c>
      <c r="C18" s="88">
        <v>0.04</v>
      </c>
      <c r="D18" s="102">
        <v>5.1999999999999998E-2</v>
      </c>
    </row>
    <row r="19" spans="1:14" x14ac:dyDescent="0.25">
      <c r="A19" s="87" t="s">
        <v>204</v>
      </c>
      <c r="B19" s="101">
        <v>6.9999999999999993E-3</v>
      </c>
      <c r="C19" s="88">
        <v>0.01</v>
      </c>
      <c r="D19" s="102">
        <v>1.2999999999999999E-2</v>
      </c>
    </row>
    <row r="20" spans="1:14" x14ac:dyDescent="0.25">
      <c r="A20" s="89" t="s">
        <v>206</v>
      </c>
      <c r="B20" s="90">
        <f>SUM(B15:B19)</f>
        <v>1</v>
      </c>
      <c r="C20" s="90">
        <f>SUM(C15:C19)</f>
        <v>1</v>
      </c>
      <c r="D20" s="90">
        <f>SUM(D15:D19)</f>
        <v>1</v>
      </c>
    </row>
    <row r="22" spans="1:14" x14ac:dyDescent="0.25">
      <c r="E22" s="91"/>
      <c r="F22" s="91"/>
    </row>
    <row r="23" spans="1:14" ht="15.75" customHeight="1" x14ac:dyDescent="0.25">
      <c r="A23" s="103" t="s">
        <v>207</v>
      </c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</row>
    <row r="24" spans="1:14" x14ac:dyDescent="0.25">
      <c r="A24" s="99" t="s">
        <v>208</v>
      </c>
      <c r="B24" s="99" t="s">
        <v>174</v>
      </c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4"/>
    </row>
    <row r="25" spans="1:14" x14ac:dyDescent="0.25">
      <c r="A25" s="135" t="s">
        <v>169</v>
      </c>
      <c r="B25" s="135">
        <v>1.5</v>
      </c>
      <c r="C25" s="104"/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4"/>
    </row>
    <row r="26" spans="1:14" x14ac:dyDescent="0.25">
      <c r="A26" s="88" t="s">
        <v>173</v>
      </c>
      <c r="B26" s="137">
        <v>2.5</v>
      </c>
      <c r="C26" s="105"/>
      <c r="D26" s="105"/>
      <c r="E26" s="104"/>
      <c r="F26" s="104"/>
      <c r="G26" s="104"/>
      <c r="H26" s="104"/>
      <c r="I26" s="104"/>
      <c r="J26" s="104"/>
      <c r="K26" s="104"/>
      <c r="L26" s="104"/>
      <c r="M26" s="104"/>
      <c r="N26" s="104"/>
    </row>
    <row r="27" spans="1:14" x14ac:dyDescent="0.25">
      <c r="A27" s="102" t="s">
        <v>171</v>
      </c>
      <c r="B27" s="138">
        <v>4.5</v>
      </c>
      <c r="C27" s="107"/>
      <c r="D27" s="107"/>
      <c r="E27" s="105"/>
      <c r="F27" s="105"/>
      <c r="G27" s="105"/>
      <c r="H27" s="105"/>
      <c r="I27" s="105"/>
      <c r="J27" s="105"/>
      <c r="K27" s="105"/>
      <c r="L27" s="105"/>
      <c r="M27" s="105"/>
      <c r="N27" s="104"/>
    </row>
    <row r="28" spans="1:14" x14ac:dyDescent="0.25">
      <c r="A28" s="112"/>
      <c r="B28" s="113"/>
      <c r="C28" s="107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4"/>
    </row>
    <row r="29" spans="1:14" x14ac:dyDescent="0.25">
      <c r="A29" s="104"/>
      <c r="B29" s="107"/>
      <c r="C29" s="107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4"/>
    </row>
    <row r="30" spans="1:14" x14ac:dyDescent="0.25">
      <c r="A30" s="110" t="s">
        <v>209</v>
      </c>
      <c r="B30" s="111"/>
      <c r="C30" s="107"/>
      <c r="D30" s="107"/>
      <c r="E30" s="107"/>
      <c r="F30" s="107"/>
      <c r="G30" s="107"/>
      <c r="H30" s="107"/>
      <c r="I30" s="107"/>
      <c r="J30" s="107"/>
      <c r="K30" s="107"/>
      <c r="L30" s="107"/>
      <c r="M30" s="107"/>
      <c r="N30" s="104"/>
    </row>
    <row r="31" spans="1:14" x14ac:dyDescent="0.25">
      <c r="A31" s="99" t="s">
        <v>210</v>
      </c>
      <c r="B31" s="99" t="s">
        <v>211</v>
      </c>
      <c r="C31" s="107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4"/>
    </row>
    <row r="32" spans="1:14" x14ac:dyDescent="0.25">
      <c r="A32" s="109" t="s">
        <v>26</v>
      </c>
      <c r="B32" s="109">
        <v>0</v>
      </c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  <c r="N32" s="104"/>
    </row>
    <row r="33" spans="1:20" x14ac:dyDescent="0.25">
      <c r="A33" s="109" t="s">
        <v>30</v>
      </c>
      <c r="B33" s="109">
        <v>15</v>
      </c>
      <c r="C33" s="104"/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4"/>
    </row>
    <row r="34" spans="1:20" ht="15.75" customHeight="1" x14ac:dyDescent="0.25">
      <c r="A34" s="109" t="s">
        <v>31</v>
      </c>
      <c r="B34" s="109">
        <v>75</v>
      </c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</row>
    <row r="35" spans="1:20" x14ac:dyDescent="0.25">
      <c r="A35" s="109" t="s">
        <v>33</v>
      </c>
      <c r="B35" s="109">
        <v>150</v>
      </c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</row>
    <row r="36" spans="1:20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4"/>
    </row>
    <row r="37" spans="1:20" x14ac:dyDescent="0.25">
      <c r="A37" s="104"/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4"/>
    </row>
    <row r="38" spans="1:20" s="141" customFormat="1" x14ac:dyDescent="0.25">
      <c r="A38" s="142" t="s">
        <v>212</v>
      </c>
      <c r="B38" s="111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39"/>
    </row>
    <row r="39" spans="1:20" s="141" customFormat="1" x14ac:dyDescent="0.25">
      <c r="A39" s="99" t="s">
        <v>208</v>
      </c>
      <c r="B39" s="99" t="s">
        <v>213</v>
      </c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39"/>
    </row>
    <row r="40" spans="1:20" s="141" customFormat="1" x14ac:dyDescent="0.25">
      <c r="A40" s="135" t="s">
        <v>169</v>
      </c>
      <c r="B40" s="135">
        <v>0.7</v>
      </c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39"/>
    </row>
    <row r="41" spans="1:20" s="141" customFormat="1" x14ac:dyDescent="0.25">
      <c r="A41" s="88" t="s">
        <v>173</v>
      </c>
      <c r="B41" s="137">
        <v>1</v>
      </c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39"/>
    </row>
    <row r="42" spans="1:20" s="141" customFormat="1" x14ac:dyDescent="0.25">
      <c r="A42" s="102" t="s">
        <v>171</v>
      </c>
      <c r="B42" s="138">
        <v>1.3</v>
      </c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39"/>
    </row>
    <row r="43" spans="1:20" s="141" customFormat="1" x14ac:dyDescent="0.25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39"/>
    </row>
    <row r="44" spans="1:20" s="141" customFormat="1" x14ac:dyDescent="0.25">
      <c r="A44" s="139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39"/>
    </row>
    <row r="45" spans="1:20" s="141" customFormat="1" x14ac:dyDescent="0.25">
      <c r="A45" s="140"/>
      <c r="B45" s="140"/>
      <c r="C45" s="140"/>
      <c r="D45" s="140"/>
      <c r="E45" s="140"/>
      <c r="F45" s="140"/>
      <c r="G45" s="140"/>
      <c r="H45" s="140"/>
      <c r="I45" s="139"/>
    </row>
    <row r="46" spans="1:20" ht="18.75" customHeight="1" x14ac:dyDescent="0.25">
      <c r="A46" s="140"/>
      <c r="B46" s="140"/>
      <c r="C46" s="140"/>
      <c r="D46" s="140"/>
      <c r="E46" s="140"/>
      <c r="F46" s="140"/>
      <c r="G46" s="140"/>
      <c r="H46" s="140"/>
      <c r="I46" s="139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</row>
    <row r="47" spans="1:20" ht="18.75" customHeight="1" x14ac:dyDescent="0.3">
      <c r="A47" s="68" t="s">
        <v>214</v>
      </c>
      <c r="B47" s="140"/>
      <c r="C47" s="140"/>
      <c r="D47" s="140"/>
      <c r="E47" s="140"/>
      <c r="F47" s="140"/>
      <c r="G47" s="140"/>
      <c r="H47" s="140"/>
      <c r="I47" s="139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</row>
    <row r="48" spans="1:20" s="141" customFormat="1" ht="18.75" customHeight="1" x14ac:dyDescent="0.3">
      <c r="A48" s="147"/>
      <c r="B48" s="140"/>
      <c r="C48" s="140"/>
      <c r="D48" s="140"/>
      <c r="E48" s="140"/>
      <c r="F48" s="140"/>
      <c r="G48" s="140"/>
      <c r="H48" s="140"/>
      <c r="I48" s="139"/>
    </row>
    <row r="49" spans="1:20" ht="16.5" customHeight="1" x14ac:dyDescent="0.25">
      <c r="A49" s="148" t="s">
        <v>215</v>
      </c>
      <c r="B49" s="140"/>
      <c r="C49" s="140"/>
      <c r="D49" s="140"/>
      <c r="E49" s="140"/>
      <c r="F49" s="140"/>
      <c r="G49" s="140"/>
      <c r="H49" s="140"/>
      <c r="I49" s="139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</row>
    <row r="50" spans="1:20" x14ac:dyDescent="0.25">
      <c r="A50" s="106" t="s">
        <v>216</v>
      </c>
      <c r="B50" s="146"/>
      <c r="C50" s="127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</row>
    <row r="51" spans="1:20" ht="15.75" customHeight="1" x14ac:dyDescent="0.25">
      <c r="A51" s="124" t="s">
        <v>210</v>
      </c>
      <c r="B51" s="134" t="s">
        <v>149</v>
      </c>
      <c r="C51" s="134" t="s">
        <v>150</v>
      </c>
      <c r="D51" s="115" t="s">
        <v>151</v>
      </c>
      <c r="E51" s="114" t="s">
        <v>152</v>
      </c>
      <c r="F51" s="114" t="s">
        <v>153</v>
      </c>
      <c r="G51" s="114" t="s">
        <v>154</v>
      </c>
      <c r="H51" s="114" t="s">
        <v>155</v>
      </c>
      <c r="I51" s="114" t="s">
        <v>156</v>
      </c>
      <c r="J51" s="114" t="s">
        <v>157</v>
      </c>
      <c r="K51" s="114" t="s">
        <v>158</v>
      </c>
      <c r="L51" s="114" t="s">
        <v>159</v>
      </c>
      <c r="M51" s="114" t="s">
        <v>160</v>
      </c>
      <c r="N51" s="104"/>
    </row>
    <row r="52" spans="1:20" x14ac:dyDescent="0.25">
      <c r="A52" s="92" t="s">
        <v>26</v>
      </c>
      <c r="B52" s="116">
        <v>0.96499999999999941</v>
      </c>
      <c r="C52" s="116">
        <v>0.88863636363636322</v>
      </c>
      <c r="D52" s="116">
        <v>0.82499999999999973</v>
      </c>
      <c r="E52" s="116">
        <v>0.75499999999999978</v>
      </c>
      <c r="F52" s="116">
        <v>0.61499999999999988</v>
      </c>
      <c r="G52" s="116">
        <v>0.54499999999999993</v>
      </c>
      <c r="H52" s="116">
        <v>0.54499999999999993</v>
      </c>
      <c r="I52" s="116">
        <v>0.47499999999999998</v>
      </c>
      <c r="J52" s="116">
        <v>0.47499999999999998</v>
      </c>
      <c r="K52" s="116">
        <v>0.47499999999999998</v>
      </c>
      <c r="L52" s="116">
        <v>0.47499999999999998</v>
      </c>
      <c r="M52" s="116">
        <v>0.47499999999999998</v>
      </c>
      <c r="N52" s="104"/>
    </row>
    <row r="53" spans="1:20" x14ac:dyDescent="0.25">
      <c r="A53" s="92" t="s">
        <v>30</v>
      </c>
      <c r="B53" s="116">
        <v>3.1465346534653493E-2</v>
      </c>
      <c r="C53" s="116">
        <v>0.1043636363636362</v>
      </c>
      <c r="D53" s="116">
        <v>0.15806451612903219</v>
      </c>
      <c r="E53" s="116">
        <v>0.21722580645161291</v>
      </c>
      <c r="F53" s="116">
        <v>0.35000000000000009</v>
      </c>
      <c r="G53" s="116">
        <v>0.42000000000000032</v>
      </c>
      <c r="H53" s="116">
        <v>0.42000000000000032</v>
      </c>
      <c r="I53" s="116">
        <v>0.46454545454545482</v>
      </c>
      <c r="J53" s="116">
        <v>0.43909090909090931</v>
      </c>
      <c r="K53" s="116">
        <v>0.41363636363636369</v>
      </c>
      <c r="L53" s="116">
        <v>0.40090909090909099</v>
      </c>
      <c r="M53" s="116">
        <v>0.37545454545454549</v>
      </c>
      <c r="N53" s="104"/>
    </row>
    <row r="54" spans="1:20" x14ac:dyDescent="0.25">
      <c r="A54" s="92" t="s">
        <v>31</v>
      </c>
      <c r="B54" s="116">
        <v>3.5346534653465361E-3</v>
      </c>
      <c r="C54" s="116">
        <v>3.4653465346534671E-3</v>
      </c>
      <c r="D54" s="116">
        <v>9.9354838709677408E-3</v>
      </c>
      <c r="E54" s="116">
        <v>2.0774193548387099E-2</v>
      </c>
      <c r="F54" s="116">
        <v>2.70967741935484E-2</v>
      </c>
      <c r="G54" s="116">
        <v>1.806451612903226E-2</v>
      </c>
      <c r="H54" s="116">
        <v>1.174193548387097E-2</v>
      </c>
      <c r="I54" s="116">
        <v>3.2680351906158367E-2</v>
      </c>
      <c r="J54" s="116">
        <v>5.4521994134897368E-2</v>
      </c>
      <c r="K54" s="116">
        <v>7.636363636363637E-2</v>
      </c>
      <c r="L54" s="116">
        <v>8.9090909090909096E-2</v>
      </c>
      <c r="M54" s="116">
        <v>0.11454545454545451</v>
      </c>
      <c r="N54" s="104"/>
    </row>
    <row r="55" spans="1:20" x14ac:dyDescent="0.25">
      <c r="A55" s="117" t="s">
        <v>33</v>
      </c>
      <c r="B55" s="118">
        <v>0</v>
      </c>
      <c r="C55" s="118">
        <v>3.5346534653465361E-3</v>
      </c>
      <c r="D55" s="118">
        <v>7.0000000000000036E-3</v>
      </c>
      <c r="E55" s="116">
        <v>7.0000000000000036E-3</v>
      </c>
      <c r="F55" s="116">
        <v>7.9032258064516189E-3</v>
      </c>
      <c r="G55" s="116">
        <v>1.693548387096775E-2</v>
      </c>
      <c r="H55" s="116">
        <v>2.3258064516129041E-2</v>
      </c>
      <c r="I55" s="116">
        <v>2.7774193548387109E-2</v>
      </c>
      <c r="J55" s="116">
        <v>3.1387096774193567E-2</v>
      </c>
      <c r="K55" s="116">
        <v>3.5000000000000017E-2</v>
      </c>
      <c r="L55" s="116">
        <v>3.5000000000000017E-2</v>
      </c>
      <c r="M55" s="116">
        <v>3.5000000000000017E-2</v>
      </c>
      <c r="N55" s="104"/>
    </row>
    <row r="56" spans="1:20" ht="16.5" customHeight="1" x14ac:dyDescent="0.25">
      <c r="A56" s="119" t="s">
        <v>206</v>
      </c>
      <c r="B56" s="120">
        <f t="shared" ref="B56:M56" si="0">SUM(B52:B55)</f>
        <v>0.99999999999999944</v>
      </c>
      <c r="C56" s="120">
        <f t="shared" si="0"/>
        <v>0.99999999999999944</v>
      </c>
      <c r="D56" s="120">
        <f t="shared" si="0"/>
        <v>0.99999999999999967</v>
      </c>
      <c r="E56" s="120">
        <f t="shared" si="0"/>
        <v>0.99999999999999978</v>
      </c>
      <c r="F56" s="120">
        <f t="shared" si="0"/>
        <v>1</v>
      </c>
      <c r="G56" s="120">
        <f t="shared" si="0"/>
        <v>1.0000000000000002</v>
      </c>
      <c r="H56" s="120">
        <f t="shared" si="0"/>
        <v>1.0000000000000002</v>
      </c>
      <c r="I56" s="120">
        <f t="shared" si="0"/>
        <v>1.0000000000000002</v>
      </c>
      <c r="J56" s="120">
        <f t="shared" si="0"/>
        <v>1.0000000000000002</v>
      </c>
      <c r="K56" s="120">
        <f t="shared" si="0"/>
        <v>1</v>
      </c>
      <c r="L56" s="120">
        <f t="shared" si="0"/>
        <v>1</v>
      </c>
      <c r="M56" s="120">
        <f t="shared" si="0"/>
        <v>1</v>
      </c>
      <c r="N56" s="104"/>
    </row>
    <row r="57" spans="1:20" x14ac:dyDescent="0.25">
      <c r="A57" s="112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04"/>
    </row>
    <row r="58" spans="1:20" x14ac:dyDescent="0.25">
      <c r="A58" s="106" t="s">
        <v>217</v>
      </c>
      <c r="B58" s="104"/>
      <c r="C58" s="105"/>
      <c r="D58" s="104"/>
      <c r="E58" s="107"/>
      <c r="F58" s="107"/>
      <c r="G58" s="107"/>
      <c r="H58" s="104"/>
      <c r="I58" s="104"/>
      <c r="J58" s="104"/>
      <c r="K58" s="104"/>
      <c r="L58" s="104"/>
      <c r="M58" s="104"/>
      <c r="N58" s="104"/>
    </row>
    <row r="59" spans="1:20" x14ac:dyDescent="0.25">
      <c r="A59" s="114" t="s">
        <v>210</v>
      </c>
      <c r="B59" s="114" t="s">
        <v>149</v>
      </c>
      <c r="C59" s="114" t="s">
        <v>150</v>
      </c>
      <c r="D59" s="114" t="s">
        <v>151</v>
      </c>
      <c r="E59" s="114" t="s">
        <v>152</v>
      </c>
      <c r="F59" s="114" t="s">
        <v>153</v>
      </c>
      <c r="G59" s="114" t="s">
        <v>154</v>
      </c>
      <c r="H59" s="114" t="s">
        <v>155</v>
      </c>
      <c r="I59" s="114" t="s">
        <v>156</v>
      </c>
      <c r="J59" s="114" t="s">
        <v>157</v>
      </c>
      <c r="K59" s="114" t="s">
        <v>158</v>
      </c>
      <c r="L59" s="114" t="s">
        <v>159</v>
      </c>
      <c r="M59" s="114" t="s">
        <v>160</v>
      </c>
      <c r="N59" s="104"/>
    </row>
    <row r="60" spans="1:20" ht="15.75" customHeight="1" x14ac:dyDescent="0.25">
      <c r="A60" s="92" t="s">
        <v>26</v>
      </c>
      <c r="B60" s="94">
        <v>0.93749999999999956</v>
      </c>
      <c r="C60" s="94">
        <v>0.75000000000000022</v>
      </c>
      <c r="D60" s="94">
        <v>0.60000000000000009</v>
      </c>
      <c r="E60" s="94">
        <v>0.5</v>
      </c>
      <c r="F60" s="94">
        <v>0.4</v>
      </c>
      <c r="G60" s="94">
        <v>0.4</v>
      </c>
      <c r="H60" s="94">
        <v>0.4</v>
      </c>
      <c r="I60" s="94">
        <v>0.4</v>
      </c>
      <c r="J60" s="94">
        <v>0.4</v>
      </c>
      <c r="K60" s="94">
        <v>0.3</v>
      </c>
      <c r="L60" s="94">
        <v>0.3</v>
      </c>
      <c r="M60" s="94">
        <v>0.3</v>
      </c>
      <c r="N60" s="104"/>
    </row>
    <row r="61" spans="1:20" ht="15.75" customHeight="1" x14ac:dyDescent="0.25">
      <c r="A61" s="92" t="s">
        <v>30</v>
      </c>
      <c r="B61" s="94">
        <v>5.7450495049504932E-2</v>
      </c>
      <c r="C61" s="94">
        <v>0.2399999999999998</v>
      </c>
      <c r="D61" s="94">
        <v>0.37580645161290321</v>
      </c>
      <c r="E61" s="94">
        <v>0.46032258064516129</v>
      </c>
      <c r="F61" s="94">
        <v>0.53749999999999998</v>
      </c>
      <c r="G61" s="94">
        <v>0.47500000000000009</v>
      </c>
      <c r="H61" s="94">
        <v>0.43750000000000011</v>
      </c>
      <c r="I61" s="94">
        <v>0.4</v>
      </c>
      <c r="J61" s="94">
        <v>0.375</v>
      </c>
      <c r="K61" s="94">
        <v>0.45</v>
      </c>
      <c r="L61" s="94">
        <v>0.45</v>
      </c>
      <c r="M61" s="94">
        <v>0.45</v>
      </c>
      <c r="N61" s="104"/>
    </row>
    <row r="62" spans="1:20" x14ac:dyDescent="0.25">
      <c r="A62" s="92" t="s">
        <v>31</v>
      </c>
      <c r="B62" s="94">
        <v>5.0495049504950531E-3</v>
      </c>
      <c r="C62" s="94">
        <v>4.950495049504954E-3</v>
      </c>
      <c r="D62" s="94">
        <v>1.419354838709677E-2</v>
      </c>
      <c r="E62" s="94">
        <v>2.96774193548387E-2</v>
      </c>
      <c r="F62" s="94">
        <v>5.1209677419354817E-2</v>
      </c>
      <c r="G62" s="94">
        <v>0.1008064516129033</v>
      </c>
      <c r="H62" s="94">
        <v>0.1292741935483871</v>
      </c>
      <c r="I62" s="94">
        <v>0.16032258064516119</v>
      </c>
      <c r="J62" s="94">
        <v>0.1801612903225806</v>
      </c>
      <c r="K62" s="94">
        <v>0.1875</v>
      </c>
      <c r="L62" s="94">
        <v>0.16250000000000001</v>
      </c>
      <c r="M62" s="94">
        <v>0.125</v>
      </c>
      <c r="N62" s="104"/>
    </row>
    <row r="63" spans="1:20" x14ac:dyDescent="0.25">
      <c r="A63" s="92" t="s">
        <v>33</v>
      </c>
      <c r="B63" s="94">
        <v>0</v>
      </c>
      <c r="C63" s="94">
        <v>5.0495049504950531E-3</v>
      </c>
      <c r="D63" s="94">
        <v>1.0000000000000011E-2</v>
      </c>
      <c r="E63" s="94">
        <v>1.0000000000000011E-2</v>
      </c>
      <c r="F63" s="94">
        <v>1.1290322580645169E-2</v>
      </c>
      <c r="G63" s="94">
        <v>2.419354838709678E-2</v>
      </c>
      <c r="H63" s="94">
        <v>3.3225806451612903E-2</v>
      </c>
      <c r="I63" s="94">
        <v>3.9677419354838712E-2</v>
      </c>
      <c r="J63" s="94">
        <v>4.4838709677419347E-2</v>
      </c>
      <c r="K63" s="94">
        <v>6.2499999999999993E-2</v>
      </c>
      <c r="L63" s="94">
        <v>8.7500000000000064E-2</v>
      </c>
      <c r="M63" s="94">
        <v>0.12500000000000019</v>
      </c>
      <c r="N63" s="104"/>
    </row>
    <row r="64" spans="1:20" x14ac:dyDescent="0.25">
      <c r="A64" s="119" t="s">
        <v>206</v>
      </c>
      <c r="B64" s="120">
        <v>0.99999999999999956</v>
      </c>
      <c r="C64" s="120">
        <v>1</v>
      </c>
      <c r="D64" s="120">
        <v>1</v>
      </c>
      <c r="E64" s="120">
        <v>1</v>
      </c>
      <c r="F64" s="120">
        <v>1</v>
      </c>
      <c r="G64" s="120">
        <v>1</v>
      </c>
      <c r="H64" s="120">
        <v>1</v>
      </c>
      <c r="I64" s="120">
        <v>0.99999999999999989</v>
      </c>
      <c r="J64" s="120">
        <v>0.99999999999999989</v>
      </c>
      <c r="K64" s="120">
        <v>1</v>
      </c>
      <c r="L64" s="120">
        <v>1</v>
      </c>
      <c r="M64" s="120">
        <v>1</v>
      </c>
      <c r="N64" s="104"/>
    </row>
    <row r="65" spans="1:14" x14ac:dyDescent="0.25">
      <c r="A65" s="112"/>
      <c r="B65" s="123"/>
      <c r="C65" s="123"/>
      <c r="D65" s="123"/>
      <c r="E65" s="112"/>
      <c r="F65" s="112"/>
      <c r="G65" s="112"/>
      <c r="H65" s="112"/>
      <c r="I65" s="112"/>
      <c r="J65" s="112"/>
      <c r="K65" s="112"/>
      <c r="L65" s="112"/>
      <c r="M65" s="112"/>
      <c r="N65" s="104"/>
    </row>
    <row r="66" spans="1:14" x14ac:dyDescent="0.25">
      <c r="A66" s="125" t="s">
        <v>218</v>
      </c>
      <c r="B66" s="126"/>
      <c r="C66" s="126"/>
      <c r="D66" s="126"/>
      <c r="E66" s="127"/>
      <c r="F66" s="127"/>
      <c r="G66" s="127"/>
      <c r="H66" s="127"/>
      <c r="I66" s="127"/>
      <c r="J66" s="127"/>
      <c r="K66" s="127"/>
      <c r="L66" s="127"/>
      <c r="M66" s="127"/>
      <c r="N66" s="104"/>
    </row>
    <row r="67" spans="1:14" x14ac:dyDescent="0.25">
      <c r="A67" s="124" t="s">
        <v>210</v>
      </c>
      <c r="B67" s="124" t="s">
        <v>149</v>
      </c>
      <c r="C67" s="124" t="s">
        <v>150</v>
      </c>
      <c r="D67" s="124" t="s">
        <v>151</v>
      </c>
      <c r="E67" s="124" t="s">
        <v>152</v>
      </c>
      <c r="F67" s="124" t="s">
        <v>153</v>
      </c>
      <c r="G67" s="124" t="s">
        <v>154</v>
      </c>
      <c r="H67" s="124" t="s">
        <v>155</v>
      </c>
      <c r="I67" s="124" t="s">
        <v>156</v>
      </c>
      <c r="J67" s="124" t="s">
        <v>157</v>
      </c>
      <c r="K67" s="124" t="s">
        <v>158</v>
      </c>
      <c r="L67" s="124" t="s">
        <v>159</v>
      </c>
      <c r="M67" s="124" t="s">
        <v>160</v>
      </c>
      <c r="N67" s="104"/>
    </row>
    <row r="68" spans="1:14" x14ac:dyDescent="0.25">
      <c r="A68" s="92" t="s">
        <v>26</v>
      </c>
      <c r="B68" s="121">
        <v>0.81799999999999995</v>
      </c>
      <c r="C68" s="121">
        <v>0.67499999999999982</v>
      </c>
      <c r="D68" s="121">
        <v>0.45624999999999999</v>
      </c>
      <c r="E68" s="121">
        <v>0.32500000000000001</v>
      </c>
      <c r="F68" s="121">
        <v>0.32500000000000001</v>
      </c>
      <c r="G68" s="121">
        <v>0.32500000000000001</v>
      </c>
      <c r="H68" s="121">
        <v>0.32500000000000001</v>
      </c>
      <c r="I68" s="121">
        <v>0.32500000000000001</v>
      </c>
      <c r="J68" s="121">
        <v>0.32500000000000001</v>
      </c>
      <c r="K68" s="121">
        <v>0.24374999999999999</v>
      </c>
      <c r="L68" s="121">
        <v>0.24374999999999999</v>
      </c>
      <c r="M68" s="121">
        <v>0.24374999999999999</v>
      </c>
      <c r="N68" s="104"/>
    </row>
    <row r="69" spans="1:14" x14ac:dyDescent="0.25">
      <c r="A69" s="92" t="s">
        <v>30</v>
      </c>
      <c r="B69" s="122">
        <v>0.1754356435643562</v>
      </c>
      <c r="C69" s="122">
        <v>0.31200000000000072</v>
      </c>
      <c r="D69" s="122">
        <v>0.51229838709677433</v>
      </c>
      <c r="E69" s="122">
        <v>0.59741935483870956</v>
      </c>
      <c r="F69" s="122">
        <v>0.49300000000000022</v>
      </c>
      <c r="G69" s="122">
        <v>0.4280000000000001</v>
      </c>
      <c r="H69" s="121">
        <v>0.37600000000000011</v>
      </c>
      <c r="I69" s="121">
        <v>0.35</v>
      </c>
      <c r="J69" s="121">
        <v>0.35</v>
      </c>
      <c r="K69" s="121">
        <v>0.43125000000000008</v>
      </c>
      <c r="L69" s="121">
        <v>0.34375000000000011</v>
      </c>
      <c r="M69" s="121">
        <v>0.3</v>
      </c>
      <c r="N69" s="104"/>
    </row>
    <row r="70" spans="1:14" ht="15.75" customHeight="1" x14ac:dyDescent="0.25">
      <c r="A70" s="92" t="s">
        <v>31</v>
      </c>
      <c r="B70" s="121">
        <v>6.5643564356435693E-3</v>
      </c>
      <c r="C70" s="121">
        <v>6.4356435643564396E-3</v>
      </c>
      <c r="D70" s="121">
        <v>1.8451612903225809E-2</v>
      </c>
      <c r="E70" s="121">
        <v>6.4580645161290279E-2</v>
      </c>
      <c r="F70" s="121">
        <v>0.16732258064516101</v>
      </c>
      <c r="G70" s="121">
        <v>0.21554838709677401</v>
      </c>
      <c r="H70" s="121">
        <v>0.25580645161290327</v>
      </c>
      <c r="I70" s="121">
        <v>0.24741935483870969</v>
      </c>
      <c r="J70" s="121">
        <v>0.18870967741935479</v>
      </c>
      <c r="K70" s="121">
        <v>0.14299999999999999</v>
      </c>
      <c r="L70" s="121">
        <v>0.19150000000000009</v>
      </c>
      <c r="M70" s="121">
        <v>0.20924999999999999</v>
      </c>
      <c r="N70" s="104"/>
    </row>
    <row r="71" spans="1:14" x14ac:dyDescent="0.25">
      <c r="A71" s="92" t="s">
        <v>33</v>
      </c>
      <c r="B71" s="121">
        <v>0</v>
      </c>
      <c r="C71" s="121">
        <v>6.5643564356435693E-3</v>
      </c>
      <c r="D71" s="121">
        <v>1.300000000000001E-2</v>
      </c>
      <c r="E71" s="121">
        <v>1.300000000000001E-2</v>
      </c>
      <c r="F71" s="121">
        <v>1.467741935483872E-2</v>
      </c>
      <c r="G71" s="121">
        <v>3.1451612903225817E-2</v>
      </c>
      <c r="H71" s="121">
        <v>4.3193548387096783E-2</v>
      </c>
      <c r="I71" s="121">
        <v>7.758064516129029E-2</v>
      </c>
      <c r="J71" s="121">
        <v>0.1362903225806453</v>
      </c>
      <c r="K71" s="121">
        <v>0.18199999999999969</v>
      </c>
      <c r="L71" s="121">
        <v>0.2209999999999997</v>
      </c>
      <c r="M71" s="121">
        <v>0.24699999999999969</v>
      </c>
      <c r="N71" s="104"/>
    </row>
    <row r="72" spans="1:14" x14ac:dyDescent="0.25">
      <c r="A72" s="119" t="s">
        <v>206</v>
      </c>
      <c r="B72" s="120">
        <f t="shared" ref="B72:M72" si="1">SUM(B68:B71)</f>
        <v>0.99999999999999967</v>
      </c>
      <c r="C72" s="120">
        <f t="shared" si="1"/>
        <v>1.0000000000000004</v>
      </c>
      <c r="D72" s="120">
        <f t="shared" si="1"/>
        <v>1.0000000000000002</v>
      </c>
      <c r="E72" s="120">
        <f t="shared" si="1"/>
        <v>0.99999999999999989</v>
      </c>
      <c r="F72" s="120">
        <f t="shared" si="1"/>
        <v>1</v>
      </c>
      <c r="G72" s="120">
        <f t="shared" si="1"/>
        <v>1</v>
      </c>
      <c r="H72" s="120">
        <f t="shared" si="1"/>
        <v>1.0000000000000002</v>
      </c>
      <c r="I72" s="120">
        <f t="shared" si="1"/>
        <v>1</v>
      </c>
      <c r="J72" s="120">
        <f t="shared" si="1"/>
        <v>1.0000000000000002</v>
      </c>
      <c r="K72" s="120">
        <f t="shared" si="1"/>
        <v>0.99999999999999978</v>
      </c>
      <c r="L72" s="120">
        <f t="shared" si="1"/>
        <v>1</v>
      </c>
      <c r="M72" s="120">
        <f t="shared" si="1"/>
        <v>0.99999999999999956</v>
      </c>
      <c r="N72" s="104"/>
    </row>
    <row r="73" spans="1:14" x14ac:dyDescent="0.25">
      <c r="A73" s="123"/>
      <c r="B73" s="123"/>
      <c r="C73" s="123"/>
      <c r="D73" s="123"/>
      <c r="E73" s="123"/>
      <c r="F73" s="123"/>
      <c r="G73" s="123"/>
      <c r="H73" s="112"/>
      <c r="I73" s="112"/>
      <c r="J73" s="112"/>
      <c r="K73" s="112"/>
      <c r="L73" s="112"/>
      <c r="M73" s="112"/>
      <c r="N73" s="104"/>
    </row>
    <row r="74" spans="1:14" x14ac:dyDescent="0.25">
      <c r="A74" s="104"/>
      <c r="B74" s="104"/>
      <c r="C74" s="105"/>
      <c r="D74" s="104"/>
      <c r="E74" s="107"/>
      <c r="F74" s="107"/>
      <c r="G74" s="107"/>
      <c r="H74" s="104"/>
      <c r="I74" s="104"/>
      <c r="J74" s="104"/>
      <c r="K74" s="104"/>
      <c r="L74" s="104"/>
      <c r="M74" s="104"/>
      <c r="N74" s="104"/>
    </row>
    <row r="75" spans="1:14" ht="15.75" customHeight="1" x14ac:dyDescent="0.25">
      <c r="A75" s="148" t="s">
        <v>219</v>
      </c>
      <c r="B75" s="127"/>
      <c r="C75" s="126"/>
      <c r="D75" s="127"/>
      <c r="E75" s="107"/>
      <c r="F75" s="107"/>
      <c r="G75" s="107"/>
      <c r="H75" s="104"/>
      <c r="I75" s="104"/>
      <c r="J75" s="104"/>
      <c r="K75" s="104"/>
      <c r="L75" s="104"/>
      <c r="M75" s="104"/>
      <c r="N75" s="104"/>
    </row>
    <row r="76" spans="1:14" x14ac:dyDescent="0.25">
      <c r="A76" s="124" t="s">
        <v>210</v>
      </c>
      <c r="B76" s="124" t="s">
        <v>169</v>
      </c>
      <c r="C76" s="124" t="s">
        <v>173</v>
      </c>
      <c r="D76" s="124" t="s">
        <v>171</v>
      </c>
      <c r="E76" s="104"/>
      <c r="F76" s="104"/>
      <c r="G76" s="104"/>
      <c r="H76" s="104"/>
      <c r="I76" s="108"/>
      <c r="J76" s="108"/>
      <c r="K76" s="108"/>
      <c r="L76" s="108"/>
      <c r="M76" s="108"/>
      <c r="N76" s="108"/>
    </row>
    <row r="77" spans="1:14" x14ac:dyDescent="0.25">
      <c r="A77" s="92" t="s">
        <v>26</v>
      </c>
      <c r="B77" s="96">
        <v>0.5</v>
      </c>
      <c r="C77" s="95">
        <v>0.5</v>
      </c>
      <c r="D77" s="128">
        <v>0.5</v>
      </c>
      <c r="E77" s="108"/>
      <c r="F77" s="108"/>
      <c r="G77" s="108"/>
      <c r="H77" s="108"/>
      <c r="I77" s="108"/>
      <c r="J77" s="108"/>
      <c r="K77" s="108"/>
      <c r="L77" s="108"/>
      <c r="M77" s="108"/>
      <c r="N77" s="108"/>
    </row>
    <row r="78" spans="1:14" ht="15.75" customHeight="1" x14ac:dyDescent="0.25">
      <c r="A78" s="92" t="s">
        <v>30</v>
      </c>
      <c r="B78" s="96">
        <v>3.3</v>
      </c>
      <c r="C78" s="95">
        <v>3.8</v>
      </c>
      <c r="D78" s="128">
        <v>4</v>
      </c>
      <c r="E78" s="108"/>
      <c r="F78" s="108"/>
      <c r="G78" s="108"/>
      <c r="H78" s="108"/>
      <c r="I78" s="108"/>
      <c r="J78" s="108"/>
      <c r="K78" s="108"/>
      <c r="L78" s="108"/>
      <c r="M78" s="108"/>
      <c r="N78" s="108"/>
    </row>
    <row r="79" spans="1:14" x14ac:dyDescent="0.25">
      <c r="A79" s="92" t="s">
        <v>31</v>
      </c>
      <c r="B79" s="96">
        <v>8.1999999999999993</v>
      </c>
      <c r="C79" s="95">
        <v>9.8000000000000007</v>
      </c>
      <c r="D79" s="128">
        <v>8.4</v>
      </c>
      <c r="E79" s="108"/>
      <c r="F79" s="108"/>
      <c r="G79" s="108"/>
      <c r="H79" s="108"/>
      <c r="I79" s="108"/>
      <c r="J79" s="108"/>
      <c r="K79" s="108"/>
      <c r="L79" s="108"/>
      <c r="M79" s="108"/>
      <c r="N79" s="108"/>
    </row>
    <row r="80" spans="1:14" x14ac:dyDescent="0.25">
      <c r="A80" s="130" t="s">
        <v>33</v>
      </c>
      <c r="B80" s="131">
        <v>33</v>
      </c>
      <c r="C80" s="132">
        <v>21.4</v>
      </c>
      <c r="D80" s="133">
        <v>20.5</v>
      </c>
      <c r="E80" s="108"/>
      <c r="F80" s="108"/>
      <c r="G80" s="108"/>
      <c r="H80" s="108"/>
      <c r="I80" s="108"/>
      <c r="J80" s="108"/>
      <c r="K80" s="108"/>
      <c r="L80" s="108"/>
      <c r="M80" s="108"/>
      <c r="N80" s="108"/>
    </row>
    <row r="81" spans="1:14" x14ac:dyDescent="0.25">
      <c r="A81" s="123"/>
      <c r="B81" s="123"/>
      <c r="C81" s="123"/>
      <c r="D81" s="123"/>
      <c r="E81" s="108"/>
      <c r="F81" s="108"/>
      <c r="G81" s="108"/>
      <c r="H81" s="108"/>
      <c r="I81" s="108"/>
      <c r="J81" s="108"/>
      <c r="K81" s="108"/>
      <c r="L81" s="108"/>
      <c r="M81" s="108"/>
      <c r="N81" s="108"/>
    </row>
    <row r="82" spans="1:14" x14ac:dyDescent="0.25">
      <c r="A82" s="104"/>
      <c r="B82" s="105"/>
      <c r="C82" s="105"/>
      <c r="D82" s="105"/>
      <c r="E82" s="108"/>
      <c r="F82" s="108"/>
      <c r="G82" s="108"/>
      <c r="H82" s="108"/>
      <c r="I82" s="108"/>
      <c r="J82" s="108"/>
      <c r="K82" s="108"/>
      <c r="L82" s="108"/>
      <c r="M82" s="108"/>
      <c r="N82" s="108"/>
    </row>
    <row r="83" spans="1:14" x14ac:dyDescent="0.25">
      <c r="A83" s="129" t="s">
        <v>220</v>
      </c>
      <c r="B83" s="126"/>
      <c r="C83" s="126"/>
      <c r="D83" s="126"/>
      <c r="E83" s="108"/>
      <c r="F83" s="108"/>
      <c r="G83" s="108"/>
      <c r="H83" s="108"/>
      <c r="I83" s="108"/>
      <c r="J83" s="108"/>
      <c r="K83" s="108"/>
      <c r="L83" s="108"/>
      <c r="M83" s="108"/>
      <c r="N83" s="108"/>
    </row>
    <row r="84" spans="1:14" x14ac:dyDescent="0.25">
      <c r="A84" s="124" t="s">
        <v>210</v>
      </c>
      <c r="B84" s="124" t="s">
        <v>221</v>
      </c>
      <c r="C84" s="124" t="s">
        <v>79</v>
      </c>
      <c r="D84" s="124" t="s">
        <v>222</v>
      </c>
      <c r="E84" s="114" t="s">
        <v>223</v>
      </c>
      <c r="F84" s="114" t="s">
        <v>173</v>
      </c>
      <c r="G84" s="114" t="s">
        <v>224</v>
      </c>
      <c r="H84" s="108"/>
      <c r="I84" s="108"/>
      <c r="J84" s="108"/>
      <c r="K84" s="108"/>
      <c r="L84" s="108"/>
      <c r="M84" s="108"/>
      <c r="N84" s="108"/>
    </row>
    <row r="85" spans="1:14" x14ac:dyDescent="0.25">
      <c r="A85" s="92" t="s">
        <v>26</v>
      </c>
      <c r="B85" s="92" t="s">
        <v>87</v>
      </c>
      <c r="C85" s="93">
        <v>10</v>
      </c>
      <c r="D85" s="92" t="s">
        <v>88</v>
      </c>
      <c r="E85" s="143">
        <v>0.34</v>
      </c>
      <c r="F85" s="144">
        <v>0.48</v>
      </c>
      <c r="G85" s="145">
        <v>0.62</v>
      </c>
      <c r="H85" s="108"/>
      <c r="I85" s="108"/>
      <c r="J85" s="108"/>
      <c r="K85" s="108"/>
      <c r="L85" s="108"/>
      <c r="M85" s="108"/>
      <c r="N85" s="108"/>
    </row>
    <row r="86" spans="1:14" x14ac:dyDescent="0.25">
      <c r="A86" s="92" t="s">
        <v>30</v>
      </c>
      <c r="B86" s="92" t="s">
        <v>87</v>
      </c>
      <c r="C86" s="93">
        <v>15</v>
      </c>
      <c r="D86" s="92" t="s">
        <v>93</v>
      </c>
      <c r="E86" s="143">
        <v>0.15</v>
      </c>
      <c r="F86" s="144">
        <v>0.25</v>
      </c>
      <c r="G86" s="145">
        <v>0.35</v>
      </c>
      <c r="H86" s="108"/>
      <c r="I86" s="108"/>
      <c r="J86" s="108"/>
      <c r="K86" s="108"/>
      <c r="L86" s="108"/>
      <c r="M86" s="108"/>
      <c r="N86" s="108"/>
    </row>
    <row r="87" spans="1:14" x14ac:dyDescent="0.25">
      <c r="A87" s="92" t="s">
        <v>31</v>
      </c>
      <c r="B87" s="92" t="s">
        <v>87</v>
      </c>
      <c r="C87" s="93">
        <v>50</v>
      </c>
      <c r="D87" s="92" t="s">
        <v>93</v>
      </c>
      <c r="E87" s="143">
        <v>0.11</v>
      </c>
      <c r="F87" s="144">
        <v>0.2</v>
      </c>
      <c r="G87" s="145">
        <v>0.22</v>
      </c>
      <c r="H87" s="108"/>
      <c r="I87" s="108"/>
      <c r="J87" s="108"/>
      <c r="K87" s="108"/>
      <c r="L87" s="108"/>
      <c r="M87" s="108"/>
      <c r="N87" s="108"/>
    </row>
    <row r="88" spans="1:14" x14ac:dyDescent="0.25">
      <c r="A88" s="92" t="s">
        <v>33</v>
      </c>
      <c r="B88" s="92" t="s">
        <v>87</v>
      </c>
      <c r="C88" s="93">
        <v>100</v>
      </c>
      <c r="D88" s="92" t="s">
        <v>93</v>
      </c>
      <c r="E88" s="143">
        <v>0.23</v>
      </c>
      <c r="F88" s="144">
        <v>0.21</v>
      </c>
      <c r="G88" s="145">
        <v>0.27</v>
      </c>
      <c r="H88" s="108"/>
      <c r="I88" s="108"/>
      <c r="J88" s="108"/>
      <c r="K88" s="108"/>
      <c r="L88" s="108"/>
      <c r="M88" s="108"/>
      <c r="N88" s="108"/>
    </row>
    <row r="89" spans="1:14" x14ac:dyDescent="0.25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</row>
    <row r="90" spans="1:14" x14ac:dyDescent="0.25">
      <c r="A90" s="108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</row>
    <row r="91" spans="1:14" x14ac:dyDescent="0.25">
      <c r="A91" s="108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</row>
    <row r="92" spans="1:14" x14ac:dyDescent="0.25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</row>
    <row r="93" spans="1:14" x14ac:dyDescent="0.25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</row>
    <row r="94" spans="1:14" x14ac:dyDescent="0.25">
      <c r="A94" s="108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</row>
    <row r="95" spans="1:14" x14ac:dyDescent="0.25">
      <c r="A95" s="108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</row>
    <row r="96" spans="1:14" x14ac:dyDescent="0.25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</row>
    <row r="97" spans="1:14" x14ac:dyDescent="0.25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19"/>
  <sheetViews>
    <sheetView workbookViewId="0">
      <selection activeCell="B6" sqref="B6:M9"/>
    </sheetView>
  </sheetViews>
  <sheetFormatPr defaultRowHeight="15" x14ac:dyDescent="0.25"/>
  <cols>
    <col min="1" max="1" width="12" style="155" customWidth="1"/>
    <col min="2" max="2" width="35" customWidth="1"/>
    <col min="3" max="3" width="12" customWidth="1"/>
    <col min="4" max="4" width="10" customWidth="1"/>
    <col min="5" max="5" width="14" customWidth="1"/>
    <col min="6" max="6" width="25" customWidth="1"/>
    <col min="7" max="7" width="15" customWidth="1"/>
    <col min="8" max="12" width="12" style="155" customWidth="1"/>
  </cols>
  <sheetData>
    <row r="1" spans="1:29" ht="18.75" customHeight="1" x14ac:dyDescent="0.3">
      <c r="A1" s="192" t="s">
        <v>225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36"/>
      <c r="Q1" s="206" t="s">
        <v>226</v>
      </c>
    </row>
    <row r="2" spans="1:29" x14ac:dyDescent="0.25">
      <c r="A2" s="191" t="s">
        <v>227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36"/>
      <c r="Q2" t="s">
        <v>228</v>
      </c>
    </row>
    <row r="3" spans="1:29" x14ac:dyDescent="0.25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36"/>
    </row>
    <row r="4" spans="1:29" ht="15.75" customHeight="1" x14ac:dyDescent="0.25">
      <c r="A4" s="193" t="s">
        <v>229</v>
      </c>
      <c r="B4" s="191"/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36"/>
      <c r="Q4" s="207" t="s">
        <v>229</v>
      </c>
    </row>
    <row r="5" spans="1:29" x14ac:dyDescent="0.25">
      <c r="A5" s="194" t="s">
        <v>210</v>
      </c>
      <c r="B5" s="194" t="s">
        <v>149</v>
      </c>
      <c r="C5" s="194" t="s">
        <v>150</v>
      </c>
      <c r="D5" s="194" t="s">
        <v>151</v>
      </c>
      <c r="E5" s="194" t="s">
        <v>152</v>
      </c>
      <c r="F5" s="194" t="s">
        <v>153</v>
      </c>
      <c r="G5" s="194" t="s">
        <v>154</v>
      </c>
      <c r="H5" s="194" t="s">
        <v>155</v>
      </c>
      <c r="I5" s="194" t="s">
        <v>156</v>
      </c>
      <c r="J5" s="194" t="s">
        <v>157</v>
      </c>
      <c r="K5" s="194" t="s">
        <v>158</v>
      </c>
      <c r="L5" s="194" t="s">
        <v>159</v>
      </c>
      <c r="M5" s="194" t="s">
        <v>160</v>
      </c>
      <c r="Q5" s="194" t="s">
        <v>210</v>
      </c>
      <c r="R5" s="194" t="s">
        <v>149</v>
      </c>
      <c r="S5" s="194" t="s">
        <v>150</v>
      </c>
      <c r="T5" s="194" t="s">
        <v>151</v>
      </c>
      <c r="U5" s="194" t="s">
        <v>152</v>
      </c>
      <c r="V5" s="194" t="s">
        <v>153</v>
      </c>
      <c r="W5" s="194" t="s">
        <v>154</v>
      </c>
      <c r="X5" s="194" t="s">
        <v>155</v>
      </c>
      <c r="Y5" s="194" t="s">
        <v>156</v>
      </c>
      <c r="Z5" s="194" t="s">
        <v>157</v>
      </c>
      <c r="AA5" s="194" t="s">
        <v>158</v>
      </c>
      <c r="AB5" s="194" t="s">
        <v>159</v>
      </c>
      <c r="AC5" s="194" t="s">
        <v>160</v>
      </c>
    </row>
    <row r="6" spans="1:29" x14ac:dyDescent="0.25">
      <c r="A6" s="195" t="s">
        <v>26</v>
      </c>
      <c r="B6" s="196">
        <v>0.95625000000000082</v>
      </c>
      <c r="C6" s="196">
        <v>0.82500000000000029</v>
      </c>
      <c r="D6" s="196">
        <v>0.67500000000000016</v>
      </c>
      <c r="E6" s="196">
        <v>0.57500000000000007</v>
      </c>
      <c r="F6" s="196">
        <v>0.47499999999999998</v>
      </c>
      <c r="G6" s="196">
        <v>0.47499999999999998</v>
      </c>
      <c r="H6" s="196">
        <v>0.47499999999999998</v>
      </c>
      <c r="I6" s="196">
        <v>0.47499999999999998</v>
      </c>
      <c r="J6" s="196">
        <v>0.47499999999999998</v>
      </c>
      <c r="K6" s="196">
        <v>0.35625000000000001</v>
      </c>
      <c r="L6" s="196">
        <v>0.35625000000000001</v>
      </c>
      <c r="M6" s="196">
        <v>0.35625000000000001</v>
      </c>
      <c r="Q6" s="208" t="s">
        <v>26</v>
      </c>
      <c r="R6" s="209">
        <v>0.54605263157894723</v>
      </c>
      <c r="S6" s="209">
        <v>0.32500000000000001</v>
      </c>
      <c r="T6" s="209">
        <v>0.32500000000000001</v>
      </c>
      <c r="U6" s="209">
        <v>0.26</v>
      </c>
      <c r="V6" s="209">
        <v>0.19500000000000001</v>
      </c>
      <c r="W6" s="209">
        <v>0.16250000000000001</v>
      </c>
      <c r="X6" s="209">
        <v>0.16250000000000001</v>
      </c>
      <c r="Y6" s="209">
        <v>0.13</v>
      </c>
      <c r="Z6" s="209">
        <v>0.13</v>
      </c>
      <c r="AA6" s="209">
        <v>9.7500000000000003E-2</v>
      </c>
      <c r="AB6" s="209">
        <v>9.7500000000000003E-2</v>
      </c>
      <c r="AC6" s="209">
        <v>9.7500000000000003E-2</v>
      </c>
    </row>
    <row r="7" spans="1:29" x14ac:dyDescent="0.25">
      <c r="A7" s="197" t="s">
        <v>30</v>
      </c>
      <c r="B7" s="196">
        <v>4.0215346534653501E-2</v>
      </c>
      <c r="C7" s="196">
        <v>0.1679999999999999</v>
      </c>
      <c r="D7" s="196">
        <v>0.30806451612903268</v>
      </c>
      <c r="E7" s="196">
        <v>0.39722580645161282</v>
      </c>
      <c r="F7" s="196">
        <v>0.48124999999999968</v>
      </c>
      <c r="G7" s="196">
        <v>0.43749999999999978</v>
      </c>
      <c r="H7" s="196">
        <v>0.41124999999999978</v>
      </c>
      <c r="I7" s="196">
        <v>0.3849999999999999</v>
      </c>
      <c r="J7" s="196">
        <v>0.36749999999999988</v>
      </c>
      <c r="K7" s="196">
        <v>0.46874999999999989</v>
      </c>
      <c r="L7" s="196">
        <v>0.46874999999999989</v>
      </c>
      <c r="M7" s="196">
        <v>0.46874999999999989</v>
      </c>
      <c r="Q7" s="210" t="s">
        <v>30</v>
      </c>
      <c r="R7" s="209">
        <v>0.4473830119854092</v>
      </c>
      <c r="S7" s="209">
        <v>0.57156521739130273</v>
      </c>
      <c r="T7" s="209">
        <v>0.41180925666199181</v>
      </c>
      <c r="U7" s="209">
        <v>0.42841935483870991</v>
      </c>
      <c r="V7" s="209">
        <v>0.35105263157894739</v>
      </c>
      <c r="W7" s="209">
        <v>0.29144736842105262</v>
      </c>
      <c r="X7" s="209">
        <v>0.2361842105263158</v>
      </c>
      <c r="Y7" s="209">
        <v>0.21342105263157901</v>
      </c>
      <c r="Z7" s="209">
        <v>0.19500000000000001</v>
      </c>
      <c r="AA7" s="209">
        <v>0.22750000000000001</v>
      </c>
      <c r="AB7" s="209">
        <v>0.22750000000000001</v>
      </c>
      <c r="AC7" s="209">
        <v>0.22750000000000001</v>
      </c>
    </row>
    <row r="8" spans="1:29" x14ac:dyDescent="0.25">
      <c r="A8" s="198" t="s">
        <v>31</v>
      </c>
      <c r="B8" s="196">
        <v>3.5346534653465369E-3</v>
      </c>
      <c r="C8" s="196">
        <v>3.465346534653468E-3</v>
      </c>
      <c r="D8" s="196">
        <v>9.9354838709677408E-3</v>
      </c>
      <c r="E8" s="196">
        <v>2.0774193548387099E-2</v>
      </c>
      <c r="F8" s="196">
        <v>3.5846774193548418E-2</v>
      </c>
      <c r="G8" s="196">
        <v>7.0564516129032237E-2</v>
      </c>
      <c r="H8" s="196">
        <v>9.0491935483870911E-2</v>
      </c>
      <c r="I8" s="196">
        <v>0.1122258064516129</v>
      </c>
      <c r="J8" s="196">
        <v>0.12611290322580651</v>
      </c>
      <c r="K8" s="196">
        <v>0.13125000000000009</v>
      </c>
      <c r="L8" s="196">
        <v>0.11375</v>
      </c>
      <c r="M8" s="196">
        <v>8.7500000000000022E-2</v>
      </c>
      <c r="Q8" s="211" t="s">
        <v>31</v>
      </c>
      <c r="R8" s="209">
        <v>6.5643564356435693E-3</v>
      </c>
      <c r="S8" s="209">
        <v>9.6870426173052124E-2</v>
      </c>
      <c r="T8" s="209">
        <v>0.2501907433380085</v>
      </c>
      <c r="U8" s="209">
        <v>0.20814586255259451</v>
      </c>
      <c r="V8" s="209">
        <v>0.26405255776186609</v>
      </c>
      <c r="W8" s="209">
        <v>0.28286188824093927</v>
      </c>
      <c r="X8" s="209">
        <v>0.29812224108658758</v>
      </c>
      <c r="Y8" s="209">
        <v>0.34499830220713079</v>
      </c>
      <c r="Z8" s="209">
        <v>0.30144651952461798</v>
      </c>
      <c r="AA8" s="209">
        <v>0.22105263157894739</v>
      </c>
      <c r="AB8" s="209">
        <v>0.18421052631578949</v>
      </c>
      <c r="AC8" s="209">
        <v>0.12894736842105259</v>
      </c>
    </row>
    <row r="9" spans="1:29" x14ac:dyDescent="0.25">
      <c r="A9" s="199" t="s">
        <v>33</v>
      </c>
      <c r="B9" s="196">
        <v>0</v>
      </c>
      <c r="C9" s="196">
        <v>3.5346534653465369E-3</v>
      </c>
      <c r="D9" s="196">
        <v>7.0000000000000053E-3</v>
      </c>
      <c r="E9" s="196">
        <v>7.0000000000000053E-3</v>
      </c>
      <c r="F9" s="196">
        <v>7.9032258064516189E-3</v>
      </c>
      <c r="G9" s="196">
        <v>1.693548387096775E-2</v>
      </c>
      <c r="H9" s="196">
        <v>2.3258064516129041E-2</v>
      </c>
      <c r="I9" s="196">
        <v>2.7774193548387109E-2</v>
      </c>
      <c r="J9" s="196">
        <v>3.1387096774193567E-2</v>
      </c>
      <c r="K9" s="196">
        <v>4.3750000000000039E-2</v>
      </c>
      <c r="L9" s="196">
        <v>6.1250000000000047E-2</v>
      </c>
      <c r="M9" s="196">
        <v>8.7499999999999925E-2</v>
      </c>
      <c r="Q9" s="212" t="s">
        <v>33</v>
      </c>
      <c r="R9" s="209">
        <v>0</v>
      </c>
      <c r="S9" s="209">
        <v>6.5643564356435693E-3</v>
      </c>
      <c r="T9" s="209">
        <v>1.300000000000001E-2</v>
      </c>
      <c r="U9" s="209">
        <v>0.10343478260869569</v>
      </c>
      <c r="V9" s="209">
        <v>0.18989481065918659</v>
      </c>
      <c r="W9" s="209">
        <v>0.26319074333800851</v>
      </c>
      <c r="X9" s="209">
        <v>0.30319354838709728</v>
      </c>
      <c r="Y9" s="209">
        <v>0.31158064516129091</v>
      </c>
      <c r="Z9" s="209">
        <v>0.37355348047538239</v>
      </c>
      <c r="AA9" s="209">
        <v>0.45394736842105282</v>
      </c>
      <c r="AB9" s="209">
        <v>0.4907894736842105</v>
      </c>
      <c r="AC9" s="209">
        <v>0.54605263157894601</v>
      </c>
    </row>
    <row r="10" spans="1:29" x14ac:dyDescent="0.25">
      <c r="A10" s="200" t="s">
        <v>206</v>
      </c>
      <c r="B10" s="201">
        <v>1</v>
      </c>
      <c r="C10" s="201">
        <v>1</v>
      </c>
      <c r="D10" s="201">
        <v>1</v>
      </c>
      <c r="E10" s="201">
        <v>1</v>
      </c>
      <c r="F10" s="201">
        <v>1</v>
      </c>
      <c r="G10" s="201">
        <v>1</v>
      </c>
      <c r="H10" s="201">
        <v>1</v>
      </c>
      <c r="I10" s="201">
        <v>1</v>
      </c>
      <c r="J10" s="201">
        <v>1</v>
      </c>
      <c r="K10" s="201">
        <v>1</v>
      </c>
      <c r="L10" s="201">
        <v>1</v>
      </c>
      <c r="M10" s="201">
        <v>1</v>
      </c>
      <c r="Q10" s="200" t="s">
        <v>206</v>
      </c>
      <c r="R10" s="213">
        <v>1</v>
      </c>
      <c r="S10" s="213">
        <v>1</v>
      </c>
      <c r="T10" s="213">
        <v>1</v>
      </c>
      <c r="U10" s="213">
        <v>1</v>
      </c>
      <c r="V10" s="213">
        <v>1</v>
      </c>
      <c r="W10" s="213">
        <v>1</v>
      </c>
      <c r="X10" s="213">
        <v>1</v>
      </c>
      <c r="Y10" s="213">
        <v>1</v>
      </c>
      <c r="Z10" s="213">
        <v>1</v>
      </c>
      <c r="AA10" s="213">
        <v>1</v>
      </c>
      <c r="AB10" s="213">
        <v>1</v>
      </c>
      <c r="AC10" s="213">
        <v>1</v>
      </c>
    </row>
    <row r="11" spans="1:29" x14ac:dyDescent="0.25">
      <c r="A11" s="191"/>
      <c r="B11" s="191"/>
      <c r="C11" s="191"/>
      <c r="D11" s="191"/>
      <c r="E11" s="191"/>
      <c r="F11" s="191"/>
      <c r="G11" s="191"/>
      <c r="H11" s="191"/>
      <c r="I11" s="191"/>
      <c r="J11" s="191"/>
      <c r="K11" s="191"/>
      <c r="L11" s="191"/>
      <c r="M11" s="136"/>
    </row>
    <row r="12" spans="1:29" x14ac:dyDescent="0.25">
      <c r="A12" s="193" t="s">
        <v>230</v>
      </c>
      <c r="B12" s="191"/>
      <c r="C12" s="191"/>
      <c r="D12" s="191"/>
      <c r="E12" s="191"/>
      <c r="F12" s="191"/>
      <c r="G12" s="191"/>
      <c r="H12" s="191"/>
      <c r="I12" s="191"/>
      <c r="J12" s="191"/>
      <c r="K12" s="191"/>
      <c r="L12" s="191"/>
      <c r="M12" s="136"/>
      <c r="Q12" s="207" t="s">
        <v>230</v>
      </c>
    </row>
    <row r="13" spans="1:29" ht="15.75" customHeight="1" x14ac:dyDescent="0.25">
      <c r="A13" s="194" t="s">
        <v>210</v>
      </c>
      <c r="B13" s="194" t="s">
        <v>231</v>
      </c>
      <c r="C13" s="191"/>
      <c r="D13" s="191"/>
      <c r="E13" s="191"/>
      <c r="F13" s="191"/>
      <c r="G13" s="191"/>
      <c r="H13" s="191"/>
      <c r="I13" s="191"/>
      <c r="J13" s="191"/>
      <c r="K13" s="191"/>
      <c r="L13" s="191"/>
      <c r="M13" s="136"/>
      <c r="Q13" s="194" t="s">
        <v>210</v>
      </c>
      <c r="R13" s="194" t="s">
        <v>231</v>
      </c>
    </row>
    <row r="14" spans="1:29" x14ac:dyDescent="0.25">
      <c r="A14" s="195" t="s">
        <v>26</v>
      </c>
      <c r="B14" s="202">
        <v>0.5</v>
      </c>
      <c r="C14" s="191"/>
      <c r="D14" s="191"/>
      <c r="E14" s="191"/>
      <c r="F14" s="191"/>
      <c r="G14" s="191"/>
      <c r="H14" s="191"/>
      <c r="I14" s="191"/>
      <c r="J14" s="191"/>
      <c r="K14" s="191"/>
      <c r="L14" s="191"/>
      <c r="M14" s="136"/>
      <c r="Q14" s="208" t="s">
        <v>26</v>
      </c>
      <c r="R14" s="214">
        <v>0.5</v>
      </c>
    </row>
    <row r="15" spans="1:29" x14ac:dyDescent="0.25">
      <c r="A15" s="197" t="s">
        <v>30</v>
      </c>
      <c r="B15" s="202">
        <v>3.7</v>
      </c>
      <c r="C15" s="191"/>
      <c r="D15" s="191"/>
      <c r="E15" s="191"/>
      <c r="F15" s="191"/>
      <c r="G15" s="191"/>
      <c r="H15" s="191"/>
      <c r="I15" s="191"/>
      <c r="J15" s="191"/>
      <c r="K15" s="191"/>
      <c r="L15" s="191"/>
      <c r="M15" s="136"/>
      <c r="Q15" s="210" t="s">
        <v>30</v>
      </c>
      <c r="R15" s="214">
        <v>3</v>
      </c>
    </row>
    <row r="16" spans="1:29" x14ac:dyDescent="0.25">
      <c r="A16" s="198" t="s">
        <v>31</v>
      </c>
      <c r="B16" s="202">
        <v>9.6999999999999993</v>
      </c>
      <c r="C16" s="191"/>
      <c r="D16" s="191"/>
      <c r="E16" s="191"/>
      <c r="F16" s="191"/>
      <c r="G16" s="191"/>
      <c r="H16" s="191"/>
      <c r="I16" s="191"/>
      <c r="J16" s="191"/>
      <c r="K16" s="191"/>
      <c r="L16" s="191"/>
      <c r="M16" s="136"/>
      <c r="Q16" s="211" t="s">
        <v>31</v>
      </c>
      <c r="R16" s="214">
        <v>10.5</v>
      </c>
    </row>
    <row r="17" spans="1:21" x14ac:dyDescent="0.25">
      <c r="A17" s="199" t="s">
        <v>33</v>
      </c>
      <c r="B17" s="202">
        <v>21.4</v>
      </c>
      <c r="C17" s="191"/>
      <c r="D17" s="191"/>
      <c r="E17" s="191"/>
      <c r="F17" s="191"/>
      <c r="G17" s="191"/>
      <c r="H17" s="191"/>
      <c r="I17" s="191"/>
      <c r="J17" s="191"/>
      <c r="K17" s="191"/>
      <c r="L17" s="191"/>
      <c r="M17" s="136"/>
      <c r="Q17" s="212" t="s">
        <v>33</v>
      </c>
      <c r="R17" s="214">
        <v>26.2</v>
      </c>
    </row>
    <row r="18" spans="1:21" x14ac:dyDescent="0.25">
      <c r="A18" s="191"/>
      <c r="B18" s="191"/>
      <c r="C18" s="191"/>
      <c r="D18" s="191"/>
      <c r="E18" s="191"/>
      <c r="F18" s="191"/>
      <c r="G18" s="191"/>
      <c r="H18" s="191"/>
      <c r="I18" s="191"/>
      <c r="J18" s="191"/>
      <c r="K18" s="191"/>
      <c r="L18" s="191"/>
      <c r="M18" s="136"/>
    </row>
    <row r="19" spans="1:21" x14ac:dyDescent="0.25">
      <c r="A19" s="193" t="s">
        <v>232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36"/>
      <c r="Q19" s="207" t="s">
        <v>232</v>
      </c>
    </row>
    <row r="20" spans="1:21" x14ac:dyDescent="0.25">
      <c r="A20" s="194" t="s">
        <v>197</v>
      </c>
      <c r="B20" s="194" t="s">
        <v>233</v>
      </c>
      <c r="C20" s="194" t="s">
        <v>234</v>
      </c>
      <c r="D20" s="194" t="s">
        <v>235</v>
      </c>
      <c r="E20" s="194" t="s">
        <v>236</v>
      </c>
      <c r="F20" s="191"/>
      <c r="G20" s="191"/>
      <c r="H20" s="191"/>
      <c r="I20" s="191"/>
      <c r="J20" s="191"/>
      <c r="K20" s="191"/>
      <c r="L20" s="191"/>
      <c r="M20" s="136"/>
      <c r="Q20" s="194" t="s">
        <v>197</v>
      </c>
      <c r="R20" s="194" t="s">
        <v>233</v>
      </c>
      <c r="S20" s="194" t="s">
        <v>234</v>
      </c>
      <c r="T20" s="194" t="s">
        <v>235</v>
      </c>
      <c r="U20" s="194" t="s">
        <v>236</v>
      </c>
    </row>
    <row r="21" spans="1:21" ht="15.75" customHeight="1" x14ac:dyDescent="0.25">
      <c r="A21" s="203" t="s">
        <v>200</v>
      </c>
      <c r="B21" s="203" t="s">
        <v>237</v>
      </c>
      <c r="C21" s="203" t="s">
        <v>238</v>
      </c>
      <c r="D21" s="203">
        <v>4</v>
      </c>
      <c r="E21" s="204">
        <v>0.11874999999999999</v>
      </c>
      <c r="F21" s="191"/>
      <c r="G21" s="191"/>
      <c r="H21" s="191"/>
      <c r="I21" s="191"/>
      <c r="J21" s="191"/>
      <c r="K21" s="191"/>
      <c r="L21" s="191"/>
      <c r="M21" s="136"/>
      <c r="Q21" s="215" t="s">
        <v>200</v>
      </c>
      <c r="R21" s="215" t="s">
        <v>237</v>
      </c>
      <c r="S21" s="215" t="s">
        <v>239</v>
      </c>
      <c r="T21" s="215">
        <v>10</v>
      </c>
      <c r="U21" s="216">
        <v>3.2500000000000001E-2</v>
      </c>
    </row>
    <row r="22" spans="1:21" x14ac:dyDescent="0.25">
      <c r="A22" s="203" t="s">
        <v>201</v>
      </c>
      <c r="B22" s="203" t="s">
        <v>240</v>
      </c>
      <c r="C22" s="203" t="s">
        <v>241</v>
      </c>
      <c r="D22" s="203">
        <v>7</v>
      </c>
      <c r="E22" s="204">
        <v>0.05</v>
      </c>
      <c r="F22" s="191"/>
      <c r="G22" s="191"/>
      <c r="H22" s="191"/>
      <c r="I22" s="191"/>
      <c r="J22" s="191"/>
      <c r="K22" s="191"/>
      <c r="L22" s="191"/>
      <c r="M22" s="136"/>
      <c r="Q22" s="215" t="s">
        <v>201</v>
      </c>
      <c r="R22" s="215" t="s">
        <v>240</v>
      </c>
      <c r="S22" s="215" t="s">
        <v>242</v>
      </c>
      <c r="T22" s="215">
        <v>19</v>
      </c>
      <c r="U22" s="216">
        <v>1.8421052631578949E-2</v>
      </c>
    </row>
    <row r="23" spans="1:21" x14ac:dyDescent="0.25">
      <c r="A23" s="203" t="s">
        <v>202</v>
      </c>
      <c r="B23" s="203" t="s">
        <v>243</v>
      </c>
      <c r="C23" s="203" t="s">
        <v>244</v>
      </c>
      <c r="D23" s="203">
        <v>16</v>
      </c>
      <c r="E23" s="204">
        <v>8.7500000000000008E-3</v>
      </c>
      <c r="F23" s="191"/>
      <c r="G23" s="191"/>
      <c r="H23" s="191"/>
      <c r="I23" s="191"/>
      <c r="J23" s="191"/>
      <c r="K23" s="191"/>
      <c r="L23" s="191"/>
      <c r="M23" s="136"/>
      <c r="Q23" s="215" t="s">
        <v>202</v>
      </c>
      <c r="R23" s="215" t="s">
        <v>243</v>
      </c>
      <c r="S23" s="215" t="s">
        <v>245</v>
      </c>
      <c r="T23" s="215">
        <v>46</v>
      </c>
      <c r="U23" s="216">
        <v>5.6521739130434784E-3</v>
      </c>
    </row>
    <row r="24" spans="1:21" x14ac:dyDescent="0.25">
      <c r="A24" s="203" t="s">
        <v>203</v>
      </c>
      <c r="B24" s="203" t="s">
        <v>246</v>
      </c>
      <c r="C24" s="203" t="s">
        <v>246</v>
      </c>
      <c r="D24" s="203">
        <v>31</v>
      </c>
      <c r="E24" s="204">
        <v>9.0322580645161297E-4</v>
      </c>
      <c r="F24" s="191"/>
      <c r="G24" s="191"/>
      <c r="H24" s="191"/>
      <c r="I24" s="191"/>
      <c r="J24" s="191"/>
      <c r="K24" s="191"/>
      <c r="L24" s="191"/>
      <c r="M24" s="136"/>
      <c r="Q24" s="215" t="s">
        <v>203</v>
      </c>
      <c r="R24" s="215" t="s">
        <v>246</v>
      </c>
      <c r="S24" s="215" t="s">
        <v>246</v>
      </c>
      <c r="T24" s="215">
        <v>31</v>
      </c>
      <c r="U24" s="216">
        <v>1.6774193548387099E-3</v>
      </c>
    </row>
    <row r="25" spans="1:21" x14ac:dyDescent="0.25">
      <c r="A25" s="203" t="s">
        <v>204</v>
      </c>
      <c r="B25" s="203" t="s">
        <v>247</v>
      </c>
      <c r="C25" s="203" t="s">
        <v>247</v>
      </c>
      <c r="D25" s="203">
        <v>101</v>
      </c>
      <c r="E25" s="204">
        <v>6.9306930693069314E-5</v>
      </c>
      <c r="F25" s="191"/>
      <c r="G25" s="191"/>
      <c r="H25" s="191"/>
      <c r="I25" s="191"/>
      <c r="J25" s="191"/>
      <c r="K25" s="191"/>
      <c r="L25" s="191"/>
      <c r="M25" s="136"/>
      <c r="Q25" s="215" t="s">
        <v>204</v>
      </c>
      <c r="R25" s="215" t="s">
        <v>247</v>
      </c>
      <c r="S25" s="215" t="s">
        <v>247</v>
      </c>
      <c r="T25" s="215">
        <v>101</v>
      </c>
      <c r="U25" s="216">
        <v>1.2871287128712869E-4</v>
      </c>
    </row>
    <row r="26" spans="1:21" x14ac:dyDescent="0.25">
      <c r="A26" s="191"/>
      <c r="B26" s="191"/>
      <c r="C26" s="191"/>
      <c r="D26" s="191"/>
      <c r="E26" s="191"/>
      <c r="F26" s="191"/>
      <c r="G26" s="191"/>
      <c r="H26" s="191"/>
      <c r="I26" s="191"/>
      <c r="J26" s="191"/>
      <c r="K26" s="191"/>
      <c r="L26" s="191"/>
      <c r="M26" s="136"/>
    </row>
    <row r="27" spans="1:21" x14ac:dyDescent="0.25">
      <c r="A27" s="193" t="s">
        <v>248</v>
      </c>
      <c r="B27" s="191"/>
      <c r="C27" s="191"/>
      <c r="D27" s="191"/>
      <c r="E27" s="191"/>
      <c r="F27" s="191"/>
      <c r="G27" s="191"/>
      <c r="H27" s="191"/>
      <c r="I27" s="191"/>
      <c r="J27" s="191"/>
      <c r="K27" s="191"/>
      <c r="L27" s="191"/>
      <c r="M27" s="136"/>
      <c r="Q27" s="207" t="s">
        <v>248</v>
      </c>
    </row>
    <row r="28" spans="1:21" x14ac:dyDescent="0.25">
      <c r="A28" s="194" t="s">
        <v>210</v>
      </c>
      <c r="B28" s="194" t="s">
        <v>249</v>
      </c>
      <c r="C28" s="194" t="s">
        <v>250</v>
      </c>
      <c r="D28" s="191"/>
      <c r="E28" s="191"/>
      <c r="F28" s="191"/>
      <c r="G28" s="191"/>
      <c r="H28" s="191"/>
      <c r="I28" s="191"/>
      <c r="J28" s="191"/>
      <c r="K28" s="191"/>
      <c r="L28" s="191"/>
      <c r="M28" s="136"/>
      <c r="Q28" s="194" t="s">
        <v>210</v>
      </c>
      <c r="R28" s="194" t="s">
        <v>249</v>
      </c>
      <c r="S28" s="194" t="s">
        <v>250</v>
      </c>
    </row>
    <row r="29" spans="1:21" x14ac:dyDescent="0.25">
      <c r="A29" s="195" t="s">
        <v>26</v>
      </c>
      <c r="B29" s="205" t="s">
        <v>251</v>
      </c>
      <c r="C29" s="196">
        <v>0.35625000000000001</v>
      </c>
      <c r="D29" s="191"/>
      <c r="E29" s="191"/>
      <c r="F29" s="191"/>
      <c r="G29" s="191"/>
      <c r="H29" s="191"/>
      <c r="I29" s="191"/>
      <c r="J29" s="191"/>
      <c r="K29" s="191"/>
      <c r="L29" s="191"/>
      <c r="M29" s="136"/>
      <c r="Q29" s="208" t="s">
        <v>26</v>
      </c>
      <c r="R29" s="217" t="s">
        <v>252</v>
      </c>
      <c r="S29" s="209">
        <v>9.7500000000000003E-2</v>
      </c>
    </row>
    <row r="30" spans="1:21" x14ac:dyDescent="0.25">
      <c r="A30" s="197" t="s">
        <v>30</v>
      </c>
      <c r="B30" s="205" t="s">
        <v>253</v>
      </c>
      <c r="C30" s="196">
        <v>0.46874999999999989</v>
      </c>
      <c r="D30" s="191"/>
      <c r="E30" s="191"/>
      <c r="F30" s="191"/>
      <c r="G30" s="191"/>
      <c r="H30" s="191"/>
      <c r="I30" s="191"/>
      <c r="J30" s="191"/>
      <c r="K30" s="191"/>
      <c r="L30" s="191"/>
      <c r="M30" s="136"/>
      <c r="Q30" s="210" t="s">
        <v>30</v>
      </c>
      <c r="R30" s="217" t="s">
        <v>254</v>
      </c>
      <c r="S30" s="209">
        <v>0.22750000000000001</v>
      </c>
    </row>
    <row r="31" spans="1:21" x14ac:dyDescent="0.25">
      <c r="A31" s="198" t="s">
        <v>31</v>
      </c>
      <c r="B31" s="205" t="s">
        <v>255</v>
      </c>
      <c r="C31" s="196">
        <v>8.7500000000000022E-2</v>
      </c>
      <c r="D31" s="191"/>
      <c r="E31" s="191"/>
      <c r="F31" s="191"/>
      <c r="G31" s="191"/>
      <c r="H31" s="191"/>
      <c r="I31" s="191"/>
      <c r="J31" s="191"/>
      <c r="K31" s="191"/>
      <c r="L31" s="191"/>
      <c r="M31" s="136"/>
      <c r="Q31" s="211" t="s">
        <v>31</v>
      </c>
      <c r="R31" s="217" t="s">
        <v>256</v>
      </c>
      <c r="S31" s="209">
        <v>0.12894736842105259</v>
      </c>
    </row>
    <row r="32" spans="1:21" ht="15.75" customHeight="1" x14ac:dyDescent="0.25">
      <c r="A32" s="199" t="s">
        <v>33</v>
      </c>
      <c r="B32" s="205" t="s">
        <v>257</v>
      </c>
      <c r="C32" s="196">
        <v>8.7499999999999925E-2</v>
      </c>
      <c r="D32" s="191"/>
      <c r="E32" s="191"/>
      <c r="F32" s="191"/>
      <c r="G32" s="191"/>
      <c r="H32" s="191"/>
      <c r="I32" s="191"/>
      <c r="J32" s="191"/>
      <c r="K32" s="191"/>
      <c r="L32" s="191"/>
      <c r="M32" s="136"/>
      <c r="Q32" s="212" t="s">
        <v>33</v>
      </c>
      <c r="R32" s="217" t="s">
        <v>258</v>
      </c>
      <c r="S32" s="209">
        <v>0.54605263157894601</v>
      </c>
    </row>
    <row r="33" spans="1:13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36"/>
    </row>
    <row r="34" spans="1:13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36"/>
    </row>
    <row r="35" spans="1:13" x14ac:dyDescent="0.25">
      <c r="A35" s="191"/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36"/>
    </row>
    <row r="36" spans="1:13" ht="15.75" customHeight="1" x14ac:dyDescent="0.25">
      <c r="A36" s="193" t="s">
        <v>259</v>
      </c>
      <c r="B36" s="191"/>
      <c r="C36" s="191"/>
      <c r="D36" s="191"/>
      <c r="E36" s="191"/>
      <c r="F36" s="191"/>
      <c r="G36" s="191"/>
      <c r="H36" s="191"/>
      <c r="I36" s="191"/>
      <c r="J36" s="191"/>
      <c r="K36" s="191"/>
      <c r="L36" s="191"/>
      <c r="M36" s="136"/>
    </row>
    <row r="37" spans="1:13" x14ac:dyDescent="0.25">
      <c r="A37" s="191" t="s">
        <v>260</v>
      </c>
      <c r="B37" s="191"/>
      <c r="C37" s="191"/>
      <c r="D37" s="191"/>
      <c r="E37" s="191"/>
      <c r="F37" s="191"/>
      <c r="G37" s="191"/>
      <c r="H37" s="191"/>
      <c r="I37" s="191"/>
      <c r="J37" s="191"/>
      <c r="K37" s="191"/>
      <c r="L37" s="191"/>
      <c r="M37" s="136"/>
    </row>
    <row r="38" spans="1:13" x14ac:dyDescent="0.25">
      <c r="A38" s="191"/>
      <c r="B38" s="191"/>
      <c r="C38" s="191"/>
      <c r="D38" s="191"/>
      <c r="E38" s="191"/>
      <c r="F38" s="191"/>
      <c r="G38" s="191"/>
      <c r="H38" s="191"/>
      <c r="I38" s="191"/>
      <c r="J38" s="191"/>
      <c r="K38" s="191"/>
      <c r="L38" s="191"/>
      <c r="M38" s="136"/>
    </row>
    <row r="39" spans="1:13" x14ac:dyDescent="0.25">
      <c r="A39" s="194" t="s">
        <v>210</v>
      </c>
      <c r="B39" s="194" t="s">
        <v>221</v>
      </c>
      <c r="C39" s="194" t="s">
        <v>79</v>
      </c>
      <c r="D39" s="194" t="s">
        <v>222</v>
      </c>
      <c r="E39" s="194" t="s">
        <v>231</v>
      </c>
      <c r="F39" s="194" t="s">
        <v>261</v>
      </c>
      <c r="G39" s="194" t="s">
        <v>81</v>
      </c>
      <c r="H39" s="191"/>
      <c r="I39" s="191"/>
      <c r="J39" s="191"/>
      <c r="K39" s="191"/>
      <c r="L39" s="191"/>
      <c r="M39" s="136"/>
    </row>
    <row r="40" spans="1:13" x14ac:dyDescent="0.25">
      <c r="A40" s="195" t="s">
        <v>26</v>
      </c>
      <c r="B40" s="203" t="s">
        <v>87</v>
      </c>
      <c r="C40" s="203">
        <v>10</v>
      </c>
      <c r="D40" s="203" t="s">
        <v>88</v>
      </c>
      <c r="E40" s="202">
        <v>0.5</v>
      </c>
      <c r="F40" s="203" t="s">
        <v>262</v>
      </c>
      <c r="G40" s="201">
        <v>0.105</v>
      </c>
      <c r="H40" s="191"/>
      <c r="I40" s="191"/>
      <c r="J40" s="191"/>
      <c r="K40" s="191"/>
      <c r="L40" s="191"/>
      <c r="M40" s="136"/>
    </row>
    <row r="41" spans="1:13" x14ac:dyDescent="0.25">
      <c r="A41" s="197" t="s">
        <v>30</v>
      </c>
      <c r="B41" s="203" t="s">
        <v>87</v>
      </c>
      <c r="C41" s="203">
        <v>20</v>
      </c>
      <c r="D41" s="203" t="s">
        <v>93</v>
      </c>
      <c r="E41" s="202">
        <v>3.7</v>
      </c>
      <c r="F41" s="203" t="s">
        <v>263</v>
      </c>
      <c r="G41" s="201">
        <v>0.1295</v>
      </c>
      <c r="H41" s="191"/>
      <c r="I41" s="191"/>
      <c r="J41" s="191"/>
      <c r="K41" s="191"/>
      <c r="L41" s="191"/>
      <c r="M41" s="136"/>
    </row>
    <row r="42" spans="1:13" x14ac:dyDescent="0.25">
      <c r="A42" s="198" t="s">
        <v>31</v>
      </c>
      <c r="B42" s="203" t="s">
        <v>87</v>
      </c>
      <c r="C42" s="203">
        <v>50</v>
      </c>
      <c r="D42" s="203" t="s">
        <v>93</v>
      </c>
      <c r="E42" s="202">
        <v>9.6999999999999993</v>
      </c>
      <c r="F42" s="203" t="s">
        <v>264</v>
      </c>
      <c r="G42" s="201">
        <v>0.1358</v>
      </c>
      <c r="H42" s="191"/>
      <c r="I42" s="191"/>
      <c r="J42" s="191"/>
      <c r="K42" s="191"/>
      <c r="L42" s="191"/>
      <c r="M42" s="136"/>
    </row>
    <row r="43" spans="1:13" x14ac:dyDescent="0.25">
      <c r="A43" s="199" t="s">
        <v>33</v>
      </c>
      <c r="B43" s="203" t="s">
        <v>87</v>
      </c>
      <c r="C43" s="203">
        <v>100</v>
      </c>
      <c r="D43" s="203" t="s">
        <v>93</v>
      </c>
      <c r="E43" s="202">
        <v>21.4</v>
      </c>
      <c r="F43" s="203" t="s">
        <v>265</v>
      </c>
      <c r="G43" s="201">
        <v>0.14979999999999999</v>
      </c>
      <c r="H43" s="191"/>
      <c r="I43" s="191"/>
      <c r="J43" s="191"/>
      <c r="K43" s="191"/>
      <c r="L43" s="191"/>
      <c r="M43" s="136"/>
    </row>
    <row r="44" spans="1:13" x14ac:dyDescent="0.25">
      <c r="A44" s="191"/>
      <c r="B44" s="191"/>
      <c r="C44" s="191"/>
      <c r="D44" s="191"/>
      <c r="E44" s="191"/>
      <c r="F44" s="191"/>
      <c r="G44" s="191"/>
      <c r="H44" s="191"/>
      <c r="I44" s="191"/>
      <c r="J44" s="191"/>
      <c r="K44" s="191"/>
      <c r="L44" s="191"/>
      <c r="M44" s="136"/>
    </row>
    <row r="45" spans="1:13" x14ac:dyDescent="0.25">
      <c r="A45" s="191"/>
      <c r="B45" s="191"/>
      <c r="C45" s="191"/>
      <c r="D45" s="191"/>
      <c r="E45" s="191"/>
      <c r="F45" s="191"/>
      <c r="G45" s="191"/>
      <c r="H45" s="191"/>
      <c r="I45" s="191"/>
      <c r="J45" s="191"/>
      <c r="K45" s="191"/>
      <c r="L45" s="191"/>
      <c r="M45" s="136"/>
    </row>
    <row r="46" spans="1:13" x14ac:dyDescent="0.25">
      <c r="A46" s="191"/>
      <c r="B46" s="191"/>
      <c r="C46" s="191"/>
      <c r="D46" s="191"/>
      <c r="E46" s="191"/>
      <c r="F46" s="191"/>
      <c r="G46" s="191"/>
      <c r="H46" s="191"/>
      <c r="I46" s="191"/>
      <c r="J46" s="191"/>
      <c r="K46" s="191"/>
      <c r="L46" s="191"/>
      <c r="M46" s="136"/>
    </row>
    <row r="47" spans="1:13" x14ac:dyDescent="0.25">
      <c r="A47" s="191"/>
      <c r="B47" s="191"/>
      <c r="C47" s="191"/>
      <c r="D47" s="191"/>
      <c r="E47" s="191"/>
      <c r="F47" s="191"/>
      <c r="G47" s="191"/>
      <c r="H47" s="191"/>
      <c r="I47" s="191"/>
      <c r="J47" s="191"/>
      <c r="K47" s="191"/>
      <c r="L47" s="191"/>
      <c r="M47" s="136"/>
    </row>
    <row r="48" spans="1:13" x14ac:dyDescent="0.25">
      <c r="A48" s="191"/>
      <c r="B48" s="191"/>
      <c r="C48" s="191"/>
      <c r="D48" s="191"/>
      <c r="E48" s="191"/>
      <c r="F48" s="191"/>
      <c r="G48" s="191"/>
      <c r="H48" s="191"/>
      <c r="I48" s="191"/>
      <c r="J48" s="191"/>
      <c r="K48" s="191"/>
      <c r="L48" s="191"/>
      <c r="M48" s="136"/>
    </row>
    <row r="49" spans="1:13" x14ac:dyDescent="0.25">
      <c r="A49" s="191"/>
      <c r="B49" s="191"/>
      <c r="C49" s="191"/>
      <c r="D49" s="191"/>
      <c r="E49" s="191"/>
      <c r="F49" s="191"/>
      <c r="G49" s="191"/>
      <c r="H49" s="191"/>
      <c r="I49" s="191"/>
      <c r="J49" s="191"/>
      <c r="K49" s="191"/>
      <c r="L49" s="191"/>
      <c r="M49" s="136"/>
    </row>
    <row r="50" spans="1:13" x14ac:dyDescent="0.25">
      <c r="A50" s="191"/>
      <c r="B50" s="191"/>
      <c r="C50" s="191"/>
      <c r="D50" s="191"/>
      <c r="E50" s="191"/>
      <c r="F50" s="191"/>
      <c r="G50" s="191"/>
      <c r="H50" s="191"/>
      <c r="I50" s="191"/>
      <c r="J50" s="191"/>
      <c r="K50" s="191"/>
      <c r="L50" s="191"/>
      <c r="M50" s="136"/>
    </row>
    <row r="51" spans="1:13" x14ac:dyDescent="0.25">
      <c r="A51" s="191"/>
      <c r="B51" s="191"/>
      <c r="C51" s="191"/>
      <c r="D51" s="191"/>
      <c r="E51" s="191"/>
      <c r="F51" s="191"/>
      <c r="G51" s="191"/>
      <c r="H51" s="191"/>
      <c r="I51" s="191"/>
      <c r="J51" s="191"/>
      <c r="K51" s="191"/>
      <c r="L51" s="191"/>
      <c r="M51" s="136"/>
    </row>
    <row r="52" spans="1:13" x14ac:dyDescent="0.25">
      <c r="A52" s="191"/>
      <c r="B52" s="191"/>
      <c r="C52" s="191"/>
      <c r="D52" s="191"/>
      <c r="E52" s="191"/>
      <c r="F52" s="191"/>
      <c r="G52" s="191"/>
      <c r="H52" s="191"/>
      <c r="I52" s="191"/>
      <c r="J52" s="191"/>
      <c r="K52" s="191"/>
      <c r="L52" s="191"/>
      <c r="M52" s="136"/>
    </row>
    <row r="53" spans="1:13" x14ac:dyDescent="0.25">
      <c r="A53" s="191"/>
      <c r="B53" s="191"/>
      <c r="C53" s="191"/>
      <c r="D53" s="191"/>
      <c r="E53" s="191"/>
      <c r="F53" s="191"/>
      <c r="G53" s="191"/>
      <c r="H53" s="191"/>
      <c r="I53" s="191"/>
      <c r="J53" s="191"/>
      <c r="K53" s="191"/>
      <c r="L53" s="191"/>
      <c r="M53" s="136"/>
    </row>
    <row r="54" spans="1:13" x14ac:dyDescent="0.25">
      <c r="A54" s="191"/>
      <c r="B54" s="191"/>
      <c r="C54" s="191"/>
      <c r="D54" s="191"/>
      <c r="E54" s="191"/>
      <c r="F54" s="191"/>
      <c r="G54" s="191"/>
      <c r="H54" s="191"/>
      <c r="I54" s="191"/>
      <c r="J54" s="191"/>
      <c r="K54" s="191"/>
      <c r="L54" s="191"/>
      <c r="M54" s="136"/>
    </row>
    <row r="55" spans="1:13" x14ac:dyDescent="0.25">
      <c r="A55" s="191"/>
      <c r="B55" s="191"/>
      <c r="C55" s="191"/>
      <c r="D55" s="191"/>
      <c r="E55" s="191"/>
      <c r="F55" s="191"/>
      <c r="G55" s="191"/>
      <c r="H55" s="191"/>
      <c r="I55" s="191"/>
      <c r="J55" s="191"/>
      <c r="K55" s="191"/>
      <c r="L55" s="191"/>
      <c r="M55" s="136"/>
    </row>
    <row r="56" spans="1:13" x14ac:dyDescent="0.25">
      <c r="A56" s="191"/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36"/>
    </row>
    <row r="57" spans="1:13" x14ac:dyDescent="0.25">
      <c r="A57" s="191"/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36"/>
    </row>
    <row r="58" spans="1:13" x14ac:dyDescent="0.25">
      <c r="A58" s="191"/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36"/>
    </row>
    <row r="59" spans="1:13" x14ac:dyDescent="0.25">
      <c r="A59" s="191"/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36"/>
    </row>
    <row r="60" spans="1:13" x14ac:dyDescent="0.25">
      <c r="A60" s="191"/>
      <c r="B60" s="191"/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36"/>
    </row>
    <row r="61" spans="1:13" x14ac:dyDescent="0.25">
      <c r="A61" s="191"/>
      <c r="B61" s="191"/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36"/>
    </row>
    <row r="62" spans="1:13" x14ac:dyDescent="0.25">
      <c r="A62" s="191"/>
      <c r="B62" s="191"/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36"/>
    </row>
    <row r="63" spans="1:13" x14ac:dyDescent="0.25">
      <c r="A63" s="191"/>
      <c r="B63" s="191"/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36"/>
    </row>
    <row r="64" spans="1:13" x14ac:dyDescent="0.25">
      <c r="A64" s="191"/>
      <c r="B64" s="191"/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36"/>
    </row>
    <row r="65" spans="1:13" x14ac:dyDescent="0.25">
      <c r="A65" s="191"/>
      <c r="B65" s="191"/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36"/>
    </row>
    <row r="66" spans="1:13" x14ac:dyDescent="0.25">
      <c r="A66" s="191"/>
      <c r="B66" s="191"/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36"/>
    </row>
    <row r="67" spans="1:13" x14ac:dyDescent="0.25">
      <c r="A67" s="191"/>
      <c r="B67" s="191"/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36"/>
    </row>
    <row r="68" spans="1:13" x14ac:dyDescent="0.25">
      <c r="A68" s="191"/>
      <c r="B68" s="191"/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36"/>
    </row>
    <row r="69" spans="1:13" x14ac:dyDescent="0.25">
      <c r="A69" s="191"/>
      <c r="B69" s="191"/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36"/>
    </row>
    <row r="70" spans="1:13" x14ac:dyDescent="0.25">
      <c r="A70" s="191"/>
      <c r="B70" s="191"/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36"/>
    </row>
    <row r="71" spans="1:13" x14ac:dyDescent="0.25">
      <c r="A71" s="191"/>
      <c r="B71" s="191"/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36"/>
    </row>
    <row r="72" spans="1:13" x14ac:dyDescent="0.25">
      <c r="A72" s="191"/>
      <c r="B72" s="191"/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36"/>
    </row>
    <row r="73" spans="1:13" x14ac:dyDescent="0.25">
      <c r="A73" s="191"/>
      <c r="B73" s="191"/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36"/>
    </row>
    <row r="74" spans="1:13" x14ac:dyDescent="0.25">
      <c r="A74" s="191"/>
      <c r="B74" s="191"/>
      <c r="C74" s="191"/>
      <c r="D74" s="191"/>
      <c r="E74" s="191"/>
      <c r="F74" s="191"/>
      <c r="G74" s="191"/>
      <c r="H74" s="191"/>
      <c r="I74" s="191"/>
      <c r="J74" s="191"/>
      <c r="K74" s="191"/>
      <c r="L74" s="191"/>
      <c r="M74" s="136"/>
    </row>
    <row r="75" spans="1:13" x14ac:dyDescent="0.25">
      <c r="A75" s="191"/>
      <c r="B75" s="191"/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36"/>
    </row>
    <row r="76" spans="1:13" x14ac:dyDescent="0.25">
      <c r="A76" s="191"/>
      <c r="B76" s="191"/>
      <c r="C76" s="191"/>
      <c r="D76" s="191"/>
      <c r="E76" s="191"/>
      <c r="F76" s="191"/>
      <c r="G76" s="191"/>
      <c r="H76" s="191"/>
      <c r="I76" s="191"/>
      <c r="J76" s="191"/>
      <c r="K76" s="191"/>
      <c r="L76" s="191"/>
      <c r="M76" s="136"/>
    </row>
    <row r="77" spans="1:13" x14ac:dyDescent="0.25">
      <c r="A77" s="191"/>
      <c r="B77" s="191"/>
      <c r="C77" s="191"/>
      <c r="D77" s="191"/>
      <c r="E77" s="191"/>
      <c r="F77" s="191"/>
      <c r="G77" s="191"/>
      <c r="H77" s="191"/>
      <c r="I77" s="191"/>
      <c r="J77" s="191"/>
      <c r="K77" s="191"/>
      <c r="L77" s="191"/>
      <c r="M77" s="136"/>
    </row>
    <row r="78" spans="1:13" x14ac:dyDescent="0.25">
      <c r="A78" s="191"/>
      <c r="B78" s="191"/>
      <c r="C78" s="191"/>
      <c r="D78" s="191"/>
      <c r="E78" s="191"/>
      <c r="F78" s="191"/>
      <c r="G78" s="191"/>
      <c r="H78" s="191"/>
      <c r="I78" s="191"/>
      <c r="J78" s="191"/>
      <c r="K78" s="191"/>
      <c r="L78" s="191"/>
      <c r="M78" s="136"/>
    </row>
    <row r="79" spans="1:13" x14ac:dyDescent="0.25">
      <c r="A79" s="191"/>
      <c r="B79" s="191"/>
      <c r="C79" s="191"/>
      <c r="D79" s="191"/>
      <c r="E79" s="191"/>
      <c r="F79" s="191"/>
      <c r="G79" s="191"/>
      <c r="H79" s="191"/>
      <c r="I79" s="191"/>
      <c r="J79" s="191"/>
      <c r="K79" s="191"/>
      <c r="L79" s="191"/>
      <c r="M79" s="136"/>
    </row>
    <row r="80" spans="1:13" x14ac:dyDescent="0.25">
      <c r="A80" s="191"/>
      <c r="B80" s="191"/>
      <c r="C80" s="191"/>
      <c r="D80" s="191"/>
      <c r="E80" s="191"/>
      <c r="F80" s="191"/>
      <c r="G80" s="191"/>
      <c r="H80" s="191"/>
      <c r="I80" s="191"/>
      <c r="J80" s="191"/>
      <c r="K80" s="191"/>
      <c r="L80" s="191"/>
      <c r="M80" s="136"/>
    </row>
    <row r="81" spans="1:13" x14ac:dyDescent="0.25">
      <c r="A81" s="191"/>
      <c r="B81" s="191"/>
      <c r="C81" s="191"/>
      <c r="D81" s="191"/>
      <c r="E81" s="191"/>
      <c r="F81" s="191"/>
      <c r="G81" s="191"/>
      <c r="H81" s="191"/>
      <c r="I81" s="191"/>
      <c r="J81" s="191"/>
      <c r="K81" s="191"/>
      <c r="L81" s="191"/>
      <c r="M81" s="136"/>
    </row>
    <row r="82" spans="1:13" x14ac:dyDescent="0.25">
      <c r="A82" s="191"/>
      <c r="B82" s="191"/>
      <c r="C82" s="191"/>
      <c r="D82" s="191"/>
      <c r="E82" s="191"/>
      <c r="F82" s="191"/>
      <c r="G82" s="191"/>
      <c r="H82" s="191"/>
      <c r="I82" s="191"/>
      <c r="J82" s="191"/>
      <c r="K82" s="191"/>
      <c r="L82" s="191"/>
      <c r="M82" s="136"/>
    </row>
    <row r="83" spans="1:13" x14ac:dyDescent="0.25">
      <c r="A83" s="191"/>
      <c r="B83" s="191"/>
      <c r="C83" s="191"/>
      <c r="D83" s="191"/>
      <c r="E83" s="191"/>
      <c r="F83" s="191"/>
      <c r="G83" s="191"/>
      <c r="H83" s="191"/>
      <c r="I83" s="191"/>
      <c r="J83" s="191"/>
      <c r="K83" s="191"/>
      <c r="L83" s="191"/>
      <c r="M83" s="136"/>
    </row>
    <row r="84" spans="1:13" x14ac:dyDescent="0.25">
      <c r="A84" s="191"/>
      <c r="B84" s="191"/>
      <c r="C84" s="191"/>
      <c r="D84" s="191"/>
      <c r="E84" s="191"/>
      <c r="F84" s="191"/>
      <c r="G84" s="191"/>
      <c r="H84" s="191"/>
      <c r="I84" s="191"/>
      <c r="J84" s="191"/>
      <c r="K84" s="191"/>
      <c r="L84" s="191"/>
      <c r="M84" s="136"/>
    </row>
    <row r="85" spans="1:13" x14ac:dyDescent="0.25">
      <c r="A85" s="191"/>
      <c r="B85" s="191"/>
      <c r="C85" s="191"/>
      <c r="D85" s="191"/>
      <c r="E85" s="191"/>
      <c r="F85" s="191"/>
      <c r="G85" s="191"/>
      <c r="H85" s="191"/>
      <c r="I85" s="191"/>
      <c r="J85" s="191"/>
      <c r="K85" s="191"/>
      <c r="L85" s="191"/>
      <c r="M85" s="136"/>
    </row>
    <row r="86" spans="1:13" x14ac:dyDescent="0.25">
      <c r="A86" s="191"/>
      <c r="B86" s="191"/>
      <c r="C86" s="191"/>
      <c r="D86" s="191"/>
      <c r="E86" s="191"/>
      <c r="F86" s="191"/>
      <c r="G86" s="191"/>
      <c r="H86" s="191"/>
      <c r="I86" s="191"/>
      <c r="J86" s="191"/>
      <c r="K86" s="191"/>
      <c r="L86" s="191"/>
      <c r="M86" s="136"/>
    </row>
    <row r="87" spans="1:13" x14ac:dyDescent="0.25">
      <c r="A87" s="191"/>
      <c r="B87" s="191"/>
      <c r="C87" s="191"/>
      <c r="D87" s="191"/>
      <c r="E87" s="191"/>
      <c r="F87" s="191"/>
      <c r="G87" s="191"/>
      <c r="H87" s="191"/>
      <c r="I87" s="191"/>
      <c r="J87" s="191"/>
      <c r="K87" s="191"/>
      <c r="L87" s="191"/>
      <c r="M87" s="136"/>
    </row>
    <row r="88" spans="1:13" x14ac:dyDescent="0.25">
      <c r="A88" s="191"/>
      <c r="B88" s="191"/>
      <c r="C88" s="191"/>
      <c r="D88" s="191"/>
      <c r="E88" s="191"/>
      <c r="F88" s="191"/>
      <c r="G88" s="191"/>
      <c r="H88" s="191"/>
      <c r="I88" s="191"/>
      <c r="J88" s="191"/>
      <c r="K88" s="191"/>
      <c r="L88" s="191"/>
      <c r="M88" s="136"/>
    </row>
    <row r="89" spans="1:13" x14ac:dyDescent="0.25">
      <c r="A89" s="191"/>
      <c r="B89" s="191"/>
      <c r="C89" s="191"/>
      <c r="D89" s="191"/>
      <c r="E89" s="191"/>
      <c r="F89" s="191"/>
      <c r="G89" s="191"/>
      <c r="H89" s="191"/>
      <c r="I89" s="191"/>
      <c r="J89" s="191"/>
      <c r="K89" s="191"/>
      <c r="L89" s="191"/>
      <c r="M89" s="136"/>
    </row>
    <row r="90" spans="1:13" x14ac:dyDescent="0.25">
      <c r="A90" s="191"/>
      <c r="B90" s="191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36"/>
    </row>
    <row r="91" spans="1:13" x14ac:dyDescent="0.25">
      <c r="A91" s="191"/>
      <c r="B91" s="191"/>
      <c r="C91" s="191"/>
      <c r="D91" s="191"/>
      <c r="E91" s="191"/>
      <c r="F91" s="191"/>
      <c r="G91" s="191"/>
      <c r="H91" s="191"/>
      <c r="I91" s="191"/>
      <c r="J91" s="191"/>
      <c r="K91" s="191"/>
      <c r="L91" s="191"/>
      <c r="M91" s="136"/>
    </row>
    <row r="92" spans="1:13" x14ac:dyDescent="0.25">
      <c r="A92" s="191"/>
      <c r="B92" s="191"/>
      <c r="C92" s="191"/>
      <c r="D92" s="191"/>
      <c r="E92" s="191"/>
      <c r="F92" s="191"/>
      <c r="G92" s="191"/>
      <c r="H92" s="191"/>
      <c r="I92" s="191"/>
      <c r="J92" s="191"/>
      <c r="K92" s="191"/>
      <c r="L92" s="191"/>
      <c r="M92" s="136"/>
    </row>
    <row r="93" spans="1:13" x14ac:dyDescent="0.25">
      <c r="A93" s="191"/>
      <c r="B93" s="191"/>
      <c r="C93" s="191"/>
      <c r="D93" s="191"/>
      <c r="E93" s="191"/>
      <c r="F93" s="191"/>
      <c r="G93" s="191"/>
      <c r="H93" s="191"/>
      <c r="I93" s="191"/>
      <c r="J93" s="191"/>
      <c r="K93" s="191"/>
      <c r="L93" s="191"/>
      <c r="M93" s="136"/>
    </row>
    <row r="94" spans="1:13" x14ac:dyDescent="0.25">
      <c r="A94" s="191"/>
      <c r="B94" s="191"/>
      <c r="C94" s="191"/>
      <c r="D94" s="191"/>
      <c r="E94" s="191"/>
      <c r="F94" s="191"/>
      <c r="G94" s="191"/>
      <c r="H94" s="191"/>
      <c r="I94" s="191"/>
      <c r="J94" s="191"/>
      <c r="K94" s="191"/>
      <c r="L94" s="191"/>
      <c r="M94" s="136"/>
    </row>
    <row r="95" spans="1:13" x14ac:dyDescent="0.25">
      <c r="A95" s="191"/>
      <c r="B95" s="191"/>
      <c r="C95" s="191"/>
      <c r="D95" s="191"/>
      <c r="E95" s="191"/>
      <c r="F95" s="191"/>
      <c r="G95" s="191"/>
      <c r="H95" s="191"/>
      <c r="I95" s="191"/>
      <c r="J95" s="191"/>
      <c r="K95" s="191"/>
      <c r="L95" s="191"/>
      <c r="M95" s="136"/>
    </row>
    <row r="96" spans="1:13" x14ac:dyDescent="0.25">
      <c r="A96" s="191"/>
      <c r="B96" s="191"/>
      <c r="C96" s="191"/>
      <c r="D96" s="191"/>
      <c r="E96" s="191"/>
      <c r="F96" s="191"/>
      <c r="G96" s="191"/>
      <c r="H96" s="191"/>
      <c r="I96" s="191"/>
      <c r="J96" s="191"/>
      <c r="K96" s="191"/>
      <c r="L96" s="191"/>
      <c r="M96" s="136"/>
    </row>
    <row r="97" spans="1:13" x14ac:dyDescent="0.25">
      <c r="A97" s="191"/>
      <c r="B97" s="191"/>
      <c r="C97" s="191"/>
      <c r="D97" s="191"/>
      <c r="E97" s="191"/>
      <c r="F97" s="191"/>
      <c r="G97" s="191"/>
      <c r="H97" s="191"/>
      <c r="I97" s="191"/>
      <c r="J97" s="191"/>
      <c r="K97" s="191"/>
      <c r="L97" s="191"/>
      <c r="M97" s="136"/>
    </row>
    <row r="98" spans="1:13" x14ac:dyDescent="0.25">
      <c r="A98" s="191"/>
      <c r="B98" s="191"/>
      <c r="C98" s="191"/>
      <c r="D98" s="191"/>
      <c r="E98" s="191"/>
      <c r="F98" s="191"/>
      <c r="G98" s="191"/>
      <c r="H98" s="191"/>
      <c r="I98" s="191"/>
      <c r="J98" s="191"/>
      <c r="K98" s="191"/>
      <c r="L98" s="191"/>
      <c r="M98" s="136"/>
    </row>
    <row r="99" spans="1:13" x14ac:dyDescent="0.25">
      <c r="A99" s="191"/>
      <c r="B99" s="191"/>
      <c r="C99" s="191"/>
      <c r="D99" s="191"/>
      <c r="E99" s="191"/>
      <c r="F99" s="191"/>
      <c r="G99" s="191"/>
      <c r="H99" s="191"/>
      <c r="I99" s="191"/>
      <c r="J99" s="191"/>
      <c r="K99" s="191"/>
      <c r="L99" s="191"/>
      <c r="M99" s="136"/>
    </row>
    <row r="100" spans="1:13" x14ac:dyDescent="0.25">
      <c r="A100" s="191"/>
      <c r="B100" s="191"/>
      <c r="C100" s="191"/>
      <c r="D100" s="191"/>
      <c r="E100" s="191"/>
      <c r="F100" s="191"/>
      <c r="G100" s="191"/>
      <c r="H100" s="191"/>
      <c r="I100" s="191"/>
      <c r="J100" s="191"/>
      <c r="K100" s="191"/>
      <c r="L100" s="191"/>
      <c r="M100" s="136"/>
    </row>
    <row r="101" spans="1:13" x14ac:dyDescent="0.25">
      <c r="A101" s="191"/>
      <c r="B101" s="191"/>
      <c r="C101" s="191"/>
      <c r="D101" s="191"/>
      <c r="E101" s="191"/>
      <c r="F101" s="191"/>
      <c r="G101" s="191"/>
      <c r="H101" s="191"/>
      <c r="I101" s="191"/>
      <c r="J101" s="191"/>
      <c r="K101" s="191"/>
      <c r="L101" s="191"/>
      <c r="M101" s="136"/>
    </row>
    <row r="102" spans="1:13" x14ac:dyDescent="0.25">
      <c r="A102" s="191"/>
      <c r="B102" s="191"/>
      <c r="C102" s="191"/>
      <c r="D102" s="191"/>
      <c r="E102" s="191"/>
      <c r="F102" s="191"/>
      <c r="G102" s="191"/>
      <c r="H102" s="191"/>
      <c r="I102" s="191"/>
      <c r="J102" s="191"/>
      <c r="K102" s="191"/>
      <c r="L102" s="191"/>
      <c r="M102" s="136"/>
    </row>
    <row r="103" spans="1:13" x14ac:dyDescent="0.25">
      <c r="A103" s="191"/>
      <c r="B103" s="191"/>
      <c r="C103" s="191"/>
      <c r="D103" s="191"/>
      <c r="E103" s="191"/>
      <c r="F103" s="191"/>
      <c r="G103" s="191"/>
      <c r="H103" s="191"/>
      <c r="I103" s="191"/>
      <c r="J103" s="191"/>
      <c r="K103" s="191"/>
      <c r="L103" s="191"/>
      <c r="M103" s="136"/>
    </row>
    <row r="104" spans="1:13" x14ac:dyDescent="0.25">
      <c r="A104" s="191"/>
      <c r="B104" s="191"/>
      <c r="C104" s="191"/>
      <c r="D104" s="191"/>
      <c r="E104" s="191"/>
      <c r="F104" s="191"/>
      <c r="G104" s="191"/>
      <c r="H104" s="191"/>
      <c r="I104" s="191"/>
      <c r="J104" s="191"/>
      <c r="K104" s="191"/>
      <c r="L104" s="191"/>
      <c r="M104" s="136"/>
    </row>
    <row r="105" spans="1:13" x14ac:dyDescent="0.25">
      <c r="A105" s="191"/>
      <c r="B105" s="191"/>
      <c r="C105" s="191"/>
      <c r="D105" s="191"/>
      <c r="E105" s="191"/>
      <c r="F105" s="191"/>
      <c r="G105" s="191"/>
      <c r="H105" s="191"/>
      <c r="I105" s="191"/>
      <c r="J105" s="191"/>
      <c r="K105" s="191"/>
      <c r="L105" s="191"/>
      <c r="M105" s="136"/>
    </row>
    <row r="106" spans="1:13" x14ac:dyDescent="0.25">
      <c r="A106" s="191"/>
      <c r="B106" s="191"/>
      <c r="C106" s="191"/>
      <c r="D106" s="191"/>
      <c r="E106" s="191"/>
      <c r="F106" s="191"/>
      <c r="G106" s="191"/>
      <c r="H106" s="191"/>
      <c r="I106" s="191"/>
      <c r="J106" s="191"/>
      <c r="K106" s="191"/>
      <c r="L106" s="191"/>
      <c r="M106" s="136"/>
    </row>
    <row r="107" spans="1:13" x14ac:dyDescent="0.25">
      <c r="A107" s="191"/>
      <c r="B107" s="191"/>
      <c r="C107" s="191"/>
      <c r="D107" s="191"/>
      <c r="E107" s="191"/>
      <c r="F107" s="191"/>
      <c r="G107" s="191"/>
      <c r="H107" s="191"/>
      <c r="I107" s="191"/>
      <c r="J107" s="191"/>
      <c r="K107" s="191"/>
      <c r="L107" s="191"/>
      <c r="M107" s="136"/>
    </row>
    <row r="108" spans="1:13" x14ac:dyDescent="0.25">
      <c r="A108" s="191"/>
      <c r="B108" s="191"/>
      <c r="C108" s="191"/>
      <c r="D108" s="191"/>
      <c r="E108" s="191"/>
      <c r="F108" s="191"/>
      <c r="G108" s="191"/>
      <c r="H108" s="191"/>
      <c r="I108" s="191"/>
      <c r="J108" s="191"/>
      <c r="K108" s="191"/>
      <c r="L108" s="191"/>
      <c r="M108" s="136"/>
    </row>
    <row r="109" spans="1:13" x14ac:dyDescent="0.25">
      <c r="A109" s="191"/>
      <c r="B109" s="191"/>
      <c r="C109" s="191"/>
      <c r="D109" s="191"/>
      <c r="E109" s="191"/>
      <c r="F109" s="191"/>
      <c r="G109" s="191"/>
      <c r="H109" s="191"/>
      <c r="I109" s="191"/>
      <c r="J109" s="191"/>
      <c r="K109" s="191"/>
      <c r="L109" s="191"/>
      <c r="M109" s="136"/>
    </row>
    <row r="110" spans="1:13" x14ac:dyDescent="0.25">
      <c r="A110" s="191"/>
      <c r="B110" s="191"/>
      <c r="C110" s="191"/>
      <c r="D110" s="191"/>
      <c r="E110" s="191"/>
      <c r="F110" s="191"/>
      <c r="G110" s="191"/>
      <c r="H110" s="191"/>
      <c r="I110" s="191"/>
      <c r="J110" s="191"/>
      <c r="K110" s="191"/>
      <c r="L110" s="191"/>
      <c r="M110" s="136"/>
    </row>
    <row r="111" spans="1:13" x14ac:dyDescent="0.25">
      <c r="A111" s="191"/>
      <c r="B111" s="191"/>
      <c r="C111" s="191"/>
      <c r="D111" s="191"/>
      <c r="E111" s="191"/>
      <c r="F111" s="191"/>
      <c r="G111" s="191"/>
      <c r="H111" s="191"/>
      <c r="I111" s="191"/>
      <c r="J111" s="191"/>
      <c r="K111" s="191"/>
      <c r="L111" s="191"/>
      <c r="M111" s="136"/>
    </row>
    <row r="112" spans="1:13" x14ac:dyDescent="0.25">
      <c r="A112" s="191"/>
      <c r="B112" s="191"/>
      <c r="C112" s="191"/>
      <c r="D112" s="191"/>
      <c r="E112" s="191"/>
      <c r="F112" s="191"/>
      <c r="G112" s="191"/>
      <c r="H112" s="191"/>
      <c r="I112" s="191"/>
      <c r="J112" s="191"/>
      <c r="K112" s="191"/>
      <c r="L112" s="191"/>
      <c r="M112" s="136"/>
    </row>
    <row r="113" spans="1:13" x14ac:dyDescent="0.25">
      <c r="A113" s="191"/>
      <c r="B113" s="191"/>
      <c r="C113" s="191"/>
      <c r="D113" s="191"/>
      <c r="E113" s="191"/>
      <c r="F113" s="191"/>
      <c r="G113" s="191"/>
      <c r="H113" s="191"/>
      <c r="I113" s="191"/>
      <c r="J113" s="191"/>
      <c r="K113" s="191"/>
      <c r="L113" s="191"/>
      <c r="M113" s="136"/>
    </row>
    <row r="114" spans="1:13" x14ac:dyDescent="0.25">
      <c r="A114" s="191"/>
      <c r="B114" s="191"/>
      <c r="C114" s="191"/>
      <c r="D114" s="191"/>
      <c r="E114" s="191"/>
      <c r="F114" s="191"/>
      <c r="G114" s="191"/>
      <c r="H114" s="191"/>
      <c r="I114" s="191"/>
      <c r="J114" s="191"/>
      <c r="K114" s="191"/>
      <c r="L114" s="191"/>
      <c r="M114" s="136"/>
    </row>
    <row r="115" spans="1:13" x14ac:dyDescent="0.25">
      <c r="A115" s="191"/>
      <c r="B115" s="191"/>
      <c r="C115" s="191"/>
      <c r="D115" s="191"/>
      <c r="E115" s="191"/>
      <c r="F115" s="191"/>
      <c r="G115" s="191"/>
      <c r="H115" s="191"/>
      <c r="I115" s="191"/>
      <c r="J115" s="191"/>
      <c r="K115" s="191"/>
      <c r="L115" s="191"/>
      <c r="M115" s="136"/>
    </row>
    <row r="116" spans="1:13" x14ac:dyDescent="0.25">
      <c r="A116" s="191"/>
      <c r="B116" s="191"/>
      <c r="C116" s="191"/>
      <c r="D116" s="191"/>
      <c r="E116" s="191"/>
      <c r="F116" s="191"/>
      <c r="G116" s="191"/>
      <c r="H116" s="191"/>
      <c r="I116" s="191"/>
      <c r="J116" s="191"/>
      <c r="K116" s="191"/>
      <c r="L116" s="191"/>
      <c r="M116" s="136"/>
    </row>
    <row r="117" spans="1:13" x14ac:dyDescent="0.25">
      <c r="A117" s="191"/>
      <c r="B117" s="191"/>
      <c r="C117" s="191"/>
      <c r="D117" s="191"/>
      <c r="E117" s="191"/>
      <c r="F117" s="191"/>
      <c r="G117" s="191"/>
      <c r="H117" s="191"/>
      <c r="I117" s="191"/>
      <c r="J117" s="191"/>
      <c r="K117" s="191"/>
      <c r="L117" s="191"/>
      <c r="M117" s="136"/>
    </row>
    <row r="118" spans="1:13" x14ac:dyDescent="0.25">
      <c r="A118" s="191"/>
      <c r="B118" s="191"/>
      <c r="C118" s="191"/>
      <c r="D118" s="191"/>
      <c r="E118" s="191"/>
      <c r="F118" s="191"/>
      <c r="G118" s="191"/>
      <c r="H118" s="191"/>
      <c r="I118" s="191"/>
      <c r="J118" s="191"/>
      <c r="K118" s="191"/>
      <c r="L118" s="191"/>
      <c r="M118" s="136"/>
    </row>
    <row r="119" spans="1:13" x14ac:dyDescent="0.25">
      <c r="A119" s="191"/>
      <c r="B119" s="191"/>
      <c r="C119" s="191"/>
      <c r="D119" s="191"/>
      <c r="E119" s="191"/>
      <c r="F119" s="191"/>
      <c r="G119" s="191"/>
      <c r="H119" s="191"/>
      <c r="I119" s="191"/>
      <c r="J119" s="191"/>
      <c r="K119" s="191"/>
      <c r="L119" s="191"/>
      <c r="M119" s="136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O48"/>
  <sheetViews>
    <sheetView tabSelected="1" topLeftCell="A21" workbookViewId="0">
      <selection activeCell="E38" sqref="E38"/>
    </sheetView>
  </sheetViews>
  <sheetFormatPr defaultRowHeight="15" x14ac:dyDescent="0.25"/>
  <cols>
    <col min="1" max="1" width="22" customWidth="1"/>
    <col min="2" max="2" width="12.28515625" customWidth="1"/>
    <col min="3" max="13" width="10" customWidth="1"/>
  </cols>
  <sheetData>
    <row r="1" spans="1:4" ht="18.75" customHeight="1" x14ac:dyDescent="0.3">
      <c r="A1" s="218" t="s">
        <v>266</v>
      </c>
    </row>
    <row r="2" spans="1:4" x14ac:dyDescent="0.25">
      <c r="A2" s="219" t="s">
        <v>267</v>
      </c>
    </row>
    <row r="4" spans="1:4" x14ac:dyDescent="0.25">
      <c r="A4" s="220" t="s">
        <v>268</v>
      </c>
    </row>
    <row r="5" spans="1:4" x14ac:dyDescent="0.25">
      <c r="A5" s="221" t="s">
        <v>210</v>
      </c>
      <c r="B5" s="221" t="s">
        <v>169</v>
      </c>
      <c r="C5" s="221" t="s">
        <v>173</v>
      </c>
      <c r="D5" s="221" t="s">
        <v>171</v>
      </c>
    </row>
    <row r="6" spans="1:4" x14ac:dyDescent="0.25">
      <c r="A6" s="222" t="s">
        <v>26</v>
      </c>
      <c r="B6" s="223">
        <v>1</v>
      </c>
      <c r="C6" s="223">
        <v>0.5</v>
      </c>
      <c r="D6" s="223">
        <v>0.6</v>
      </c>
    </row>
    <row r="7" spans="1:4" x14ac:dyDescent="0.25">
      <c r="A7" s="224" t="s">
        <v>30</v>
      </c>
      <c r="B7" s="223">
        <v>3.2</v>
      </c>
      <c r="C7" s="223">
        <v>4</v>
      </c>
      <c r="D7" s="223">
        <v>4.8</v>
      </c>
    </row>
    <row r="8" spans="1:4" x14ac:dyDescent="0.25">
      <c r="A8" s="225" t="s">
        <v>31</v>
      </c>
      <c r="B8" s="223">
        <v>8</v>
      </c>
      <c r="C8" s="223">
        <v>10</v>
      </c>
      <c r="D8" s="223">
        <v>12</v>
      </c>
    </row>
    <row r="9" spans="1:4" x14ac:dyDescent="0.25">
      <c r="A9" s="226" t="s">
        <v>33</v>
      </c>
      <c r="B9" s="223">
        <v>20</v>
      </c>
      <c r="C9" s="223">
        <v>25</v>
      </c>
      <c r="D9" s="223">
        <v>30</v>
      </c>
    </row>
    <row r="11" spans="1:4" x14ac:dyDescent="0.25">
      <c r="A11" s="220" t="s">
        <v>269</v>
      </c>
    </row>
    <row r="12" spans="1:4" x14ac:dyDescent="0.25">
      <c r="A12" s="221" t="s">
        <v>210</v>
      </c>
      <c r="B12" s="221" t="s">
        <v>169</v>
      </c>
      <c r="C12" s="221" t="s">
        <v>173</v>
      </c>
      <c r="D12" s="221" t="s">
        <v>171</v>
      </c>
    </row>
    <row r="13" spans="1:4" x14ac:dyDescent="0.25">
      <c r="A13" s="222" t="s">
        <v>26</v>
      </c>
      <c r="B13" s="227">
        <v>0.95</v>
      </c>
      <c r="C13" s="227">
        <v>0.95</v>
      </c>
      <c r="D13" s="227">
        <v>0.95</v>
      </c>
    </row>
    <row r="14" spans="1:4" x14ac:dyDescent="0.25">
      <c r="A14" s="224" t="s">
        <v>30</v>
      </c>
      <c r="B14" s="227">
        <v>0.05</v>
      </c>
      <c r="C14" s="227">
        <v>0.05</v>
      </c>
      <c r="D14" s="227">
        <v>0.05</v>
      </c>
    </row>
    <row r="15" spans="1:4" x14ac:dyDescent="0.25">
      <c r="A15" s="225" t="s">
        <v>31</v>
      </c>
      <c r="B15" s="227">
        <v>0</v>
      </c>
      <c r="C15" s="227">
        <v>0</v>
      </c>
      <c r="D15" s="227">
        <v>0</v>
      </c>
    </row>
    <row r="16" spans="1:4" x14ac:dyDescent="0.25">
      <c r="A16" s="226" t="s">
        <v>33</v>
      </c>
      <c r="B16" s="227">
        <v>0</v>
      </c>
      <c r="C16" s="227">
        <v>0</v>
      </c>
      <c r="D16" s="227">
        <v>0</v>
      </c>
    </row>
    <row r="17" spans="1:41" s="155" customFormat="1" x14ac:dyDescent="0.25">
      <c r="A17" s="63" t="s">
        <v>270</v>
      </c>
      <c r="B17" s="176">
        <f>SUM(B13:B16)</f>
        <v>1</v>
      </c>
      <c r="C17" s="176">
        <f>SUM(C13:C16)</f>
        <v>1</v>
      </c>
      <c r="D17" s="176">
        <f>SUM(D13:D16)</f>
        <v>1</v>
      </c>
    </row>
    <row r="19" spans="1:41" x14ac:dyDescent="0.25">
      <c r="A19" s="220" t="s">
        <v>271</v>
      </c>
    </row>
    <row r="20" spans="1:41" x14ac:dyDescent="0.25">
      <c r="A20" s="221" t="s">
        <v>210</v>
      </c>
      <c r="B20" s="221" t="s">
        <v>169</v>
      </c>
      <c r="C20" s="221" t="s">
        <v>173</v>
      </c>
      <c r="D20" s="221" t="s">
        <v>171</v>
      </c>
    </row>
    <row r="21" spans="1:41" x14ac:dyDescent="0.25">
      <c r="A21" s="222" t="s">
        <v>26</v>
      </c>
      <c r="B21" s="227">
        <v>0.4</v>
      </c>
      <c r="C21" s="227">
        <v>0.35</v>
      </c>
      <c r="D21" s="227">
        <v>0.25</v>
      </c>
    </row>
    <row r="22" spans="1:41" x14ac:dyDescent="0.25">
      <c r="A22" s="224" t="s">
        <v>30</v>
      </c>
      <c r="B22" s="227">
        <v>0.45</v>
      </c>
      <c r="C22" s="227">
        <v>0.45</v>
      </c>
      <c r="D22" s="227">
        <v>0.45</v>
      </c>
    </row>
    <row r="23" spans="1:41" x14ac:dyDescent="0.25">
      <c r="A23" s="225" t="s">
        <v>31</v>
      </c>
      <c r="B23" s="227">
        <v>0.1</v>
      </c>
      <c r="C23" s="227">
        <v>0.13</v>
      </c>
      <c r="D23" s="227">
        <v>0.18</v>
      </c>
    </row>
    <row r="24" spans="1:41" x14ac:dyDescent="0.25">
      <c r="A24" s="226" t="s">
        <v>33</v>
      </c>
      <c r="B24" s="227">
        <v>0.05</v>
      </c>
      <c r="C24" s="227">
        <v>7.0000000000000007E-2</v>
      </c>
      <c r="D24" s="227">
        <v>0.12</v>
      </c>
    </row>
    <row r="25" spans="1:41" x14ac:dyDescent="0.25">
      <c r="A25" s="63" t="s">
        <v>270</v>
      </c>
      <c r="B25" s="176">
        <f>SUM(B21:B24)</f>
        <v>1</v>
      </c>
      <c r="C25" s="176">
        <f>SUM(C21:C24)</f>
        <v>1</v>
      </c>
      <c r="D25" s="176">
        <f>SUM(D21:D24)</f>
        <v>0.99999999999999989</v>
      </c>
    </row>
    <row r="27" spans="1:41" x14ac:dyDescent="0.25">
      <c r="A27" s="234" t="s">
        <v>272</v>
      </c>
    </row>
    <row r="28" spans="1:41" s="155" customFormat="1" x14ac:dyDescent="0.25">
      <c r="A28" s="161" t="s">
        <v>169</v>
      </c>
      <c r="O28" s="235" t="s">
        <v>173</v>
      </c>
      <c r="AC28" s="235" t="s">
        <v>171</v>
      </c>
    </row>
    <row r="29" spans="1:41" x14ac:dyDescent="0.25">
      <c r="A29" s="221" t="s">
        <v>210</v>
      </c>
      <c r="B29" s="221" t="s">
        <v>149</v>
      </c>
      <c r="C29" s="221" t="s">
        <v>150</v>
      </c>
      <c r="D29" s="221" t="s">
        <v>151</v>
      </c>
      <c r="E29" s="221" t="s">
        <v>152</v>
      </c>
      <c r="F29" s="221" t="s">
        <v>153</v>
      </c>
      <c r="G29" s="221" t="s">
        <v>154</v>
      </c>
      <c r="H29" s="221" t="s">
        <v>155</v>
      </c>
      <c r="I29" s="221" t="s">
        <v>156</v>
      </c>
      <c r="J29" s="221" t="s">
        <v>157</v>
      </c>
      <c r="K29" s="221" t="s">
        <v>158</v>
      </c>
      <c r="L29" s="221" t="s">
        <v>159</v>
      </c>
      <c r="M29" s="221" t="s">
        <v>160</v>
      </c>
      <c r="O29" s="221" t="s">
        <v>210</v>
      </c>
      <c r="P29" s="221" t="s">
        <v>149</v>
      </c>
      <c r="Q29" s="221" t="s">
        <v>150</v>
      </c>
      <c r="R29" s="221" t="s">
        <v>151</v>
      </c>
      <c r="S29" s="221" t="s">
        <v>152</v>
      </c>
      <c r="T29" s="221" t="s">
        <v>153</v>
      </c>
      <c r="U29" s="221" t="s">
        <v>154</v>
      </c>
      <c r="V29" s="221" t="s">
        <v>155</v>
      </c>
      <c r="W29" s="221" t="s">
        <v>156</v>
      </c>
      <c r="X29" s="221" t="s">
        <v>157</v>
      </c>
      <c r="Y29" s="221" t="s">
        <v>158</v>
      </c>
      <c r="Z29" s="221" t="s">
        <v>159</v>
      </c>
      <c r="AA29" s="221" t="s">
        <v>160</v>
      </c>
      <c r="AC29" s="221" t="s">
        <v>210</v>
      </c>
      <c r="AD29" s="221" t="s">
        <v>149</v>
      </c>
      <c r="AE29" s="221" t="s">
        <v>150</v>
      </c>
      <c r="AF29" s="221" t="s">
        <v>151</v>
      </c>
      <c r="AG29" s="221" t="s">
        <v>152</v>
      </c>
      <c r="AH29" s="221" t="s">
        <v>153</v>
      </c>
      <c r="AI29" s="221" t="s">
        <v>154</v>
      </c>
      <c r="AJ29" s="221" t="s">
        <v>155</v>
      </c>
      <c r="AK29" s="221" t="s">
        <v>156</v>
      </c>
      <c r="AL29" s="221" t="s">
        <v>157</v>
      </c>
      <c r="AM29" s="221" t="s">
        <v>158</v>
      </c>
      <c r="AN29" s="221" t="s">
        <v>159</v>
      </c>
      <c r="AO29" s="221" t="s">
        <v>160</v>
      </c>
    </row>
    <row r="30" spans="1:41" x14ac:dyDescent="0.25">
      <c r="A30" s="222" t="s">
        <v>26</v>
      </c>
      <c r="B30" s="232">
        <f>$B$13</f>
        <v>0.95</v>
      </c>
      <c r="C30" s="232">
        <f>$B$13+($B$21-$B$13)*1/11</f>
        <v>0.89999999999999991</v>
      </c>
      <c r="D30" s="232">
        <f>$B$13+($B$21-$B$13)*2/11</f>
        <v>0.85</v>
      </c>
      <c r="E30" s="232">
        <f>$B$13+($B$21-$B$13)*3/11</f>
        <v>0.79999999999999993</v>
      </c>
      <c r="F30" s="232">
        <f>$B$13+($B$21-$B$13)*4/11</f>
        <v>0.75</v>
      </c>
      <c r="G30" s="232">
        <f>$B$13+($B$21-$B$13)*5/11</f>
        <v>0.7</v>
      </c>
      <c r="H30" s="232">
        <f>$B$13+($B$21-$B$13)*6/11</f>
        <v>0.64999999999999991</v>
      </c>
      <c r="I30" s="232">
        <f>$B$13+($B$21-$B$13)*7/11</f>
        <v>0.6</v>
      </c>
      <c r="J30" s="232">
        <f>$B$13+($B$21-$B$13)*8/11</f>
        <v>0.55000000000000004</v>
      </c>
      <c r="K30" s="232">
        <f>$B$13+($B$21-$B$13)*9/11</f>
        <v>0.5</v>
      </c>
      <c r="L30" s="232">
        <f>$B$13+($B$21-$B$13)*10/11</f>
        <v>0.45</v>
      </c>
      <c r="M30" s="232">
        <f>$B$21</f>
        <v>0.4</v>
      </c>
      <c r="O30" s="222" t="s">
        <v>26</v>
      </c>
      <c r="P30" s="232">
        <f>$C$13</f>
        <v>0.95</v>
      </c>
      <c r="Q30" s="232">
        <f>$C$13+($C$21-$C$13)*1/11</f>
        <v>0.89545454545454539</v>
      </c>
      <c r="R30" s="232">
        <f>$C$13+($C$21-$C$13)*2/11</f>
        <v>0.84090909090909083</v>
      </c>
      <c r="S30" s="232">
        <f>$C$13+($C$21-$C$13)*3/11</f>
        <v>0.78636363636363638</v>
      </c>
      <c r="T30" s="232">
        <f>$C$13+($C$21-$C$13)*4/11</f>
        <v>0.73181818181818181</v>
      </c>
      <c r="U30" s="232">
        <f>$C$13+($C$21-$C$13)*5/11</f>
        <v>0.67727272727272725</v>
      </c>
      <c r="V30" s="232">
        <f>$C$13+($C$21-$C$13)*6/11</f>
        <v>0.6227272727272728</v>
      </c>
      <c r="W30" s="232">
        <f>$C$13+($C$21-$C$13)*7/11</f>
        <v>0.56818181818181812</v>
      </c>
      <c r="X30" s="232">
        <f>$C$13+($C$21-$C$13)*8/11</f>
        <v>0.51363636363636367</v>
      </c>
      <c r="Y30" s="232">
        <f>$C$13+($C$21-$C$13)*9/11</f>
        <v>0.45909090909090911</v>
      </c>
      <c r="Z30" s="232">
        <f>$C$13+($C$21-$C$13)*10/11</f>
        <v>0.40454545454545454</v>
      </c>
      <c r="AA30" s="232">
        <f>$C$21</f>
        <v>0.35</v>
      </c>
      <c r="AC30" s="222" t="s">
        <v>26</v>
      </c>
      <c r="AD30" s="232">
        <f>$D$13</f>
        <v>0.95</v>
      </c>
      <c r="AE30" s="232">
        <f>$D$13+($D$21-$D$13)*1/11</f>
        <v>0.88636363636363635</v>
      </c>
      <c r="AF30" s="232">
        <f>$D$13+($D$21-$D$13)*2/11</f>
        <v>0.82272727272727275</v>
      </c>
      <c r="AG30" s="232">
        <f>$D$13+($D$21-$D$13)*3/11</f>
        <v>0.75909090909090904</v>
      </c>
      <c r="AH30" s="232">
        <f>$D$13+($D$21-$D$13)*4/11</f>
        <v>0.69545454545454544</v>
      </c>
      <c r="AI30" s="232">
        <f>$D$13+($D$21-$D$13)*5/11</f>
        <v>0.63181818181818183</v>
      </c>
      <c r="AJ30" s="232">
        <f>$D$13+($D$21-$D$13)*6/11</f>
        <v>0.56818181818181812</v>
      </c>
      <c r="AK30" s="232">
        <f>$D$13+($D$21-$D$13)*7/11</f>
        <v>0.50454545454545463</v>
      </c>
      <c r="AL30" s="232">
        <f>$D$13+($D$21-$D$13)*8/11</f>
        <v>0.44090909090909092</v>
      </c>
      <c r="AM30" s="232">
        <f>$D$13+($D$21-$D$13)*9/11</f>
        <v>0.3772727272727272</v>
      </c>
      <c r="AN30" s="232">
        <f>$D$13+($D$21-$D$13)*10/11</f>
        <v>0.3136363636363636</v>
      </c>
      <c r="AO30" s="232">
        <f>$D$21</f>
        <v>0.25</v>
      </c>
    </row>
    <row r="31" spans="1:41" x14ac:dyDescent="0.25">
      <c r="A31" s="224" t="s">
        <v>30</v>
      </c>
      <c r="B31" s="232">
        <f>$B$14</f>
        <v>0.05</v>
      </c>
      <c r="C31" s="232">
        <f>$B$14+($B$22-$B$14)*1/11</f>
        <v>8.6363636363636365E-2</v>
      </c>
      <c r="D31" s="232">
        <f>$B$14+($B$22-$B$14)*2/11</f>
        <v>0.12272727272727274</v>
      </c>
      <c r="E31" s="232">
        <f>$B$14+($B$22-$B$14)*3/11</f>
        <v>0.15909090909090912</v>
      </c>
      <c r="F31" s="232">
        <f>$B$14+($B$22-$B$14)*4/11</f>
        <v>0.19545454545454549</v>
      </c>
      <c r="G31" s="232">
        <f>$B$14+($B$22-$B$14)*5/11</f>
        <v>0.23181818181818181</v>
      </c>
      <c r="H31" s="232">
        <f>$B$14+($B$22-$B$14)*6/11</f>
        <v>0.26818181818181824</v>
      </c>
      <c r="I31" s="232">
        <f>$B$14+($B$22-$B$14)*7/11</f>
        <v>0.30454545454545456</v>
      </c>
      <c r="J31" s="232">
        <f>$B$14+($B$22-$B$14)*8/11</f>
        <v>0.34090909090909094</v>
      </c>
      <c r="K31" s="232">
        <f>$B$14+($B$22-$B$14)*9/11</f>
        <v>0.37727272727272726</v>
      </c>
      <c r="L31" s="232">
        <f>$B$14+($B$22-$B$14)*10/11</f>
        <v>0.41363636363636364</v>
      </c>
      <c r="M31" s="232">
        <f>$B$22</f>
        <v>0.45</v>
      </c>
      <c r="O31" s="224" t="s">
        <v>30</v>
      </c>
      <c r="P31" s="232">
        <f>$C$14</f>
        <v>0.05</v>
      </c>
      <c r="Q31" s="232">
        <f>$C$14+($C$22-$C$14)*1/11</f>
        <v>8.6363636363636365E-2</v>
      </c>
      <c r="R31" s="232">
        <f>$C$14+($C$22-$C$14)*2/11</f>
        <v>0.12272727272727274</v>
      </c>
      <c r="S31" s="232">
        <f>$C$14+($C$22-$C$14)*3/11</f>
        <v>0.15909090909090912</v>
      </c>
      <c r="T31" s="232">
        <f>$C$14+($C$22-$C$14)*4/11</f>
        <v>0.19545454545454549</v>
      </c>
      <c r="U31" s="232">
        <f>$C$14+($C$22-$C$14)*5/11</f>
        <v>0.23181818181818181</v>
      </c>
      <c r="V31" s="232">
        <f>$C$14+($C$22-$C$14)*6/11</f>
        <v>0.26818181818181824</v>
      </c>
      <c r="W31" s="232">
        <f>$C$14+($C$22-$C$14)*7/11</f>
        <v>0.30454545454545456</v>
      </c>
      <c r="X31" s="232">
        <f>$C$14+($C$22-$C$14)*8/11</f>
        <v>0.34090909090909094</v>
      </c>
      <c r="Y31" s="232">
        <f>$C$14+($C$22-$C$14)*9/11</f>
        <v>0.37727272727272726</v>
      </c>
      <c r="Z31" s="232">
        <f>$C$14+($C$22-$C$14)*10/11</f>
        <v>0.41363636363636364</v>
      </c>
      <c r="AA31" s="232">
        <f>$C$22</f>
        <v>0.45</v>
      </c>
      <c r="AC31" s="224" t="s">
        <v>30</v>
      </c>
      <c r="AD31" s="232">
        <f>$D$14</f>
        <v>0.05</v>
      </c>
      <c r="AE31" s="232">
        <f>$D$14+($D$22-$D$14)*1/11</f>
        <v>8.6363636363636365E-2</v>
      </c>
      <c r="AF31" s="232">
        <f>$D$14+($D$22-$D$14)*2/11</f>
        <v>0.12272727272727274</v>
      </c>
      <c r="AG31" s="232">
        <f>$D$14+($D$22-$D$14)*3/11</f>
        <v>0.15909090909090912</v>
      </c>
      <c r="AH31" s="232">
        <f>$D$14+($D$22-$D$14)*4/11</f>
        <v>0.19545454545454549</v>
      </c>
      <c r="AI31" s="232">
        <f>$D$14+($D$22-$D$14)*5/11</f>
        <v>0.23181818181818181</v>
      </c>
      <c r="AJ31" s="232">
        <f>$D$14+($D$22-$D$14)*6/11</f>
        <v>0.26818181818181824</v>
      </c>
      <c r="AK31" s="232">
        <f>$D$14+($D$22-$D$14)*7/11</f>
        <v>0.30454545454545456</v>
      </c>
      <c r="AL31" s="232">
        <f>$D$14+($D$22-$D$14)*8/11</f>
        <v>0.34090909090909094</v>
      </c>
      <c r="AM31" s="232">
        <f>$D$14+($D$22-$D$14)*9/11</f>
        <v>0.37727272727272726</v>
      </c>
      <c r="AN31" s="232">
        <f>$D$14+($D$22-$D$14)*10/11</f>
        <v>0.41363636363636364</v>
      </c>
      <c r="AO31" s="232">
        <f>$D$22</f>
        <v>0.45</v>
      </c>
    </row>
    <row r="32" spans="1:41" x14ac:dyDescent="0.25">
      <c r="A32" s="225" t="s">
        <v>31</v>
      </c>
      <c r="B32" s="232">
        <f>$B$15</f>
        <v>0</v>
      </c>
      <c r="C32" s="232">
        <f>$B$15+($B$23-$B$15)*1/11</f>
        <v>9.0909090909090922E-3</v>
      </c>
      <c r="D32" s="232">
        <f>$B$15+($B$23-$B$15)*2/11</f>
        <v>1.8181818181818184E-2</v>
      </c>
      <c r="E32" s="232">
        <f>$B$15+($B$23-$B$15)*3/11</f>
        <v>2.7272727272727278E-2</v>
      </c>
      <c r="F32" s="232">
        <f>$B$15+($B$23-$B$15)*4/11</f>
        <v>3.6363636363636369E-2</v>
      </c>
      <c r="G32" s="232">
        <f>$B$15+($B$23-$B$15)*5/11</f>
        <v>4.5454545454545456E-2</v>
      </c>
      <c r="H32" s="232">
        <f>$B$15+($B$23-$B$15)*6/11</f>
        <v>5.4545454545454557E-2</v>
      </c>
      <c r="I32" s="232">
        <f>$B$15+($B$23-$B$15)*7/11</f>
        <v>6.3636363636363644E-2</v>
      </c>
      <c r="J32" s="232">
        <f>$B$15+($B$23-$B$15)*8/11</f>
        <v>7.2727272727272738E-2</v>
      </c>
      <c r="K32" s="232">
        <f>$B$15+($B$23-$B$15)*9/11</f>
        <v>8.1818181818181818E-2</v>
      </c>
      <c r="L32" s="232">
        <f>$B$15+($B$23-$B$15)*10/11</f>
        <v>9.0909090909090912E-2</v>
      </c>
      <c r="M32" s="232">
        <f>$B$23</f>
        <v>0.1</v>
      </c>
      <c r="O32" s="225" t="s">
        <v>31</v>
      </c>
      <c r="P32" s="232">
        <f>$C$15</f>
        <v>0</v>
      </c>
      <c r="Q32" s="232">
        <f>$C$15+($C$23-$C$15)*1/11</f>
        <v>1.1818181818181818E-2</v>
      </c>
      <c r="R32" s="232">
        <f>$C$15+($C$23-$C$15)*2/11</f>
        <v>2.3636363636363636E-2</v>
      </c>
      <c r="S32" s="232">
        <f>$C$15+($C$23-$C$15)*3/11</f>
        <v>3.5454545454545454E-2</v>
      </c>
      <c r="T32" s="232">
        <f>$C$15+($C$23-$C$15)*4/11</f>
        <v>4.7272727272727272E-2</v>
      </c>
      <c r="U32" s="232">
        <f>$C$15+($C$23-$C$15)*5/11</f>
        <v>5.909090909090909E-2</v>
      </c>
      <c r="V32" s="232">
        <f>$C$15+($C$23-$C$15)*6/11</f>
        <v>7.0909090909090908E-2</v>
      </c>
      <c r="W32" s="232">
        <f>$C$15+($C$23-$C$15)*7/11</f>
        <v>8.2727272727272733E-2</v>
      </c>
      <c r="X32" s="232">
        <f>$C$15+($C$23-$C$15)*8/11</f>
        <v>9.4545454545454544E-2</v>
      </c>
      <c r="Y32" s="232">
        <f>$C$15+($C$23-$C$15)*9/11</f>
        <v>0.10636363636363635</v>
      </c>
      <c r="Z32" s="232">
        <f>$C$15+($C$23-$C$15)*10/11</f>
        <v>0.11818181818181818</v>
      </c>
      <c r="AA32" s="232">
        <f>$C$23</f>
        <v>0.13</v>
      </c>
      <c r="AC32" s="225" t="s">
        <v>31</v>
      </c>
      <c r="AD32" s="232">
        <f>$D$15</f>
        <v>0</v>
      </c>
      <c r="AE32" s="232">
        <f>$D$15+($D$23-$D$15)*1/11</f>
        <v>1.6363636363636361E-2</v>
      </c>
      <c r="AF32" s="232">
        <f>$D$15+($D$23-$D$15)*2/11</f>
        <v>3.2727272727272723E-2</v>
      </c>
      <c r="AG32" s="232">
        <f>$D$15+($D$23-$D$15)*3/11</f>
        <v>4.9090909090909095E-2</v>
      </c>
      <c r="AH32" s="232">
        <f>$D$15+($D$23-$D$15)*4/11</f>
        <v>6.5454545454545446E-2</v>
      </c>
      <c r="AI32" s="232">
        <f>$D$15+($D$23-$D$15)*5/11</f>
        <v>8.1818181818181804E-2</v>
      </c>
      <c r="AJ32" s="232">
        <f>$D$15+($D$23-$D$15)*6/11</f>
        <v>9.818181818181819E-2</v>
      </c>
      <c r="AK32" s="232">
        <f>$D$15+($D$23-$D$15)*7/11</f>
        <v>0.11454545454545455</v>
      </c>
      <c r="AL32" s="232">
        <f>$D$15+($D$23-$D$15)*8/11</f>
        <v>0.13090909090909089</v>
      </c>
      <c r="AM32" s="232">
        <f>$D$15+($D$23-$D$15)*9/11</f>
        <v>0.14727272727272725</v>
      </c>
      <c r="AN32" s="232">
        <f>$D$15+($D$23-$D$15)*10/11</f>
        <v>0.16363636363636361</v>
      </c>
      <c r="AO32" s="232">
        <f>$D$23</f>
        <v>0.18</v>
      </c>
    </row>
    <row r="33" spans="1:41" x14ac:dyDescent="0.25">
      <c r="A33" s="226" t="s">
        <v>33</v>
      </c>
      <c r="B33" s="232">
        <f>$B$16</f>
        <v>0</v>
      </c>
      <c r="C33" s="232">
        <f>$B$16+($B$24-$B$16)*1/11</f>
        <v>4.5454545454545461E-3</v>
      </c>
      <c r="D33" s="232">
        <f>$B$16+($B$24-$B$16)*2/11</f>
        <v>9.0909090909090922E-3</v>
      </c>
      <c r="E33" s="232">
        <f>$B$16+($B$24-$B$16)*3/11</f>
        <v>1.3636363636363639E-2</v>
      </c>
      <c r="F33" s="232">
        <f>$B$16+($B$24-$B$16)*4/11</f>
        <v>1.8181818181818184E-2</v>
      </c>
      <c r="G33" s="232">
        <f>$B$16+($B$24-$B$16)*5/11</f>
        <v>2.2727272727272728E-2</v>
      </c>
      <c r="H33" s="232">
        <f>$B$16+($B$24-$B$16)*6/11</f>
        <v>2.7272727272727278E-2</v>
      </c>
      <c r="I33" s="232">
        <f>$B$16+($B$24-$B$16)*7/11</f>
        <v>3.1818181818181822E-2</v>
      </c>
      <c r="J33" s="232">
        <f>$B$16+($B$24-$B$16)*8/11</f>
        <v>3.6363636363636369E-2</v>
      </c>
      <c r="K33" s="232">
        <f>$B$16+($B$24-$B$16)*9/11</f>
        <v>4.0909090909090909E-2</v>
      </c>
      <c r="L33" s="232">
        <f>$B$16+($B$24-$B$16)*10/11</f>
        <v>4.5454545454545456E-2</v>
      </c>
      <c r="M33" s="232">
        <f>$B$24</f>
        <v>0.05</v>
      </c>
      <c r="O33" s="226" t="s">
        <v>33</v>
      </c>
      <c r="P33" s="232">
        <f>$C$16</f>
        <v>0</v>
      </c>
      <c r="Q33" s="232">
        <f>$C$16+($C$24-$C$16)*1/11</f>
        <v>6.3636363636363638E-3</v>
      </c>
      <c r="R33" s="232">
        <f>$C$16+($C$24-$C$16)*2/11</f>
        <v>1.2727272727272728E-2</v>
      </c>
      <c r="S33" s="232">
        <f>$C$16+($C$24-$C$16)*3/11</f>
        <v>1.9090909090909092E-2</v>
      </c>
      <c r="T33" s="232">
        <f>$C$16+($C$24-$C$16)*4/11</f>
        <v>2.5454545454545455E-2</v>
      </c>
      <c r="U33" s="232">
        <f>$C$16+($C$24-$C$16)*5/11</f>
        <v>3.1818181818181822E-2</v>
      </c>
      <c r="V33" s="232">
        <f>$C$16+($C$24-$C$16)*6/11</f>
        <v>3.8181818181818185E-2</v>
      </c>
      <c r="W33" s="232">
        <f>$C$16+($C$24-$C$16)*7/11</f>
        <v>4.4545454545454548E-2</v>
      </c>
      <c r="X33" s="232">
        <f>$C$16+($C$24-$C$16)*8/11</f>
        <v>5.0909090909090911E-2</v>
      </c>
      <c r="Y33" s="232">
        <f>$C$16+($C$24-$C$16)*9/11</f>
        <v>5.7272727272727281E-2</v>
      </c>
      <c r="Z33" s="232">
        <f>$C$16+($C$24-$C$16)*10/11</f>
        <v>6.3636363636363644E-2</v>
      </c>
      <c r="AA33" s="232">
        <f>$C$24</f>
        <v>7.0000000000000007E-2</v>
      </c>
      <c r="AC33" s="226" t="s">
        <v>33</v>
      </c>
      <c r="AD33" s="232">
        <f>$D$16</f>
        <v>0</v>
      </c>
      <c r="AE33" s="232">
        <f>$D$16+($D$24-$D$16)*1/11</f>
        <v>1.0909090909090908E-2</v>
      </c>
      <c r="AF33" s="232">
        <f>$D$16+($D$24-$D$16)*2/11</f>
        <v>2.1818181818181816E-2</v>
      </c>
      <c r="AG33" s="232">
        <f>$D$16+($D$24-$D$16)*3/11</f>
        <v>3.2727272727272723E-2</v>
      </c>
      <c r="AH33" s="232">
        <f>$D$16+($D$24-$D$16)*4/11</f>
        <v>4.3636363636363633E-2</v>
      </c>
      <c r="AI33" s="232">
        <f>$D$16+($D$24-$D$16)*5/11</f>
        <v>5.4545454545454543E-2</v>
      </c>
      <c r="AJ33" s="232">
        <f>$D$16+($D$24-$D$16)*6/11</f>
        <v>6.5454545454545446E-2</v>
      </c>
      <c r="AK33" s="232">
        <f>$D$16+($D$24-$D$16)*7/11</f>
        <v>7.6363636363636356E-2</v>
      </c>
      <c r="AL33" s="232">
        <f>$D$16+($D$24-$D$16)*8/11</f>
        <v>8.7272727272727266E-2</v>
      </c>
      <c r="AM33" s="232">
        <f>$D$16+($D$24-$D$16)*9/11</f>
        <v>9.818181818181819E-2</v>
      </c>
      <c r="AN33" s="232">
        <f>$D$16+($D$24-$D$16)*10/11</f>
        <v>0.10909090909090909</v>
      </c>
      <c r="AO33" s="232">
        <f>$D$24</f>
        <v>0.12</v>
      </c>
    </row>
    <row r="34" spans="1:41" x14ac:dyDescent="0.25">
      <c r="A34" s="228" t="s">
        <v>206</v>
      </c>
      <c r="B34" s="229">
        <f t="shared" ref="B34:M34" si="0">SUM(B30:B33)</f>
        <v>1</v>
      </c>
      <c r="C34" s="229">
        <f t="shared" si="0"/>
        <v>0.99999999999999989</v>
      </c>
      <c r="D34" s="229">
        <f t="shared" si="0"/>
        <v>0.99999999999999989</v>
      </c>
      <c r="E34" s="229">
        <f t="shared" si="0"/>
        <v>0.99999999999999989</v>
      </c>
      <c r="F34" s="229">
        <f t="shared" si="0"/>
        <v>1</v>
      </c>
      <c r="G34" s="229">
        <f t="shared" si="0"/>
        <v>0.99999999999999989</v>
      </c>
      <c r="H34" s="229">
        <f t="shared" si="0"/>
        <v>1</v>
      </c>
      <c r="I34" s="229">
        <f t="shared" si="0"/>
        <v>1</v>
      </c>
      <c r="J34" s="229">
        <f t="shared" si="0"/>
        <v>1</v>
      </c>
      <c r="K34" s="229">
        <f t="shared" si="0"/>
        <v>0.99999999999999989</v>
      </c>
      <c r="L34" s="229">
        <f t="shared" si="0"/>
        <v>1</v>
      </c>
      <c r="M34" s="229">
        <f t="shared" si="0"/>
        <v>1</v>
      </c>
      <c r="O34" s="228" t="s">
        <v>206</v>
      </c>
      <c r="P34" s="229">
        <f t="shared" ref="P34:AA34" si="1">SUM(P30:P33)</f>
        <v>1</v>
      </c>
      <c r="Q34" s="229">
        <f t="shared" si="1"/>
        <v>0.99999999999999989</v>
      </c>
      <c r="R34" s="229">
        <f t="shared" si="1"/>
        <v>1</v>
      </c>
      <c r="S34" s="229">
        <f t="shared" si="1"/>
        <v>1</v>
      </c>
      <c r="T34" s="229">
        <f t="shared" si="1"/>
        <v>1</v>
      </c>
      <c r="U34" s="229">
        <f t="shared" si="1"/>
        <v>1</v>
      </c>
      <c r="V34" s="229">
        <f t="shared" si="1"/>
        <v>1.0000000000000002</v>
      </c>
      <c r="W34" s="229">
        <f t="shared" si="1"/>
        <v>1</v>
      </c>
      <c r="X34" s="229">
        <f t="shared" si="1"/>
        <v>1.0000000000000002</v>
      </c>
      <c r="Y34" s="229">
        <f t="shared" si="1"/>
        <v>1</v>
      </c>
      <c r="Z34" s="229">
        <f t="shared" si="1"/>
        <v>0.99999999999999989</v>
      </c>
      <c r="AA34" s="229">
        <f t="shared" si="1"/>
        <v>1</v>
      </c>
      <c r="AC34" s="228" t="s">
        <v>206</v>
      </c>
      <c r="AD34" s="229">
        <f t="shared" ref="AD34:AO34" si="2">SUM(AD30:AD33)</f>
        <v>1</v>
      </c>
      <c r="AE34" s="229">
        <f t="shared" si="2"/>
        <v>0.99999999999999989</v>
      </c>
      <c r="AF34" s="229">
        <f t="shared" si="2"/>
        <v>1</v>
      </c>
      <c r="AG34" s="229">
        <f t="shared" si="2"/>
        <v>1</v>
      </c>
      <c r="AH34" s="229">
        <f t="shared" si="2"/>
        <v>0.99999999999999989</v>
      </c>
      <c r="AI34" s="229">
        <f t="shared" si="2"/>
        <v>1</v>
      </c>
      <c r="AJ34" s="229">
        <f t="shared" si="2"/>
        <v>1</v>
      </c>
      <c r="AK34" s="229">
        <f t="shared" si="2"/>
        <v>1</v>
      </c>
      <c r="AL34" s="229">
        <f t="shared" si="2"/>
        <v>1</v>
      </c>
      <c r="AM34" s="229">
        <f t="shared" si="2"/>
        <v>0.99999999999999978</v>
      </c>
      <c r="AN34" s="229">
        <f t="shared" si="2"/>
        <v>1</v>
      </c>
      <c r="AO34" s="229">
        <f t="shared" si="2"/>
        <v>0.99999999999999989</v>
      </c>
    </row>
    <row r="36" spans="1:41" x14ac:dyDescent="0.25">
      <c r="A36" s="220" t="s">
        <v>273</v>
      </c>
    </row>
    <row r="37" spans="1:41" x14ac:dyDescent="0.25">
      <c r="A37" s="221" t="s">
        <v>210</v>
      </c>
      <c r="B37" s="221" t="s">
        <v>79</v>
      </c>
      <c r="C37" s="221" t="s">
        <v>222</v>
      </c>
      <c r="D37" s="221" t="s">
        <v>274</v>
      </c>
      <c r="E37" s="221" t="s">
        <v>275</v>
      </c>
    </row>
    <row r="38" spans="1:41" x14ac:dyDescent="0.25">
      <c r="A38" s="222" t="s">
        <v>26</v>
      </c>
      <c r="B38" s="230">
        <v>10</v>
      </c>
      <c r="C38" s="230" t="s">
        <v>88</v>
      </c>
      <c r="D38" s="233">
        <v>20</v>
      </c>
      <c r="E38" s="227">
        <v>0.25</v>
      </c>
    </row>
    <row r="39" spans="1:41" x14ac:dyDescent="0.25">
      <c r="A39" s="224" t="s">
        <v>30</v>
      </c>
      <c r="B39" s="230">
        <v>20</v>
      </c>
      <c r="C39" s="230" t="s">
        <v>93</v>
      </c>
      <c r="D39" s="233">
        <v>50</v>
      </c>
    </row>
    <row r="40" spans="1:41" x14ac:dyDescent="0.25">
      <c r="A40" s="225" t="s">
        <v>31</v>
      </c>
      <c r="B40" s="230">
        <v>50</v>
      </c>
      <c r="C40" s="230" t="s">
        <v>93</v>
      </c>
      <c r="D40" s="233">
        <v>100</v>
      </c>
    </row>
    <row r="41" spans="1:41" x14ac:dyDescent="0.25">
      <c r="A41" s="226" t="s">
        <v>33</v>
      </c>
      <c r="B41" s="230">
        <v>100</v>
      </c>
      <c r="C41" s="230" t="s">
        <v>93</v>
      </c>
      <c r="D41" s="233">
        <v>200</v>
      </c>
    </row>
    <row r="43" spans="1:41" x14ac:dyDescent="0.25">
      <c r="A43" s="220" t="s">
        <v>276</v>
      </c>
    </row>
    <row r="44" spans="1:41" x14ac:dyDescent="0.25">
      <c r="A44" s="221" t="s">
        <v>210</v>
      </c>
      <c r="B44" s="221" t="s">
        <v>169</v>
      </c>
      <c r="C44" s="221" t="s">
        <v>173</v>
      </c>
      <c r="D44" s="221" t="s">
        <v>171</v>
      </c>
    </row>
    <row r="45" spans="1:41" x14ac:dyDescent="0.25">
      <c r="A45" s="222" t="s">
        <v>26</v>
      </c>
      <c r="B45" s="231">
        <f>MIN(1,IF($C$38="One-time",($B$6*12/$B$38)*$E$38,$B$6/$B$38))</f>
        <v>0.3</v>
      </c>
      <c r="C45" s="231">
        <f>MIN(1,IF($C$38="One-time",($C$6*12/$B$38)*$E$38,$C$6/$B$38))</f>
        <v>0.15</v>
      </c>
      <c r="D45" s="231">
        <f>MIN(1,IF($C$38="One-time",($D$6*12/$B$38)*$E$38,$D$6/$B$38))</f>
        <v>0.18</v>
      </c>
    </row>
    <row r="46" spans="1:41" x14ac:dyDescent="0.25">
      <c r="A46" s="224" t="s">
        <v>30</v>
      </c>
      <c r="B46" s="231">
        <f>MIN(1,IF($C$39="One-time",($B$7*12/$B$39)*$E$38,$B$7/$B$39))</f>
        <v>0.16</v>
      </c>
      <c r="C46" s="231">
        <f>MIN(1,IF($C$39="One-time",($C$7*12/$B$39)*$E$38,$C$7/$B$39))</f>
        <v>0.2</v>
      </c>
      <c r="D46" s="231">
        <f>MIN(1,IF($C$39="One-time",($D$7*12/$B$39)*$E$38,$D$7/$B$39))</f>
        <v>0.24</v>
      </c>
    </row>
    <row r="47" spans="1:41" x14ac:dyDescent="0.25">
      <c r="A47" s="225" t="s">
        <v>31</v>
      </c>
      <c r="B47" s="231">
        <f>MIN(1,IF($C$40="One-time",($B$8*12/$B$40)*$E$38,$B$8/$B$40))</f>
        <v>0.16</v>
      </c>
      <c r="C47" s="231">
        <f>MIN(1,IF($C$40="One-time",($C$8*12/$B$40)*$E$38,$C$8/$B$40))</f>
        <v>0.2</v>
      </c>
      <c r="D47" s="231">
        <f>MIN(1,IF($C$40="One-time",($D$8*12/$B$40)*$E$38,$D$8/$B$40))</f>
        <v>0.24</v>
      </c>
    </row>
    <row r="48" spans="1:41" x14ac:dyDescent="0.25">
      <c r="A48" s="226" t="s">
        <v>33</v>
      </c>
      <c r="B48" s="231">
        <f>MIN(1,IF($C$41="One-time",($B$9*12/$B$41)*$E$38,$B$9/$B$41))</f>
        <v>0.2</v>
      </c>
      <c r="C48" s="231">
        <f>MIN(1,IF($C$41="One-time",($C$9*12/$B$41)*$E$38,$C$9/$B$41))</f>
        <v>0.25</v>
      </c>
      <c r="D48" s="231">
        <f>MIN(1,IF($C$41="One-time",($D$9*12/$B$41)*$E$38,$D$9/$B$41))</f>
        <v>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Inputs</vt:lpstr>
      <vt:lpstr>VIP Levels</vt:lpstr>
      <vt:lpstr>Missions</vt:lpstr>
      <vt:lpstr>Affiliate Projection</vt:lpstr>
      <vt:lpstr>Revenue</vt:lpstr>
      <vt:lpstr>Costs</vt:lpstr>
      <vt:lpstr>Summary</vt:lpstr>
      <vt:lpstr>Scenarios (Sc)</vt:lpstr>
      <vt:lpstr>Sc.Planning</vt:lpstr>
      <vt:lpstr>Sc.Calc</vt:lpstr>
      <vt:lpstr>TestSc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2025-12-22T16:43:38Z</dcterms:modified>
</cp:coreProperties>
</file>