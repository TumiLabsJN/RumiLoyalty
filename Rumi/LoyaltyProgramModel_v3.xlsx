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4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VIP Levels" sheetId="2" state="visible" r:id="rId2"/>
    <sheet xmlns:r="http://schemas.openxmlformats.org/officeDocument/2006/relationships" name="Missions" sheetId="3" state="visible" r:id="rId3"/>
    <sheet xmlns:r="http://schemas.openxmlformats.org/officeDocument/2006/relationships" name="Affiliate Projection" sheetId="4" state="visible" r:id="rId4"/>
    <sheet xmlns:r="http://schemas.openxmlformats.org/officeDocument/2006/relationships" name="Reward Triggers" sheetId="5" state="visible" r:id="rId5"/>
    <sheet xmlns:r="http://schemas.openxmlformats.org/officeDocument/2006/relationships" name="Revenue" sheetId="6" state="visible" r:id="rId6"/>
    <sheet xmlns:r="http://schemas.openxmlformats.org/officeDocument/2006/relationships" name="Costs" sheetId="7" state="visible" r:id="rId7"/>
    <sheet xmlns:r="http://schemas.openxmlformats.org/officeDocument/2006/relationships" name="Summary" sheetId="8" state="visible" r:id="rId8"/>
  </sheets>
  <definedNames>
    <definedName name="AffAttrition">Inputs!$B$10</definedName>
    <definedName name="SampleAffConv">Inputs!$B$7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\$#,##0"/>
    <numFmt numFmtId="166" formatCode="0.0%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rgb="FF4472C4"/>
      <sz val="16"/>
    </font>
    <font>
      <name val="Calibri"/>
      <family val="2"/>
      <b val="1"/>
      <color rgb="FF4472C4"/>
      <sz val="14"/>
    </font>
    <font>
      <name val="Calibri"/>
      <family val="2"/>
      <b val="1"/>
      <color rgb="FFFFFFFF"/>
      <sz val="12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12"/>
    </font>
    <font>
      <name val="Calibri"/>
      <family val="2"/>
      <b val="1"/>
      <sz val="11"/>
    </font>
    <font>
      <name val="Calibri"/>
      <b val="1"/>
      <sz val="12"/>
    </font>
    <font>
      <name val="Calibri"/>
      <i val="1"/>
      <color rgb="FF666666"/>
      <sz val="11"/>
    </font>
    <font>
      <name val="Calibri"/>
      <b val="1"/>
      <color rgb="FFFFFFFF"/>
      <sz val="11"/>
    </font>
    <font>
      <name val="Calibri"/>
      <b val="1"/>
      <sz val="11"/>
    </font>
  </fonts>
  <fills count="10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D6DCE5"/>
        <bgColor rgb="FFD6DCE5"/>
      </patternFill>
    </fill>
    <fill>
      <patternFill patternType="solid">
        <fgColor rgb="FFFFC000"/>
        <bgColor rgb="FFFFC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/>
    </xf>
    <xf numFmtId="9" fontId="0" fillId="3" borderId="1" applyAlignment="1" pivotButton="0" quotePrefix="0" xfId="0">
      <alignment horizontal="center"/>
    </xf>
    <xf numFmtId="164" fontId="0" fillId="3" borderId="1" applyAlignment="1" pivotButton="0" quotePrefix="0" xfId="0">
      <alignment horizontal="center"/>
    </xf>
    <xf numFmtId="9" fontId="0" fillId="4" borderId="1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165" fontId="0" fillId="3" borderId="1" applyAlignment="1" pivotButton="0" quotePrefix="0" xfId="0">
      <alignment horizontal="center"/>
    </xf>
    <xf numFmtId="166" fontId="0" fillId="4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5" fillId="0" borderId="1" pivotButton="0" quotePrefix="0" xfId="0"/>
    <xf numFmtId="165" fontId="0" fillId="4" borderId="1" applyAlignment="1" pivotButton="0" quotePrefix="0" xfId="0">
      <alignment horizontal="center"/>
    </xf>
    <xf numFmtId="165" fontId="4" fillId="4" borderId="1" applyAlignment="1" pivotButton="0" quotePrefix="0" xfId="0">
      <alignment horizontal="center"/>
    </xf>
    <xf numFmtId="0" fontId="6" fillId="0" borderId="0" pivotButton="0" quotePrefix="0" xfId="0"/>
    <xf numFmtId="0" fontId="0" fillId="6" borderId="0" pivotButton="0" quotePrefix="0" xfId="0"/>
    <xf numFmtId="0" fontId="0" fillId="5" borderId="0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0" fontId="8" fillId="0" borderId="1" pivotButton="0" quotePrefix="0" xfId="0"/>
    <xf numFmtId="2" fontId="0" fillId="3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7" borderId="2" applyAlignment="1" pivotButton="0" quotePrefix="0" xfId="0">
      <alignment horizontal="center"/>
    </xf>
    <xf numFmtId="0" fontId="0" fillId="8" borderId="2" pivotButton="0" quotePrefix="0" xfId="0"/>
    <xf numFmtId="9" fontId="0" fillId="8" borderId="2" applyAlignment="1" pivotButton="0" quotePrefix="0" xfId="0">
      <alignment horizontal="center"/>
    </xf>
    <xf numFmtId="0" fontId="12" fillId="9" borderId="2" pivotButton="0" quotePrefix="0" xfId="0"/>
    <xf numFmtId="9" fontId="12" fillId="9" borderId="2" applyAlignment="1" pivotButton="0" quotePrefix="0" xfId="0">
      <alignment horizontal="center"/>
    </xf>
    <xf numFmtId="0" fontId="0" fillId="8" borderId="2" applyAlignment="1" pivotButton="0" quotePrefix="0" xfId="0">
      <alignment horizontal="center"/>
    </xf>
    <xf numFmtId="0" fontId="1" fillId="0" borderId="0" pivotButton="0" quotePrefix="0" xfId="0"/>
    <xf numFmtId="0" fontId="0" fillId="0" borderId="0" pivotButton="0" quotePrefix="0" xfId="0"/>
    <xf numFmtId="0" fontId="8" fillId="0" borderId="2" pivotButton="0" quotePrefix="0" xfId="0"/>
    <xf numFmtId="165" fontId="0" fillId="4" borderId="2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4"/>
  <sheetViews>
    <sheetView topLeftCell="A6" workbookViewId="0">
      <selection activeCell="A55" sqref="A55"/>
    </sheetView>
  </sheetViews>
  <sheetFormatPr baseColWidth="8" defaultRowHeight="15"/>
  <cols>
    <col width="40" customWidth="1" style="32" min="1" max="1"/>
    <col width="18" customWidth="1" style="32" min="2" max="2"/>
    <col width="12" customWidth="1" style="32" min="3" max="4"/>
    <col width="45" customWidth="1" style="32" min="5" max="5"/>
    <col width="32.7109375" customWidth="1" style="32" min="7" max="7"/>
  </cols>
  <sheetData>
    <row r="1" ht="21" customHeight="1" s="32">
      <c r="A1" s="31" t="inlineStr">
        <is>
          <t>LOYALTY PROGRAM FINANCIAL MODEL - INPUTS DASHBOARD</t>
        </is>
      </c>
    </row>
    <row r="3" ht="18.75" customHeight="1" s="32">
      <c r="A3" s="1" t="inlineStr">
        <is>
          <t>ACQUISITION INPUTS</t>
        </is>
      </c>
    </row>
    <row r="4" ht="15.75" customHeight="1" s="32">
      <c r="A4" s="2" t="inlineStr">
        <is>
          <t>Parameter</t>
        </is>
      </c>
      <c r="B4" s="2" t="inlineStr">
        <is>
          <t>Value</t>
        </is>
      </c>
      <c r="C4" s="2" t="inlineStr">
        <is>
          <t>Unit</t>
        </is>
      </c>
      <c r="D4" s="20" t="inlineStr">
        <is>
          <t>Name</t>
        </is>
      </c>
      <c r="E4" s="2" t="inlineStr">
        <is>
          <t>Description</t>
        </is>
      </c>
      <c r="G4" s="17" t="inlineStr">
        <is>
          <t>Used by</t>
        </is>
      </c>
    </row>
    <row r="5">
      <c r="A5" s="3" t="inlineStr">
        <is>
          <t>Samples Sent - Month 1</t>
        </is>
      </c>
      <c r="B5" s="4" t="n">
        <v>150</v>
      </c>
      <c r="C5" s="3" t="inlineStr">
        <is>
          <t>samples</t>
        </is>
      </c>
      <c r="D5" s="3" t="n"/>
      <c r="E5" s="3" t="inlineStr">
        <is>
          <t>Initial month sample distribution</t>
        </is>
      </c>
      <c r="G5" t="inlineStr">
        <is>
          <t>Affiliate Projection | Cell B4</t>
        </is>
      </c>
    </row>
    <row r="6">
      <c r="A6" s="3" t="inlineStr">
        <is>
          <t>Samples Sent - Month 2+</t>
        </is>
      </c>
      <c r="B6" s="4" t="n">
        <v>100</v>
      </c>
      <c r="C6" s="3" t="inlineStr">
        <is>
          <t>samples</t>
        </is>
      </c>
      <c r="D6" s="3" t="n"/>
      <c r="E6" s="3" t="inlineStr">
        <is>
          <t>Ongoing monthly sample distribution</t>
        </is>
      </c>
      <c r="G6" t="inlineStr">
        <is>
          <t>Affiliate Projection | Row 4</t>
        </is>
      </c>
    </row>
    <row r="7">
      <c r="A7" s="3" t="inlineStr">
        <is>
          <t>Sample-to-Affiliate Conversion Rate</t>
        </is>
      </c>
      <c r="B7" s="5" t="n">
        <v>0.7</v>
      </c>
      <c r="C7" s="3" t="inlineStr">
        <is>
          <t>%</t>
        </is>
      </c>
      <c r="D7" s="3" t="inlineStr">
        <is>
          <t>SampleAffConv</t>
        </is>
      </c>
      <c r="E7" s="3" t="inlineStr">
        <is>
          <t>Percentage of samples that convert to affiliates</t>
        </is>
      </c>
      <c r="G7" t="inlineStr">
        <is>
          <t>Affiliate Projection | Row 5</t>
        </is>
      </c>
    </row>
    <row r="8">
      <c r="A8" s="3" t="inlineStr">
        <is>
          <t>Time to First Sale</t>
        </is>
      </c>
      <c r="B8" s="4" t="n">
        <v>14</v>
      </c>
      <c r="C8" s="3" t="inlineStr">
        <is>
          <t>days</t>
        </is>
      </c>
      <c r="D8" s="3" t="n"/>
      <c r="E8" s="3" t="inlineStr">
        <is>
          <t>Lag between conversion and first sale</t>
        </is>
      </c>
      <c r="G8" s="18" t="inlineStr">
        <is>
          <t>Placeholder..</t>
        </is>
      </c>
    </row>
    <row r="9">
      <c r="A9" s="3" t="inlineStr">
        <is>
          <t>Affiliate Attrition Rate</t>
        </is>
      </c>
      <c r="B9" s="5" t="n">
        <v>0.05</v>
      </c>
      <c r="C9" s="3" t="inlineStr">
        <is>
          <t>%</t>
        </is>
      </c>
      <c r="D9" s="3" t="inlineStr">
        <is>
          <t>AffAttrition</t>
        </is>
      </c>
      <c r="E9" s="3" t="inlineStr">
        <is>
          <t>Monthly churn rate of affiliates</t>
        </is>
      </c>
      <c r="G9" t="inlineStr">
        <is>
          <t>Affiliate Projection | Row 8</t>
        </is>
      </c>
    </row>
    <row r="11" ht="18.75" customHeight="1" s="32">
      <c r="A11" s="1" t="inlineStr">
        <is>
          <t>PERFORMANCE INPUTS</t>
        </is>
      </c>
    </row>
    <row r="12" ht="18.75" customHeight="1" s="32">
      <c r="A12" s="2" t="inlineStr">
        <is>
          <t>Parameter</t>
        </is>
      </c>
      <c r="B12" s="2" t="inlineStr">
        <is>
          <t>Value</t>
        </is>
      </c>
      <c r="C12" s="2" t="inlineStr">
        <is>
          <t>Unit</t>
        </is>
      </c>
      <c r="D12" s="2" t="n"/>
      <c r="E12" s="2" t="inlineStr">
        <is>
          <t>Description</t>
        </is>
      </c>
    </row>
    <row r="13" ht="15.75" customHeight="1" s="32">
      <c r="A13" s="3" t="inlineStr">
        <is>
          <t>(DEPRECATED) Average Sales per Affiliate per Month</t>
        </is>
      </c>
      <c r="B13" s="4" t="n"/>
      <c r="C13" s="3" t="inlineStr">
        <is>
          <t>sales</t>
        </is>
      </c>
      <c r="D13" s="3" t="n"/>
      <c r="E13" s="3" t="inlineStr">
        <is>
          <t>Monthly sales velocity per active affiliate</t>
        </is>
      </c>
      <c r="G13" s="19" t="inlineStr">
        <is>
          <t>How can we make this… dynamic? Some affiliates may sell 2, 5, 10 … by %
Perhaps: 30% sell 0 (or attrition) | 40% sell 5 | 20% sell 8 | 10% sell 15</t>
        </is>
      </c>
    </row>
    <row r="14" ht="75" customHeight="1" s="32">
      <c r="A14" s="3" t="inlineStr">
        <is>
          <t>Gross AOV</t>
        </is>
      </c>
      <c r="B14" s="6" t="n">
        <v>100</v>
      </c>
      <c r="C14" s="3" t="inlineStr">
        <is>
          <t>$</t>
        </is>
      </c>
      <c r="D14" s="3" t="n"/>
      <c r="E14" s="3" t="inlineStr">
        <is>
          <t>Average order value before discounts</t>
        </is>
      </c>
      <c r="G14" t="inlineStr">
        <is>
          <t>Revenue | Row 5 &amp; Missions | Col J</t>
        </is>
      </c>
    </row>
    <row r="15">
      <c r="A15" s="3" t="inlineStr">
        <is>
          <t>Rolling Window Duration</t>
        </is>
      </c>
      <c r="B15" s="4" t="n">
        <v>30</v>
      </c>
      <c r="C15" s="3" t="inlineStr">
        <is>
          <t>days</t>
        </is>
      </c>
      <c r="D15" s="3" t="n"/>
      <c r="E15" s="3" t="inlineStr">
        <is>
          <t>Time period for VIP level qualification</t>
        </is>
      </c>
      <c r="G15" s="18" t="inlineStr">
        <is>
          <t>Placeholder..</t>
        </is>
      </c>
    </row>
    <row r="18" ht="18.75" customHeight="1" s="32">
      <c r="A18" s="1" t="inlineStr">
        <is>
          <t>REDEMPTION &amp; BEHAVIOR INPUTS</t>
        </is>
      </c>
    </row>
    <row r="19" ht="18.75" customHeight="1" s="32">
      <c r="A19" s="2" t="inlineStr">
        <is>
          <t>Parameter</t>
        </is>
      </c>
      <c r="B19" s="2" t="inlineStr">
        <is>
          <t>Value</t>
        </is>
      </c>
      <c r="C19" s="2" t="inlineStr">
        <is>
          <t>Unit</t>
        </is>
      </c>
      <c r="D19" s="2" t="n"/>
      <c r="E19" s="2" t="inlineStr">
        <is>
          <t>Description</t>
        </is>
      </c>
    </row>
    <row r="20" ht="15.75" customHeight="1" s="32">
      <c r="A20" s="3" t="inlineStr">
        <is>
          <t>Discount Redemption Rate</t>
        </is>
      </c>
      <c r="B20" s="5" t="n">
        <v>0.3</v>
      </c>
      <c r="C20" s="3" t="inlineStr">
        <is>
          <t>%</t>
        </is>
      </c>
      <c r="D20" s="3" t="n"/>
      <c r="E20" s="3" t="inlineStr">
        <is>
          <t>Percentage of discount coupons redeemed</t>
        </is>
      </c>
      <c r="G20" t="inlineStr">
        <is>
          <t>Revenue | Row 8</t>
        </is>
      </c>
    </row>
    <row r="21">
      <c r="A21" s="3" t="inlineStr">
        <is>
          <t>Default Mission Completion Rate</t>
        </is>
      </c>
      <c r="B21" s="5" t="n">
        <v>0.25</v>
      </c>
      <c r="C21" s="3" t="inlineStr">
        <is>
          <t>%</t>
        </is>
      </c>
      <c r="D21" s="3" t="n"/>
      <c r="E21" s="3" t="inlineStr">
        <is>
          <t>Default completion rate for missions</t>
        </is>
      </c>
      <c r="G21" s="18" t="inlineStr">
        <is>
          <t>Overriden by mission sheet… delete?</t>
        </is>
      </c>
    </row>
    <row r="22">
      <c r="A22" s="3" t="inlineStr">
        <is>
          <t>(DEPRECATED) Avg Sales During Commission Boost</t>
        </is>
      </c>
      <c r="B22" s="4" t="n"/>
      <c r="C22" s="3" t="inlineStr">
        <is>
          <t>sales</t>
        </is>
      </c>
      <c r="D22" s="3" t="n"/>
      <c r="E22" s="3" t="inlineStr">
        <is>
          <t>Expected sales an affiliate makes during boost period</t>
        </is>
      </c>
      <c r="G22" t="inlineStr">
        <is>
          <t>Costs | Rows 6-7 &amp; Misions | Col J</t>
        </is>
      </c>
    </row>
    <row r="25" ht="18.75" customHeight="1" s="32">
      <c r="A25" s="1" t="inlineStr">
        <is>
          <t>COST INPUTS</t>
        </is>
      </c>
    </row>
    <row r="26" ht="18.75" customHeight="1" s="32">
      <c r="A26" s="2" t="inlineStr">
        <is>
          <t>Parameter</t>
        </is>
      </c>
      <c r="B26" s="2" t="inlineStr">
        <is>
          <t>Value</t>
        </is>
      </c>
      <c r="C26" s="2" t="inlineStr">
        <is>
          <t>Unit</t>
        </is>
      </c>
      <c r="D26" s="2" t="n"/>
      <c r="E26" s="2" t="inlineStr">
        <is>
          <t>Description</t>
        </is>
      </c>
    </row>
    <row r="27" ht="15.75" customHeight="1" s="32">
      <c r="A27" s="3" t="inlineStr">
        <is>
          <t>Cost per Sample</t>
        </is>
      </c>
      <c r="B27" s="6" t="n">
        <v>15</v>
      </c>
      <c r="C27" s="3" t="inlineStr">
        <is>
          <t>$</t>
        </is>
      </c>
      <c r="D27" s="3" t="n"/>
      <c r="E27" s="3" t="inlineStr">
        <is>
          <t>Cost of each sample sent (product + shipping)</t>
        </is>
      </c>
      <c r="G27" t="inlineStr">
        <is>
          <t>Costs row 22</t>
        </is>
      </c>
    </row>
    <row r="31" ht="18.75" customHeight="1" s="32"/>
    <row r="32" ht="15.75" customHeight="1" s="32">
      <c r="A32" s="23" t="inlineStr">
        <is>
          <t>MONTHLY LEVEL DISTRIBUTION</t>
        </is>
      </c>
    </row>
    <row r="33" ht="31.5" customHeight="1" s="32">
      <c r="A33" s="24" t="inlineStr">
        <is>
          <t>(% of affiliates at each level per month)</t>
        </is>
      </c>
      <c r="B33" s="8" t="n"/>
    </row>
    <row r="34">
      <c r="A34" s="25" t="inlineStr">
        <is>
          <t>Level</t>
        </is>
      </c>
      <c r="B34" s="25" t="inlineStr">
        <is>
          <t>Month 1</t>
        </is>
      </c>
      <c r="C34" s="25" t="inlineStr">
        <is>
          <t>Month 2</t>
        </is>
      </c>
      <c r="D34" s="25" t="inlineStr">
        <is>
          <t>Month 3</t>
        </is>
      </c>
      <c r="E34" s="25" t="inlineStr">
        <is>
          <t>Month 4</t>
        </is>
      </c>
      <c r="F34" s="25" t="inlineStr">
        <is>
          <t>Month 5</t>
        </is>
      </c>
      <c r="G34" s="25" t="inlineStr">
        <is>
          <t>Month 6</t>
        </is>
      </c>
      <c r="H34" s="25" t="inlineStr">
        <is>
          <t>Month 7</t>
        </is>
      </c>
      <c r="I34" s="25" t="inlineStr">
        <is>
          <t>Month 8</t>
        </is>
      </c>
      <c r="J34" s="25" t="inlineStr">
        <is>
          <t>Month 9</t>
        </is>
      </c>
      <c r="K34" s="25" t="inlineStr">
        <is>
          <t>Month 10</t>
        </is>
      </c>
      <c r="L34" s="25" t="inlineStr">
        <is>
          <t>Month 11</t>
        </is>
      </c>
      <c r="M34" s="25" t="inlineStr">
        <is>
          <t>Month 12</t>
        </is>
      </c>
    </row>
    <row r="35">
      <c r="A35" s="26" t="inlineStr">
        <is>
          <t>Bronze</t>
        </is>
      </c>
      <c r="B35" s="27" t="n">
        <v>0.9</v>
      </c>
      <c r="C35" s="27" t="n">
        <v>0.8</v>
      </c>
      <c r="D35" s="27" t="n">
        <v>0.7</v>
      </c>
      <c r="E35" s="27" t="n">
        <v>0.62</v>
      </c>
      <c r="F35" s="27" t="n">
        <v>0.55</v>
      </c>
      <c r="G35" s="27" t="n">
        <v>0.5</v>
      </c>
      <c r="H35" s="27" t="n">
        <v>0.47</v>
      </c>
      <c r="I35" s="27" t="n">
        <v>0.44</v>
      </c>
      <c r="J35" s="27" t="n">
        <v>0.42</v>
      </c>
      <c r="K35" s="27" t="n">
        <v>0.4</v>
      </c>
      <c r="L35" s="27" t="n">
        <v>0.38</v>
      </c>
      <c r="M35" s="27" t="n">
        <v>0.36</v>
      </c>
    </row>
    <row r="36">
      <c r="A36" s="26" t="inlineStr">
        <is>
          <t>Silver</t>
        </is>
      </c>
      <c r="B36" s="27" t="n">
        <v>0.1</v>
      </c>
      <c r="C36" s="27" t="n">
        <v>0.15</v>
      </c>
      <c r="D36" s="27" t="n">
        <v>0.2</v>
      </c>
      <c r="E36" s="27" t="n">
        <v>0.23</v>
      </c>
      <c r="F36" s="27" t="n">
        <v>0.26</v>
      </c>
      <c r="G36" s="27" t="n">
        <v>0.28</v>
      </c>
      <c r="H36" s="27" t="n">
        <v>0.29</v>
      </c>
      <c r="I36" s="27" t="n">
        <v>0.3</v>
      </c>
      <c r="J36" s="27" t="n">
        <v>0.3</v>
      </c>
      <c r="K36" s="27" t="n">
        <v>0.3</v>
      </c>
      <c r="L36" s="27" t="n">
        <v>0.3</v>
      </c>
      <c r="M36" s="27" t="n">
        <v>0.3</v>
      </c>
    </row>
    <row r="37">
      <c r="A37" s="26" t="inlineStr">
        <is>
          <t>Gold</t>
        </is>
      </c>
      <c r="B37" s="27" t="n">
        <v>0</v>
      </c>
      <c r="C37" s="27" t="n">
        <v>0.05</v>
      </c>
      <c r="D37" s="27" t="n">
        <v>0.08</v>
      </c>
      <c r="E37" s="27" t="n">
        <v>0.1</v>
      </c>
      <c r="F37" s="27" t="n">
        <v>0.12</v>
      </c>
      <c r="G37" s="27" t="n">
        <v>0.14</v>
      </c>
      <c r="H37" s="27" t="n">
        <v>0.15</v>
      </c>
      <c r="I37" s="27" t="n">
        <v>0.16</v>
      </c>
      <c r="J37" s="27" t="n">
        <v>0.17</v>
      </c>
      <c r="K37" s="27" t="n">
        <v>0.18</v>
      </c>
      <c r="L37" s="27" t="n">
        <v>0.19</v>
      </c>
      <c r="M37" s="27" t="n">
        <v>0.2</v>
      </c>
    </row>
    <row r="38">
      <c r="A38" s="26" t="inlineStr">
        <is>
          <t>Platinum</t>
        </is>
      </c>
      <c r="B38" s="27" t="n">
        <v>0</v>
      </c>
      <c r="C38" s="27" t="n">
        <v>0</v>
      </c>
      <c r="D38" s="27" t="n">
        <v>0.02</v>
      </c>
      <c r="E38" s="27" t="n">
        <v>0.05</v>
      </c>
      <c r="F38" s="27" t="n">
        <v>0.07000000000000001</v>
      </c>
      <c r="G38" s="27" t="n">
        <v>0.08</v>
      </c>
      <c r="H38" s="27" t="n">
        <v>0.09</v>
      </c>
      <c r="I38" s="27" t="n">
        <v>0.1</v>
      </c>
      <c r="J38" s="27" t="n">
        <v>0.11</v>
      </c>
      <c r="K38" s="27" t="n">
        <v>0.12</v>
      </c>
      <c r="L38" s="27" t="n">
        <v>0.13</v>
      </c>
      <c r="M38" s="27" t="n">
        <v>0.14</v>
      </c>
    </row>
    <row r="39">
      <c r="A39" s="26" t="inlineStr">
        <is>
          <t>Diamond</t>
        </is>
      </c>
      <c r="B39" s="27" t="n">
        <v>0</v>
      </c>
      <c r="C39" s="27" t="n">
        <v>0</v>
      </c>
      <c r="D39" s="27" t="n">
        <v>0</v>
      </c>
      <c r="E39" s="27" t="n">
        <v>0</v>
      </c>
      <c r="F39" s="27" t="n">
        <v>0</v>
      </c>
      <c r="G39" s="27" t="n">
        <v>0</v>
      </c>
      <c r="H39" s="27" t="n">
        <v>0</v>
      </c>
      <c r="I39" s="27" t="n">
        <v>0</v>
      </c>
      <c r="J39" s="27" t="n">
        <v>0</v>
      </c>
      <c r="K39" s="27" t="n">
        <v>0</v>
      </c>
      <c r="L39" s="27" t="n">
        <v>0</v>
      </c>
      <c r="M39" s="27" t="n">
        <v>0</v>
      </c>
    </row>
    <row r="40">
      <c r="A40" s="28" t="inlineStr">
        <is>
          <t>Total (must = 100%)</t>
        </is>
      </c>
      <c r="B40" s="29">
        <f>SUM(B35:B39)</f>
        <v/>
      </c>
      <c r="C40" s="29">
        <f>SUM(C35:C39)</f>
        <v/>
      </c>
      <c r="D40" s="29">
        <f>SUM(D35:D39)</f>
        <v/>
      </c>
      <c r="E40" s="29">
        <f>SUM(E35:E39)</f>
        <v/>
      </c>
      <c r="F40" s="29">
        <f>SUM(F35:F39)</f>
        <v/>
      </c>
      <c r="G40" s="29">
        <f>SUM(G35:G39)</f>
        <v/>
      </c>
      <c r="H40" s="29">
        <f>SUM(H35:H39)</f>
        <v/>
      </c>
      <c r="I40" s="29">
        <f>SUM(I35:I39)</f>
        <v/>
      </c>
      <c r="J40" s="29">
        <f>SUM(J35:J39)</f>
        <v/>
      </c>
      <c r="K40" s="29">
        <f>SUM(K35:K39)</f>
        <v/>
      </c>
      <c r="L40" s="29">
        <f>SUM(L35:L39)</f>
        <v/>
      </c>
      <c r="M40" s="29">
        <f>SUM(M35:M39)</f>
        <v/>
      </c>
    </row>
    <row r="42" ht="18.75" customHeight="1" s="32">
      <c r="A42" s="23" t="inlineStr">
        <is>
          <t>MONTHLY FLYWHEEL AFFILIATES</t>
        </is>
      </c>
    </row>
    <row r="43">
      <c r="A43" s="24" t="inlineStr">
        <is>
          <t>(Organic inbound affiliates per month)</t>
        </is>
      </c>
    </row>
    <row r="44">
      <c r="A44" s="25" t="inlineStr">
        <is>
          <t>Flywheel</t>
        </is>
      </c>
      <c r="B44" s="25" t="inlineStr">
        <is>
          <t>Month 1</t>
        </is>
      </c>
      <c r="C44" s="25" t="inlineStr">
        <is>
          <t>Month 2</t>
        </is>
      </c>
      <c r="D44" s="25" t="inlineStr">
        <is>
          <t>Month 3</t>
        </is>
      </c>
      <c r="E44" s="25" t="inlineStr">
        <is>
          <t>Month 4</t>
        </is>
      </c>
      <c r="F44" s="25" t="inlineStr">
        <is>
          <t>Month 5</t>
        </is>
      </c>
      <c r="G44" s="25" t="inlineStr">
        <is>
          <t>Month 6</t>
        </is>
      </c>
      <c r="H44" s="25" t="inlineStr">
        <is>
          <t>Month 7</t>
        </is>
      </c>
      <c r="I44" s="25" t="inlineStr">
        <is>
          <t>Month 8</t>
        </is>
      </c>
      <c r="J44" s="25" t="inlineStr">
        <is>
          <t>Month 9</t>
        </is>
      </c>
      <c r="K44" s="25" t="inlineStr">
        <is>
          <t>Month 10</t>
        </is>
      </c>
      <c r="L44" s="25" t="inlineStr">
        <is>
          <t>Month 11</t>
        </is>
      </c>
      <c r="M44" s="25" t="inlineStr">
        <is>
          <t>Month 12</t>
        </is>
      </c>
    </row>
    <row r="45">
      <c r="A45" s="26" t="inlineStr">
        <is>
          <t>Affiliates</t>
        </is>
      </c>
      <c r="B45" s="30" t="n">
        <v>5</v>
      </c>
      <c r="C45" s="30" t="n">
        <v>8</v>
      </c>
      <c r="D45" s="30" t="n">
        <v>10</v>
      </c>
      <c r="E45" s="30" t="n">
        <v>12</v>
      </c>
      <c r="F45" s="30" t="n">
        <v>15</v>
      </c>
      <c r="G45" s="30" t="n">
        <v>18</v>
      </c>
      <c r="H45" s="30" t="n">
        <v>20</v>
      </c>
      <c r="I45" s="30" t="n">
        <v>22</v>
      </c>
      <c r="J45" s="30" t="n">
        <v>25</v>
      </c>
      <c r="K45" s="30" t="n">
        <v>28</v>
      </c>
      <c r="L45" s="30" t="n">
        <v>30</v>
      </c>
      <c r="M45" s="30" t="n">
        <v>35</v>
      </c>
    </row>
    <row r="52" ht="18.75" customHeight="1" s="32">
      <c r="A52" s="1" t="inlineStr">
        <is>
          <t>LEGEND</t>
        </is>
      </c>
    </row>
    <row r="53">
      <c r="A53" t="inlineStr">
        <is>
          <t>Yellow cells</t>
        </is>
      </c>
      <c r="B53" s="8">
        <f>Editable inputs</f>
        <v/>
      </c>
    </row>
    <row r="54">
      <c r="A54" t="inlineStr">
        <is>
          <t>Green cells</t>
        </is>
      </c>
      <c r="B54" s="9">
        <f>Calculated values</f>
        <v/>
      </c>
    </row>
    <row r="62" ht="18.75" customHeight="1" s="32"/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B25" sqref="B25"/>
    </sheetView>
  </sheetViews>
  <sheetFormatPr baseColWidth="8" defaultRowHeight="15"/>
  <cols>
    <col width="45" customWidth="1" style="32" min="1" max="1"/>
    <col width="13" customWidth="1" style="32" min="2" max="4"/>
    <col width="17.28515625" customWidth="1" style="32" min="5" max="5"/>
    <col width="13" customWidth="1" style="32" min="6" max="14"/>
  </cols>
  <sheetData>
    <row r="1" ht="21" customHeight="1" s="32">
      <c r="A1" s="31" t="inlineStr">
        <is>
          <t>VIP LEVEL CONFIGURATION</t>
        </is>
      </c>
    </row>
    <row r="3" ht="18.75" customHeight="1" s="32">
      <c r="A3" s="1" t="inlineStr">
        <is>
          <t>LEVEL THRESHOLDS &amp; COMMISSION</t>
        </is>
      </c>
    </row>
    <row r="4" ht="47.25" customHeight="1" s="32">
      <c r="A4" s="2" t="inlineStr">
        <is>
          <t>Level #</t>
        </is>
      </c>
      <c r="B4" s="2" t="inlineStr">
        <is>
          <t>Name</t>
        </is>
      </c>
      <c r="C4" s="2" t="inlineStr">
        <is>
          <t>Sales Threshold</t>
        </is>
      </c>
      <c r="D4" s="2" t="inlineStr">
        <is>
          <t>Base Commission %</t>
        </is>
      </c>
      <c r="E4" s="2" t="inlineStr">
        <is>
          <t>Avg Sales/Month</t>
        </is>
      </c>
    </row>
    <row r="5">
      <c r="A5" s="3" t="n">
        <v>1</v>
      </c>
      <c r="B5" s="4" t="inlineStr">
        <is>
          <t>Bronze</t>
        </is>
      </c>
      <c r="C5" s="4" t="n">
        <v>0</v>
      </c>
      <c r="D5" s="5" t="n">
        <v>0.2</v>
      </c>
      <c r="E5" s="22" t="n">
        <v>2</v>
      </c>
    </row>
    <row r="6">
      <c r="A6" s="3" t="n">
        <v>2</v>
      </c>
      <c r="B6" s="4" t="inlineStr">
        <is>
          <t>Silver</t>
        </is>
      </c>
      <c r="C6" s="4" t="n">
        <v>15</v>
      </c>
      <c r="D6" s="5" t="n">
        <v>0.2</v>
      </c>
      <c r="E6" s="22" t="n">
        <v>6</v>
      </c>
    </row>
    <row r="7">
      <c r="A7" s="3" t="n">
        <v>3</v>
      </c>
      <c r="B7" s="4" t="inlineStr">
        <is>
          <t>Gold</t>
        </is>
      </c>
      <c r="C7" s="4" t="n">
        <v>75</v>
      </c>
      <c r="D7" s="5" t="n">
        <v>0.2</v>
      </c>
      <c r="E7" s="22" t="n">
        <v>12</v>
      </c>
    </row>
    <row r="8">
      <c r="A8" s="3" t="n">
        <v>4</v>
      </c>
      <c r="B8" s="4" t="inlineStr">
        <is>
          <t>Platinum</t>
        </is>
      </c>
      <c r="C8" s="4" t="n">
        <v>150</v>
      </c>
      <c r="D8" s="5" t="n">
        <v>0.2</v>
      </c>
      <c r="E8" s="22" t="n">
        <v>25</v>
      </c>
    </row>
    <row r="9">
      <c r="A9" s="3" t="n">
        <v>5</v>
      </c>
      <c r="B9" s="4" t="inlineStr">
        <is>
          <t>Diamond</t>
        </is>
      </c>
      <c r="C9" s="4" t="n">
        <v>0</v>
      </c>
      <c r="D9" s="5" t="n">
        <v>0</v>
      </c>
      <c r="E9" s="22" t="n">
        <v>0</v>
      </c>
    </row>
    <row r="12" ht="18.75" customHeight="1" s="32">
      <c r="A12" s="1" t="inlineStr">
        <is>
          <t>WELCOME REWARDS (Per Level)</t>
        </is>
      </c>
    </row>
    <row r="13" ht="31.5" customHeight="1" s="32">
      <c r="A13" s="2" t="inlineStr">
        <is>
          <t>Level</t>
        </is>
      </c>
      <c r="B13" s="2" t="inlineStr">
        <is>
          <t>Comm Boost Qty</t>
        </is>
      </c>
      <c r="C13" s="2" t="inlineStr">
        <is>
          <t>Comm Boost %</t>
        </is>
      </c>
      <c r="D13" s="2" t="inlineStr">
        <is>
          <t>Comm Boost Days</t>
        </is>
      </c>
      <c r="E13" s="2" t="inlineStr">
        <is>
          <t>Gift Card Qty</t>
        </is>
      </c>
      <c r="F13" s="2" t="inlineStr">
        <is>
          <t>Gift Card $</t>
        </is>
      </c>
      <c r="G13" s="2" t="inlineStr">
        <is>
          <t>Discount Qty</t>
        </is>
      </c>
      <c r="H13" s="2" t="inlineStr">
        <is>
          <t>Discount %</t>
        </is>
      </c>
      <c r="I13" t="inlineStr">
        <is>
          <t>Discount Days</t>
        </is>
      </c>
      <c r="J13" s="2" t="inlineStr">
        <is>
          <t>Spark Ads Qty</t>
        </is>
      </c>
      <c r="K13" s="2" t="inlineStr">
        <is>
          <t>Spark Ads $</t>
        </is>
      </c>
      <c r="L13" s="2" t="inlineStr">
        <is>
          <t>Phys Gift Qty</t>
        </is>
      </c>
      <c r="M13" s="2" t="inlineStr">
        <is>
          <t>Phys Gift $</t>
        </is>
      </c>
      <c r="N13" s="2" t="inlineStr">
        <is>
          <t>Experience Qty</t>
        </is>
      </c>
      <c r="O13" s="2" t="inlineStr">
        <is>
          <t>Experience $</t>
        </is>
      </c>
    </row>
    <row r="14">
      <c r="A14" s="3" t="inlineStr">
        <is>
          <t>Bronze</t>
        </is>
      </c>
      <c r="B14" s="4" t="n">
        <v>0</v>
      </c>
      <c r="C14" s="5" t="n">
        <v>0.1</v>
      </c>
      <c r="D14" s="4" t="n">
        <v>0</v>
      </c>
      <c r="E14" s="4" t="n">
        <v>0</v>
      </c>
      <c r="F14" s="10" t="n">
        <v>0</v>
      </c>
      <c r="G14" s="4" t="n">
        <v>2</v>
      </c>
      <c r="H14" s="5" t="n">
        <v>0.15</v>
      </c>
      <c r="I14" t="n">
        <v>30</v>
      </c>
      <c r="J14" s="4" t="n">
        <v>0</v>
      </c>
      <c r="K14" s="10" t="n">
        <v>0</v>
      </c>
      <c r="L14" s="4" t="n">
        <v>0</v>
      </c>
      <c r="M14" s="10" t="n">
        <v>0</v>
      </c>
      <c r="N14" s="4" t="n">
        <v>0</v>
      </c>
      <c r="O14" s="10" t="n">
        <v>0</v>
      </c>
    </row>
    <row r="15">
      <c r="A15" s="3" t="inlineStr">
        <is>
          <t>Silver</t>
        </is>
      </c>
      <c r="B15" s="4" t="n">
        <v>1</v>
      </c>
      <c r="C15" s="5" t="n">
        <v>0.1</v>
      </c>
      <c r="D15" s="4" t="n">
        <v>4</v>
      </c>
      <c r="E15" s="4" t="n">
        <v>1</v>
      </c>
      <c r="F15" s="10" t="n">
        <v>50</v>
      </c>
      <c r="G15" s="4" t="n">
        <v>2</v>
      </c>
      <c r="H15" s="5" t="n">
        <v>0.15</v>
      </c>
      <c r="I15" t="n">
        <v>30</v>
      </c>
      <c r="J15" s="4" t="n">
        <v>1</v>
      </c>
      <c r="K15" s="10" t="n">
        <v>25</v>
      </c>
      <c r="L15" s="4" t="n">
        <v>0</v>
      </c>
      <c r="M15" s="10" t="n">
        <v>0</v>
      </c>
      <c r="N15" s="4" t="n">
        <v>0</v>
      </c>
      <c r="O15" s="10" t="n">
        <v>0</v>
      </c>
    </row>
    <row r="16">
      <c r="A16" s="3" t="inlineStr">
        <is>
          <t>Gold</t>
        </is>
      </c>
      <c r="B16" s="4" t="n">
        <v>1</v>
      </c>
      <c r="C16" s="5" t="n">
        <v>0.2</v>
      </c>
      <c r="D16" s="4" t="n">
        <v>7</v>
      </c>
      <c r="E16" s="4" t="n">
        <v>1</v>
      </c>
      <c r="F16" s="10" t="n">
        <v>100</v>
      </c>
      <c r="G16" s="4" t="n">
        <v>2</v>
      </c>
      <c r="H16" s="5" t="n">
        <v>0.2</v>
      </c>
      <c r="I16" t="n">
        <v>30</v>
      </c>
      <c r="J16" s="4" t="n">
        <v>1</v>
      </c>
      <c r="K16" s="10" t="n">
        <v>50</v>
      </c>
      <c r="L16" s="4" t="n">
        <v>1</v>
      </c>
      <c r="M16" s="10" t="n">
        <v>50</v>
      </c>
      <c r="N16" s="4" t="n">
        <v>0</v>
      </c>
      <c r="O16" s="10" t="n">
        <v>0</v>
      </c>
    </row>
    <row r="17">
      <c r="A17" s="3" t="inlineStr">
        <is>
          <t>Platinum</t>
        </is>
      </c>
      <c r="B17" s="4" t="n">
        <v>2</v>
      </c>
      <c r="C17" s="5" t="n">
        <v>0.25</v>
      </c>
      <c r="D17" s="4" t="n">
        <v>7</v>
      </c>
      <c r="E17" s="4" t="n">
        <v>2</v>
      </c>
      <c r="F17" s="10" t="n">
        <v>150</v>
      </c>
      <c r="G17" s="4" t="n">
        <v>3</v>
      </c>
      <c r="H17" s="5" t="n">
        <v>0.25</v>
      </c>
      <c r="I17" t="n">
        <v>45</v>
      </c>
      <c r="J17" s="4" t="n">
        <v>2</v>
      </c>
      <c r="K17" s="10" t="n">
        <v>75</v>
      </c>
      <c r="L17" s="4" t="n">
        <v>1</v>
      </c>
      <c r="M17" s="10" t="n">
        <v>75</v>
      </c>
      <c r="N17" s="4" t="n">
        <v>1</v>
      </c>
      <c r="O17" s="10" t="n">
        <v>100</v>
      </c>
    </row>
    <row r="18">
      <c r="A18" s="3" t="inlineStr">
        <is>
          <t>Diamond</t>
        </is>
      </c>
      <c r="B18" s="4" t="n">
        <v>0</v>
      </c>
      <c r="C18" s="5" t="n">
        <v>0</v>
      </c>
      <c r="D18" s="4" t="n">
        <v>0</v>
      </c>
      <c r="E18" s="4" t="n">
        <v>0</v>
      </c>
      <c r="F18" s="10" t="n">
        <v>0</v>
      </c>
      <c r="G18" s="4" t="n">
        <v>0</v>
      </c>
      <c r="H18" s="5" t="n">
        <v>0</v>
      </c>
      <c r="I18" t="n">
        <v>60</v>
      </c>
      <c r="J18" s="4" t="n">
        <v>0</v>
      </c>
      <c r="K18" s="10" t="n">
        <v>0</v>
      </c>
      <c r="L18" s="4" t="n">
        <v>0</v>
      </c>
      <c r="M18" s="10" t="n">
        <v>0</v>
      </c>
      <c r="N18" s="4" t="n">
        <v>0</v>
      </c>
      <c r="O18" s="10" t="n">
        <v>0</v>
      </c>
    </row>
    <row r="21" ht="18.75" customHeight="1" s="32"/>
  </sheetData>
  <mergeCells count="1">
    <mergeCell ref="A1:O1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1"/>
  <sheetViews>
    <sheetView zoomScale="85" zoomScaleNormal="85" workbookViewId="0">
      <selection activeCell="F47" sqref="F47"/>
    </sheetView>
  </sheetViews>
  <sheetFormatPr baseColWidth="8" defaultRowHeight="15"/>
  <cols>
    <col width="18" customWidth="1" style="32" min="1" max="10"/>
  </cols>
  <sheetData>
    <row r="1" ht="21" customHeight="1" s="32">
      <c r="A1" s="31" t="inlineStr">
        <is>
          <t>MISSION CONFIGURATION</t>
        </is>
      </c>
    </row>
    <row r="3" ht="18.75" customHeight="1" s="32">
      <c r="A3" s="1" t="inlineStr">
        <is>
          <t>MISSIONS BY VIP LEVEL</t>
        </is>
      </c>
    </row>
    <row r="4" ht="31.5" customHeight="1" s="32">
      <c r="A4" s="2" t="inlineStr">
        <is>
          <t>VIP Level</t>
        </is>
      </c>
      <c r="B4" s="2" t="inlineStr">
        <is>
          <t>Mission Type</t>
        </is>
      </c>
      <c r="C4" s="2" t="inlineStr">
        <is>
          <t>Target</t>
        </is>
      </c>
      <c r="D4" s="2" t="inlineStr">
        <is>
          <t>Repeatability</t>
        </is>
      </c>
      <c r="E4" s="2" t="inlineStr">
        <is>
          <t>Completion Rate</t>
        </is>
      </c>
      <c r="F4" s="2" t="inlineStr">
        <is>
          <t>Reward Type</t>
        </is>
      </c>
      <c r="G4" s="2" t="inlineStr">
        <is>
          <t>Reward Value</t>
        </is>
      </c>
      <c r="H4" s="2" t="inlineStr">
        <is>
          <t>Reward Duration</t>
        </is>
      </c>
      <c r="I4" s="2" t="inlineStr">
        <is>
          <t>Active?</t>
        </is>
      </c>
      <c r="J4" s="2" t="inlineStr">
        <is>
          <t>Cost per Completion</t>
        </is>
      </c>
    </row>
    <row r="5">
      <c r="A5" s="4" t="inlineStr">
        <is>
          <t>Bronze</t>
        </is>
      </c>
      <c r="B5" s="4" t="inlineStr">
        <is>
          <t>Sales</t>
        </is>
      </c>
      <c r="C5" s="4" t="n">
        <v>10</v>
      </c>
      <c r="D5" s="4" t="inlineStr">
        <is>
          <t>One-time</t>
        </is>
      </c>
      <c r="E5" s="5" t="n">
        <v>0.5</v>
      </c>
      <c r="F5" s="4" t="inlineStr">
        <is>
          <t>Gift Card</t>
        </is>
      </c>
      <c r="G5" s="10" t="n">
        <v>25</v>
      </c>
      <c r="H5" s="4" t="n">
        <v>0</v>
      </c>
      <c r="I5" s="4" t="inlineStr">
        <is>
          <t>Yes</t>
        </is>
      </c>
      <c r="J5" s="12">
        <f>IF(D5="Weekly",(Inputs!$B$15/30)*4,IF(D5="Monthly",Inputs!$B$15/30,1))*IF(F5="Gift Card",G5,IF(F5="Spark Ads",G5,IF(F5="Commission Boost",G5*(INDEX('VIP Levels'!$E$5:$E$9,MATCH(A5,'VIP Levels'!$B$5:$B$9,0))/30*H5)*Revenue!$B$10,IF(F5="Discount",G5*(INDEX('VIP Levels'!$E$5:$E$9,MATCH(A5,'VIP Levels'!$B$5:$B$9,0))/30*H5)*Inputs!$B$14*Inputs!$B$20,0))))</f>
        <v/>
      </c>
    </row>
    <row r="6">
      <c r="A6" s="4" t="inlineStr">
        <is>
          <t>Bronze</t>
        </is>
      </c>
      <c r="B6" s="4" t="inlineStr">
        <is>
          <t>Videos</t>
        </is>
      </c>
      <c r="C6" s="4" t="n">
        <v>5</v>
      </c>
      <c r="D6" s="4" t="inlineStr">
        <is>
          <t>One-time</t>
        </is>
      </c>
      <c r="E6" s="5" t="n">
        <v>0.8</v>
      </c>
      <c r="F6" s="4" t="inlineStr">
        <is>
          <t>Gift Card</t>
        </is>
      </c>
      <c r="G6" s="10" t="n">
        <v>25</v>
      </c>
      <c r="H6" s="4" t="n">
        <v>0</v>
      </c>
      <c r="I6" s="4" t="inlineStr">
        <is>
          <t>Yes</t>
        </is>
      </c>
      <c r="J6" s="12">
        <f>IF(D6="Weekly",(Inputs!$B$15/30)*4,IF(D6="Monthly",Inputs!$B$15/30,1))*IF(F6="Gift Card",G6,IF(F6="Spark Ads",G6,IF(F6="Commission Boost",G6*(INDEX('VIP Levels'!$E$5:$E$9,MATCH(A6,'VIP Levels'!$B$5:$B$9,0))/30*H6)*Revenue!$B$10,IF(F6="Discount",G6*(INDEX('VIP Levels'!$E$5:$E$9,MATCH(A6,'VIP Levels'!$B$5:$B$9,0))/30*H6)*Inputs!$B$14*Inputs!$B$20,0))))</f>
        <v/>
      </c>
    </row>
    <row r="7">
      <c r="A7" s="4" t="inlineStr">
        <is>
          <t>Bronze</t>
        </is>
      </c>
      <c r="B7" s="4" t="inlineStr">
        <is>
          <t>Views</t>
        </is>
      </c>
      <c r="C7" s="4" t="n">
        <v>2000</v>
      </c>
      <c r="D7" s="4" t="inlineStr">
        <is>
          <t>One-time</t>
        </is>
      </c>
      <c r="E7" s="5" t="n">
        <v>0.9</v>
      </c>
      <c r="F7" s="4" t="inlineStr">
        <is>
          <t>Discount</t>
        </is>
      </c>
      <c r="G7" s="5" t="n">
        <v>0.15</v>
      </c>
      <c r="H7" s="4" t="n">
        <v>0</v>
      </c>
      <c r="I7" s="4" t="inlineStr">
        <is>
          <t>Yes</t>
        </is>
      </c>
      <c r="J7" s="12">
        <f>IF(D7="Weekly",(Inputs!$B$15/30)*4,IF(D7="Monthly",Inputs!$B$15/30,1))*IF(F7="Gift Card",G7,IF(F7="Spark Ads",G7,IF(F7="Commission Boost",G7*(INDEX('VIP Levels'!$E$5:$E$9,MATCH(A7,'VIP Levels'!$B$5:$B$9,0))/30*H7)*Revenue!$B$10,IF(F7="Discount",G7*(INDEX('VIP Levels'!$E$5:$E$9,MATCH(A7,'VIP Levels'!$B$5:$B$9,0))/30*H7)*Inputs!$B$14*Inputs!$B$20,0))))</f>
        <v/>
      </c>
    </row>
    <row r="8">
      <c r="A8" s="4" t="inlineStr">
        <is>
          <t>Silver</t>
        </is>
      </c>
      <c r="B8" s="4" t="inlineStr">
        <is>
          <t>Sales</t>
        </is>
      </c>
      <c r="C8" s="4" t="n">
        <v>15</v>
      </c>
      <c r="D8" s="4" t="inlineStr">
        <is>
          <t>Monthly</t>
        </is>
      </c>
      <c r="E8" s="5" t="n">
        <v>0.6</v>
      </c>
      <c r="F8" s="4" t="inlineStr">
        <is>
          <t>Gift Card</t>
        </is>
      </c>
      <c r="G8" s="10" t="n">
        <v>50</v>
      </c>
      <c r="H8" s="4" t="n">
        <v>0</v>
      </c>
      <c r="I8" s="4" t="inlineStr">
        <is>
          <t>Yes</t>
        </is>
      </c>
      <c r="J8" s="12">
        <f>IF(D8="Weekly",(Inputs!$B$15/30)*4,IF(D8="Monthly",Inputs!$B$15/30,1))*IF(F8="Gift Card",G8,IF(F8="Spark Ads",G8,IF(F8="Commission Boost",G8*(INDEX('VIP Levels'!$E$5:$E$9,MATCH(A8,'VIP Levels'!$B$5:$B$9,0))/30*H8)*Revenue!$B$10,IF(F8="Discount",G8*(INDEX('VIP Levels'!$E$5:$E$9,MATCH(A8,'VIP Levels'!$B$5:$B$9,0))/30*H8)*Inputs!$B$14*Inputs!$B$20,0))))</f>
        <v/>
      </c>
    </row>
    <row r="9">
      <c r="A9" s="4" t="inlineStr">
        <is>
          <t>Silver</t>
        </is>
      </c>
      <c r="B9" s="4" t="inlineStr">
        <is>
          <t>Videos</t>
        </is>
      </c>
      <c r="C9" s="4" t="n">
        <v>15</v>
      </c>
      <c r="D9" s="4" t="inlineStr">
        <is>
          <t>Monthly</t>
        </is>
      </c>
      <c r="E9" s="5" t="n">
        <v>0.6</v>
      </c>
      <c r="F9" s="4" t="inlineStr">
        <is>
          <t>Commission Boost</t>
        </is>
      </c>
      <c r="G9" s="5" t="n">
        <v>0.1</v>
      </c>
      <c r="H9" s="4" t="n">
        <v>7</v>
      </c>
      <c r="I9" s="4" t="inlineStr">
        <is>
          <t>Yes</t>
        </is>
      </c>
      <c r="J9" s="12">
        <f>IF(D9="Weekly",(Inputs!$B$15/30)*4,IF(D9="Monthly",Inputs!$B$15/30,1))*IF(F9="Gift Card",G9,IF(F9="Spark Ads",G9,IF(F9="Commission Boost",G9*(INDEX('VIP Levels'!$E$5:$E$9,MATCH(A9,'VIP Levels'!$B$5:$B$9,0))/30*H9)*Revenue!$B$10,IF(F9="Discount",G9*(INDEX('VIP Levels'!$E$5:$E$9,MATCH(A9,'VIP Levels'!$B$5:$B$9,0))/30*H9)*Inputs!$B$14*Inputs!$B$20,0))))</f>
        <v/>
      </c>
    </row>
    <row r="10">
      <c r="A10" s="4" t="inlineStr">
        <is>
          <t>Silver</t>
        </is>
      </c>
      <c r="B10" s="4" t="inlineStr">
        <is>
          <t>Views</t>
        </is>
      </c>
      <c r="C10" s="4" t="n">
        <v>10000</v>
      </c>
      <c r="D10" s="4" t="inlineStr">
        <is>
          <t>Monthly</t>
        </is>
      </c>
      <c r="E10" s="5" t="n">
        <v>0.8</v>
      </c>
      <c r="F10" s="4" t="inlineStr">
        <is>
          <t>Discount</t>
        </is>
      </c>
      <c r="G10" s="5" t="n">
        <v>0.1</v>
      </c>
      <c r="H10" s="4" t="n">
        <v>2</v>
      </c>
      <c r="I10" s="4" t="inlineStr">
        <is>
          <t>Yes</t>
        </is>
      </c>
      <c r="J10" s="12">
        <f>IF(D10="Weekly",(Inputs!$B$15/30)*4,IF(D10="Monthly",Inputs!$B$15/30,1))*IF(F10="Gift Card",G10,IF(F10="Spark Ads",G10,IF(F10="Commission Boost",G10*(INDEX('VIP Levels'!$E$5:$E$9,MATCH(A10,'VIP Levels'!$B$5:$B$9,0))/30*H10)*Revenue!$B$10,IF(F10="Discount",G10*(INDEX('VIP Levels'!$E$5:$E$9,MATCH(A10,'VIP Levels'!$B$5:$B$9,0))/30*H10)*Inputs!$B$14*Inputs!$B$20,0))))</f>
        <v/>
      </c>
    </row>
    <row r="11">
      <c r="A11" s="4" t="inlineStr">
        <is>
          <t>Gold</t>
        </is>
      </c>
      <c r="B11" s="4" t="inlineStr">
        <is>
          <t>Sales</t>
        </is>
      </c>
      <c r="C11" s="4" t="n">
        <v>40</v>
      </c>
      <c r="D11" s="4" t="inlineStr">
        <is>
          <t>Monthly</t>
        </is>
      </c>
      <c r="E11" s="5" t="n">
        <v>0.5</v>
      </c>
      <c r="F11" s="4" t="inlineStr">
        <is>
          <t>Gift Card</t>
        </is>
      </c>
      <c r="G11" s="10" t="n">
        <v>150</v>
      </c>
      <c r="H11" s="4" t="n">
        <v>0</v>
      </c>
      <c r="I11" s="4" t="inlineStr">
        <is>
          <t>Yes</t>
        </is>
      </c>
      <c r="J11" s="12">
        <f>IF(D11="Weekly",(Inputs!$B$15/30)*4,IF(D11="Monthly",Inputs!$B$15/30,1))*IF(F11="Gift Card",G11,IF(F11="Spark Ads",G11,IF(F11="Commission Boost",G11*(INDEX('VIP Levels'!$E$5:$E$9,MATCH(A11,'VIP Levels'!$B$5:$B$9,0))/30*H11)*Revenue!$B$10,IF(F11="Discount",G11*(INDEX('VIP Levels'!$E$5:$E$9,MATCH(A11,'VIP Levels'!$B$5:$B$9,0))/30*H11)*Inputs!$B$14*Inputs!$B$20,0))))</f>
        <v/>
      </c>
    </row>
    <row r="12">
      <c r="A12" s="4" t="inlineStr">
        <is>
          <t>Gold</t>
        </is>
      </c>
      <c r="B12" s="4" t="inlineStr">
        <is>
          <t>Views</t>
        </is>
      </c>
      <c r="C12" s="4" t="n">
        <v>20000</v>
      </c>
      <c r="D12" s="4" t="inlineStr">
        <is>
          <t>Weekly</t>
        </is>
      </c>
      <c r="E12" s="5" t="n">
        <v>0.7</v>
      </c>
      <c r="F12" s="4" t="inlineStr">
        <is>
          <t>Discount</t>
        </is>
      </c>
      <c r="G12" s="5" t="n">
        <v>0.1</v>
      </c>
      <c r="H12" s="4" t="n">
        <v>2</v>
      </c>
      <c r="I12" s="4" t="inlineStr">
        <is>
          <t>Yes</t>
        </is>
      </c>
      <c r="J12" s="12">
        <f>IF(D12="Weekly",(Inputs!$B$15/30)*4,IF(D12="Monthly",Inputs!$B$15/30,1))*IF(F12="Gift Card",G12,IF(F12="Spark Ads",G12,IF(F12="Commission Boost",G12*(INDEX('VIP Levels'!$E$5:$E$9,MATCH(A12,'VIP Levels'!$B$5:$B$9,0))/30*H12)*Revenue!$B$10,IF(F12="Discount",G12*(INDEX('VIP Levels'!$E$5:$E$9,MATCH(A12,'VIP Levels'!$B$5:$B$9,0))/30*H12)*Inputs!$B$14*Inputs!$B$20,0))))</f>
        <v/>
      </c>
    </row>
    <row r="13">
      <c r="A13" s="4" t="inlineStr">
        <is>
          <t>Gold</t>
        </is>
      </c>
      <c r="B13" s="4" t="inlineStr">
        <is>
          <t>Videos</t>
        </is>
      </c>
      <c r="C13" s="4" t="n">
        <v>20</v>
      </c>
      <c r="D13" s="4" t="inlineStr">
        <is>
          <t>Monthly</t>
        </is>
      </c>
      <c r="E13" s="5" t="n">
        <v>0.7</v>
      </c>
      <c r="F13" s="4" t="inlineStr">
        <is>
          <t>Commission Boost</t>
        </is>
      </c>
      <c r="G13" s="5" t="n">
        <v>0.1</v>
      </c>
      <c r="H13" s="4" t="n">
        <v>7</v>
      </c>
      <c r="I13" s="4" t="inlineStr">
        <is>
          <t>Yes</t>
        </is>
      </c>
      <c r="J13" s="12">
        <f>IF(D13="Weekly",(Inputs!$B$15/30)*4,IF(D13="Monthly",Inputs!$B$15/30,1))*IF(F13="Gift Card",G13,IF(F13="Spark Ads",G13,IF(F13="Commission Boost",G13*(INDEX('VIP Levels'!$E$5:$E$9,MATCH(A13,'VIP Levels'!$B$5:$B$9,0))/30*H13)*Revenue!$B$10,IF(F13="Discount",G13*(INDEX('VIP Levels'!$E$5:$E$9,MATCH(A13,'VIP Levels'!$B$5:$B$9,0))/30*H13)*Inputs!$B$14*Inputs!$B$20,0))))</f>
        <v/>
      </c>
    </row>
    <row r="14">
      <c r="A14" s="4" t="inlineStr">
        <is>
          <t>Platinum</t>
        </is>
      </c>
      <c r="B14" s="4" t="inlineStr">
        <is>
          <t>Sales</t>
        </is>
      </c>
      <c r="C14" s="4" t="n">
        <v>100</v>
      </c>
      <c r="D14" s="4" t="inlineStr">
        <is>
          <t>Monthly</t>
        </is>
      </c>
      <c r="E14" s="5" t="n">
        <v>0.4</v>
      </c>
      <c r="F14" s="4" t="inlineStr">
        <is>
          <t>Gift Card</t>
        </is>
      </c>
      <c r="G14" s="10" t="n">
        <v>400</v>
      </c>
      <c r="H14" s="4" t="n">
        <v>0</v>
      </c>
      <c r="I14" s="4" t="inlineStr">
        <is>
          <t>Yes</t>
        </is>
      </c>
      <c r="J14" s="12">
        <f>IF(D14="Weekly",(Inputs!$B$15/30)*4,IF(D14="Monthly",Inputs!$B$15/30,1))*IF(F14="Gift Card",G14,IF(F14="Spark Ads",G14,IF(F14="Commission Boost",G14*(INDEX('VIP Levels'!$E$5:$E$9,MATCH(A14,'VIP Levels'!$B$5:$B$9,0))/30*H14)*Revenue!$B$10,IF(F14="Discount",G14*(INDEX('VIP Levels'!$E$5:$E$9,MATCH(A14,'VIP Levels'!$B$5:$B$9,0))/30*H14)*Inputs!$B$14*Inputs!$B$20,0))))</f>
        <v/>
      </c>
    </row>
    <row r="15">
      <c r="A15" s="4" t="inlineStr">
        <is>
          <t>Platinum</t>
        </is>
      </c>
      <c r="B15" s="4" t="inlineStr">
        <is>
          <t>Videos</t>
        </is>
      </c>
      <c r="C15" s="4" t="n">
        <v>10</v>
      </c>
      <c r="D15" s="4" t="inlineStr">
        <is>
          <t>Weekly</t>
        </is>
      </c>
      <c r="E15" s="5" t="n">
        <v>0.7</v>
      </c>
      <c r="F15" s="4" t="inlineStr">
        <is>
          <t>Commission Boost</t>
        </is>
      </c>
      <c r="G15" s="5" t="n">
        <v>0.15</v>
      </c>
      <c r="H15" s="4" t="n">
        <v>7</v>
      </c>
      <c r="I15" s="4" t="inlineStr">
        <is>
          <t>Yes</t>
        </is>
      </c>
      <c r="J15" s="12">
        <f>IF(D15="Weekly",(Inputs!$B$15/30)*4,IF(D15="Monthly",Inputs!$B$15/30,1))*IF(F15="Gift Card",G15,IF(F15="Spark Ads",G15,IF(F15="Commission Boost",G15*(INDEX('VIP Levels'!$E$5:$E$9,MATCH(A15,'VIP Levels'!$B$5:$B$9,0))/30*H15)*Revenue!$B$10,IF(F15="Discount",G15*(INDEX('VIP Levels'!$E$5:$E$9,MATCH(A15,'VIP Levels'!$B$5:$B$9,0))/30*H15)*Inputs!$B$14*Inputs!$B$20,0))))</f>
        <v/>
      </c>
    </row>
    <row r="16">
      <c r="A16" s="4" t="inlineStr">
        <is>
          <t>Platinum</t>
        </is>
      </c>
      <c r="B16" s="4" t="inlineStr">
        <is>
          <t>Views</t>
        </is>
      </c>
      <c r="C16" s="4" t="n">
        <v>20000</v>
      </c>
      <c r="D16" s="4" t="inlineStr">
        <is>
          <t>Weekly</t>
        </is>
      </c>
      <c r="E16" s="5" t="n">
        <v>0.5</v>
      </c>
      <c r="F16" s="4" t="inlineStr">
        <is>
          <t>Discount</t>
        </is>
      </c>
      <c r="G16" s="5" t="n">
        <v>0.15</v>
      </c>
      <c r="H16" s="4" t="n">
        <v>2</v>
      </c>
      <c r="I16" s="4" t="inlineStr">
        <is>
          <t>Yes</t>
        </is>
      </c>
      <c r="J16" s="12">
        <f>IF(D16="Weekly",(Inputs!$B$15/30)*4,IF(D16="Monthly",Inputs!$B$15/30,1))*IF(F16="Gift Card",G16,IF(F16="Spark Ads",G16,IF(F16="Commission Boost",G16*(INDEX('VIP Levels'!$E$5:$E$9,MATCH(A16,'VIP Levels'!$B$5:$B$9,0))/30*H16)*Revenue!$B$10,IF(F16="Discount",G16*(INDEX('VIP Levels'!$E$5:$E$9,MATCH(A16,'VIP Levels'!$B$5:$B$9,0))/30*H16)*Inputs!$B$14*Inputs!$B$20,0))))</f>
        <v/>
      </c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13">
        <f>IF(F17="Gift Card",G17,IF(F17="Spark Ads",G17,IF(F17="Commission Boost",G17*(INDEX('VIP Levels'!$E$5:$E$9,MATCH(A17,'VIP Levels'!$B$5:$B$9,0))/30*H17)*Revenue!$B$10,IF(F17="Discount",G17*(INDEX('VIP Levels'!$E$5:$E$9,MATCH(A17,'VIP Levels'!$B$5:$B$9,0))/30*H17)*Inputs!$B$15*Inputs!$B$21,0))))</f>
        <v/>
      </c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13">
        <f>IF(F18="Gift Card",G18,IF(F18="Spark Ads",G18,IF(F18="Commission Boost",G18*(INDEX('VIP Levels'!$E$5:$E$9,MATCH(A18,'VIP Levels'!$B$5:$B$9,0))/30*H18)*Revenue!$B$10,IF(F18="Discount",G18*(INDEX('VIP Levels'!$E$5:$E$9,MATCH(A18,'VIP Levels'!$B$5:$B$9,0))/30*H18)*Inputs!$B$15*Inputs!$B$21,0))))</f>
        <v/>
      </c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13">
        <f>IF(F19="Gift Card",G19,IF(F19="Spark Ads",G19,IF(F19="Commission Boost",G19*(INDEX('VIP Levels'!$E$5:$E$9,MATCH(A19,'VIP Levels'!$B$5:$B$9,0))/30*H19)*Revenue!$B$10,IF(F19="Discount",G19*(INDEX('VIP Levels'!$E$5:$E$9,MATCH(A19,'VIP Levels'!$B$5:$B$9,0))/30*H19)*Inputs!$B$15*Inputs!$B$21,0))))</f>
        <v/>
      </c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13">
        <f>IF(F20="Gift Card",G20,IF(F20="Spark Ads",G20,IF(F20="Commission Boost",G20*(INDEX('VIP Levels'!$E$5:$E$9,MATCH(A20,'VIP Levels'!$B$5:$B$9,0))/30*H20)*Revenue!$B$10,IF(F20="Discount",G20*(INDEX('VIP Levels'!$E$5:$E$9,MATCH(A20,'VIP Levels'!$B$5:$B$9,0))/30*H20)*Inputs!$B$15*Inputs!$B$21,0))))</f>
        <v/>
      </c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13">
        <f>IF(F21="Gift Card",G21,IF(F21="Spark Ads",G21,IF(F21="Commission Boost",G21*(INDEX('VIP Levels'!$E$5:$E$9,MATCH(A21,'VIP Levels'!$B$5:$B$9,0))/30*H21)*Revenue!$B$10,IF(F21="Discount",G21*(INDEX('VIP Levels'!$E$5:$E$9,MATCH(A21,'VIP Levels'!$B$5:$B$9,0))/30*H21)*Inputs!$B$15*Inputs!$B$21,0))))</f>
        <v/>
      </c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13">
        <f>IF(F22="Gift Card",G22,IF(F22="Spark Ads",G22,IF(F22="Commission Boost",G22*(INDEX('VIP Levels'!$E$5:$E$9,MATCH(A22,'VIP Levels'!$B$5:$B$9,0))/30*H22)*Revenue!$B$10,IF(F22="Discount",G22*(INDEX('VIP Levels'!$E$5:$E$9,MATCH(A22,'VIP Levels'!$B$5:$B$9,0))/30*H22)*Inputs!$B$15*Inputs!$B$21,0))))</f>
        <v/>
      </c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13">
        <f>IF(F23="Gift Card",G23,IF(F23="Spark Ads",G23,IF(F23="Commission Boost",G23*(INDEX('VIP Levels'!$E$5:$E$9,MATCH(A23,'VIP Levels'!$B$5:$B$9,0))/30*H23)*Revenue!$B$10,IF(F23="Discount",G23*(INDEX('VIP Levels'!$E$5:$E$9,MATCH(A23,'VIP Levels'!$B$5:$B$9,0))/30*H23)*Inputs!$B$15*Inputs!$B$21,0))))</f>
        <v/>
      </c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13">
        <f>IF(F24="Gift Card",G24,IF(F24="Spark Ads",G24,IF(F24="Commission Boost",G24*(INDEX('VIP Levels'!$E$5:$E$9,MATCH(A24,'VIP Levels'!$B$5:$B$9,0))/30*H24)*Revenue!$B$10,IF(F24="Discount",G24*(INDEX('VIP Levels'!$E$5:$E$9,MATCH(A24,'VIP Levels'!$B$5:$B$9,0))/30*H24)*Inputs!$B$15*Inputs!$B$21,0))))</f>
        <v/>
      </c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13">
        <f>IF(F25="Gift Card",G25,IF(F25="Spark Ads",G25,IF(F25="Commission Boost",G25*INDEX('VIP Levels'!$E$5:$E$9,MATCH(A25,'VIP Levels'!$B$5:$B$9,0))*Revenue!$B$10,0)))</f>
        <v/>
      </c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13">
        <f>IF(F26="Gift Card",G26,IF(F26="Spark Ads",G26,IF(F26="Commission Boost",G26*INDEX('VIP Levels'!$E$5:$E$9,MATCH(A26,'VIP Levels'!$B$5:$B$9,0))*Revenue!$B$10,0)))</f>
        <v/>
      </c>
    </row>
    <row r="29" ht="18.75" customHeight="1" s="32">
      <c r="A29" s="1" t="inlineStr">
        <is>
          <t>MISSION SUMMARY BY LEVEL</t>
        </is>
      </c>
    </row>
    <row r="30" ht="31.5" customHeight="1" s="32">
      <c r="A30" s="2" t="inlineStr">
        <is>
          <t>Level</t>
        </is>
      </c>
      <c r="B30" s="2" t="inlineStr">
        <is>
          <t>Active Missions</t>
        </is>
      </c>
      <c r="C30" s="2" t="inlineStr">
        <is>
          <t>Avg Completion Rate</t>
        </is>
      </c>
      <c r="D30" s="2" t="inlineStr">
        <is>
          <t>Avg Cost per Completion</t>
        </is>
      </c>
    </row>
    <row r="31">
      <c r="A31" s="3" t="inlineStr">
        <is>
          <t>Bronze</t>
        </is>
      </c>
      <c r="B31" s="13">
        <f>COUNTIFS(A$6:A$26,A31,I$6:I$26,"Yes")</f>
        <v/>
      </c>
      <c r="C31" s="7">
        <f>IFERROR(AVERAGEIFS(E$6:E$26,A$6:A$26,A31,I$6:I$26,"Yes"),0)</f>
        <v/>
      </c>
      <c r="D31" s="12">
        <f>IFERROR(AVERAGEIFS(J$6:J$26,A$6:A$26,A31,I$6:I$26,"Yes"),0)</f>
        <v/>
      </c>
    </row>
    <row r="32">
      <c r="A32" s="3" t="inlineStr">
        <is>
          <t>Silver</t>
        </is>
      </c>
      <c r="B32" s="13">
        <f>COUNTIFS(A$6:A$26,A32,I$6:I$26,"Yes")</f>
        <v/>
      </c>
      <c r="C32" s="7">
        <f>IFERROR(AVERAGEIFS(E$6:E$26,A$6:A$26,A32,I$6:I$26,"Yes"),0)</f>
        <v/>
      </c>
      <c r="D32" s="12">
        <f>IFERROR(AVERAGEIFS(J$6:J$26,A$6:A$26,A32,I$6:I$26,"Yes"),0)</f>
        <v/>
      </c>
    </row>
    <row r="33">
      <c r="A33" s="3" t="inlineStr">
        <is>
          <t>Gold</t>
        </is>
      </c>
      <c r="B33" s="13">
        <f>COUNTIFS(A$6:A$26,A33,I$6:I$26,"Yes")</f>
        <v/>
      </c>
      <c r="C33" s="7">
        <f>IFERROR(AVERAGEIFS(E$6:E$26,A$6:A$26,A33,I$6:I$26,"Yes"),0)</f>
        <v/>
      </c>
      <c r="D33" s="12">
        <f>IFERROR(AVERAGEIFS(J$6:J$26,A$6:A$26,A33,I$6:I$26,"Yes"),0)</f>
        <v/>
      </c>
    </row>
    <row r="34">
      <c r="A34" s="3" t="inlineStr">
        <is>
          <t>Platinum</t>
        </is>
      </c>
      <c r="B34" s="13">
        <f>COUNTIFS(A$6:A$26,A34,I$6:I$26,"Yes")</f>
        <v/>
      </c>
      <c r="C34" s="7">
        <f>IFERROR(AVERAGEIFS(E$6:E$26,A$6:A$26,A34,I$6:I$26,"Yes"),0)</f>
        <v/>
      </c>
      <c r="D34" s="12">
        <f>IFERROR(AVERAGEIFS(J$6:J$26,A$6:A$26,A34,I$6:I$26,"Yes"),0)</f>
        <v/>
      </c>
    </row>
    <row r="35">
      <c r="A35" s="3" t="inlineStr">
        <is>
          <t>Diamond</t>
        </is>
      </c>
      <c r="B35" s="13">
        <f>COUNTIFS(A$6:A$26,A35,I$6:I$26,"Yes")</f>
        <v/>
      </c>
      <c r="C35" s="7">
        <f>IFERROR(AVERAGEIFS(E$6:E$26,A$6:A$26,A35,I$6:I$26,"Yes"),0)</f>
        <v/>
      </c>
      <c r="D35" s="12">
        <f>IFERROR(AVERAGEIFS(J$6:J$26,A$6:A$26,A35,I$6:I$26,"Yes"),0)</f>
        <v/>
      </c>
    </row>
    <row r="39">
      <c r="A39" t="inlineStr">
        <is>
          <t>Mission Types: Videos, Likes, Sales, Views</t>
        </is>
      </c>
    </row>
    <row r="40">
      <c r="A40" t="inlineStr">
        <is>
          <t>Repeatability: One-time, Weekly, Monthly</t>
        </is>
      </c>
    </row>
    <row r="41">
      <c r="A41" t="inlineStr">
        <is>
          <t>Reward Types: Gift Card, Commission Boost, Spark Ads</t>
        </is>
      </c>
    </row>
  </sheetData>
  <mergeCells count="1">
    <mergeCell ref="A1:L1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1" sqref="A11"/>
    </sheetView>
  </sheetViews>
  <sheetFormatPr baseColWidth="8" defaultRowHeight="15"/>
  <cols>
    <col width="35" customWidth="1" style="32" min="1" max="1"/>
    <col width="12" customWidth="1" style="32" min="2" max="13"/>
  </cols>
  <sheetData>
    <row r="1" ht="21" customHeight="1" s="32">
      <c r="A1" s="31" t="inlineStr">
        <is>
          <t>AFFILIATE PROJECTION (12 MONTHS)</t>
        </is>
      </c>
    </row>
    <row r="3" ht="15.75" customHeight="1" s="32">
      <c r="A3" s="2" t="inlineStr">
        <is>
          <t>Metric</t>
        </is>
      </c>
      <c r="B3" s="2" t="inlineStr">
        <is>
          <t>Month 1</t>
        </is>
      </c>
      <c r="C3" s="2" t="inlineStr">
        <is>
          <t>Month 2</t>
        </is>
      </c>
      <c r="D3" s="2" t="inlineStr">
        <is>
          <t>Month 3</t>
        </is>
      </c>
      <c r="E3" s="2" t="inlineStr">
        <is>
          <t>Month 4</t>
        </is>
      </c>
      <c r="F3" s="2" t="inlineStr">
        <is>
          <t>Month 5</t>
        </is>
      </c>
      <c r="G3" s="2" t="inlineStr">
        <is>
          <t>Month 6</t>
        </is>
      </c>
      <c r="H3" s="2" t="inlineStr">
        <is>
          <t>Month 7</t>
        </is>
      </c>
      <c r="I3" s="2" t="inlineStr">
        <is>
          <t>Month 8</t>
        </is>
      </c>
      <c r="J3" s="2" t="inlineStr">
        <is>
          <t>Month 9</t>
        </is>
      </c>
      <c r="K3" s="2" t="inlineStr">
        <is>
          <t>Month 10</t>
        </is>
      </c>
      <c r="L3" s="2" t="inlineStr">
        <is>
          <t>Month 11</t>
        </is>
      </c>
      <c r="M3" s="2" t="inlineStr">
        <is>
          <t>Month 12</t>
        </is>
      </c>
    </row>
    <row r="4">
      <c r="A4" s="14" t="inlineStr">
        <is>
          <t>Samples Sent</t>
        </is>
      </c>
      <c r="B4" s="13">
        <f>Inputs!$B$5</f>
        <v/>
      </c>
      <c r="C4" s="13">
        <f>Inputs!$B$6</f>
        <v/>
      </c>
      <c r="D4" s="13">
        <f>Inputs!$B$6</f>
        <v/>
      </c>
      <c r="E4" s="13">
        <f>Inputs!$B$6</f>
        <v/>
      </c>
      <c r="F4" s="13">
        <f>Inputs!$B$6</f>
        <v/>
      </c>
      <c r="G4" s="13">
        <f>Inputs!$B$6</f>
        <v/>
      </c>
      <c r="H4" s="13">
        <f>Inputs!$B$6</f>
        <v/>
      </c>
      <c r="I4" s="13">
        <f>Inputs!$B$6</f>
        <v/>
      </c>
      <c r="J4" s="13">
        <f>Inputs!$B$6</f>
        <v/>
      </c>
      <c r="K4" s="13">
        <f>Inputs!$B$6</f>
        <v/>
      </c>
      <c r="L4" s="13">
        <f>Inputs!$B$6</f>
        <v/>
      </c>
      <c r="M4" s="13">
        <f>Inputs!$B$6</f>
        <v/>
      </c>
    </row>
    <row r="5">
      <c r="A5" s="14" t="inlineStr">
        <is>
          <t>New Affiliates (from Samples)</t>
        </is>
      </c>
      <c r="B5" s="13">
        <f t="array" ref="B5">ROUND(B4*SampleAffConv,0)</f>
        <v/>
      </c>
      <c r="C5" s="13">
        <f>ROUND(C4*SampleAffConv,0)</f>
        <v/>
      </c>
      <c r="D5" s="13">
        <f>ROUND(D4*SampleAffConv,0)</f>
        <v/>
      </c>
      <c r="E5" s="13">
        <f>ROUND(E4*SampleAffConv,0)</f>
        <v/>
      </c>
      <c r="F5" s="13">
        <f>ROUND(F4*SampleAffConv,0)</f>
        <v/>
      </c>
      <c r="G5" s="13">
        <f>ROUND(G4*SampleAffConv,0)</f>
        <v/>
      </c>
      <c r="H5" s="13">
        <f>ROUND(H4*SampleAffConv,0)</f>
        <v/>
      </c>
      <c r="I5" s="13">
        <f>ROUND(I4*SampleAffConv,0)</f>
        <v/>
      </c>
      <c r="J5" s="13">
        <f>ROUND(J4*SampleAffConv,0)</f>
        <v/>
      </c>
      <c r="K5" s="13">
        <f>ROUND(K4*SampleAffConv,0)</f>
        <v/>
      </c>
      <c r="L5" s="13">
        <f>ROUND(L4*SampleAffConv,0)</f>
        <v/>
      </c>
      <c r="M5" s="13">
        <f>ROUND(M4*SampleAffConv,0)</f>
        <v/>
      </c>
    </row>
    <row r="6">
      <c r="A6" s="14" t="inlineStr">
        <is>
          <t>Flywheel Affiliates</t>
        </is>
      </c>
      <c r="B6" s="13">
        <f>Inputs!B$45</f>
        <v/>
      </c>
      <c r="C6" s="13">
        <f>Inputs!C$45</f>
        <v/>
      </c>
      <c r="D6" s="13">
        <f>Inputs!D$45</f>
        <v/>
      </c>
      <c r="E6" s="13">
        <f>Inputs!E$45</f>
        <v/>
      </c>
      <c r="F6" s="13">
        <f>Inputs!F$45</f>
        <v/>
      </c>
      <c r="G6" s="13">
        <f>Inputs!G$45</f>
        <v/>
      </c>
      <c r="H6" s="13">
        <f>Inputs!H$45</f>
        <v/>
      </c>
      <c r="I6" s="13">
        <f>Inputs!I$45</f>
        <v/>
      </c>
      <c r="J6" s="13">
        <f>Inputs!J$45</f>
        <v/>
      </c>
      <c r="K6" s="13">
        <f>Inputs!K$45</f>
        <v/>
      </c>
      <c r="L6" s="13">
        <f>Inputs!L$45</f>
        <v/>
      </c>
      <c r="M6" s="13">
        <f>Inputs!M$45</f>
        <v/>
      </c>
    </row>
    <row r="7">
      <c r="A7" s="14" t="inlineStr">
        <is>
          <t>Total New Affiliates</t>
        </is>
      </c>
      <c r="B7" s="13">
        <f>B5+B6</f>
        <v/>
      </c>
      <c r="C7" s="13">
        <f>C5+C6</f>
        <v/>
      </c>
      <c r="D7" s="13">
        <f>D5+D6</f>
        <v/>
      </c>
      <c r="E7" s="13">
        <f>E5+E6</f>
        <v/>
      </c>
      <c r="F7" s="13">
        <f>F5+F6</f>
        <v/>
      </c>
      <c r="G7" s="13">
        <f>G5+G6</f>
        <v/>
      </c>
      <c r="H7" s="13">
        <f>H5+H6</f>
        <v/>
      </c>
      <c r="I7" s="13">
        <f>I5+I6</f>
        <v/>
      </c>
      <c r="J7" s="13">
        <f>J5+J6</f>
        <v/>
      </c>
      <c r="K7" s="13">
        <f>K5+K6</f>
        <v/>
      </c>
      <c r="L7" s="13">
        <f>L5+L6</f>
        <v/>
      </c>
      <c r="M7" s="13">
        <f>M5+M6</f>
        <v/>
      </c>
      <c r="Q7" t="inlineStr">
        <is>
          <t>s</t>
        </is>
      </c>
    </row>
    <row r="8">
      <c r="A8" s="14" t="inlineStr">
        <is>
          <t>Churned Affiliates</t>
        </is>
      </c>
      <c r="B8" s="13" t="n">
        <v>0</v>
      </c>
      <c r="C8" s="13">
        <f>ROUND(B9*AffAttrition,0)</f>
        <v/>
      </c>
      <c r="D8" s="13">
        <f>ROUND(C9*AffAttrition,0)</f>
        <v/>
      </c>
      <c r="E8" s="13">
        <f>ROUND(D9*AffAttrition,0)</f>
        <v/>
      </c>
      <c r="F8" s="13">
        <f>ROUND(E9*AffAttrition,0)</f>
        <v/>
      </c>
      <c r="G8" s="13">
        <f>ROUND(F9*AffAttrition,0)</f>
        <v/>
      </c>
      <c r="H8" s="13">
        <f>ROUND(G9*AffAttrition,0)</f>
        <v/>
      </c>
      <c r="I8" s="13">
        <f>ROUND(H9*AffAttrition,0)</f>
        <v/>
      </c>
      <c r="J8" s="13">
        <f>ROUND(I9*AffAttrition,0)</f>
        <v/>
      </c>
      <c r="K8" s="13">
        <f>ROUND(J9*AffAttrition,0)</f>
        <v/>
      </c>
      <c r="L8" s="13">
        <f>ROUND(K9*AffAttrition,0)</f>
        <v/>
      </c>
      <c r="M8" s="13">
        <f>ROUND(L9*AffAttrition,0)</f>
        <v/>
      </c>
    </row>
    <row r="9">
      <c r="A9" s="14" t="inlineStr">
        <is>
          <t>Active Affiliates (End of Month)</t>
        </is>
      </c>
      <c r="B9" s="13">
        <f>B7-B8</f>
        <v/>
      </c>
      <c r="C9" s="13">
        <f>B9+C7-C8</f>
        <v/>
      </c>
      <c r="D9" s="13">
        <f>C9+D7-D8</f>
        <v/>
      </c>
      <c r="E9" s="13">
        <f>D9+E7-E8</f>
        <v/>
      </c>
      <c r="F9" s="13">
        <f>E9+F7-F8</f>
        <v/>
      </c>
      <c r="G9" s="13">
        <f>F9+G7-G8</f>
        <v/>
      </c>
      <c r="H9" s="13">
        <f>G9+H7-H8</f>
        <v/>
      </c>
      <c r="I9" s="13">
        <f>H9+I7-I8</f>
        <v/>
      </c>
      <c r="J9" s="13">
        <f>I9+J7-J8</f>
        <v/>
      </c>
      <c r="K9" s="13">
        <f>J9+K7-K8</f>
        <v/>
      </c>
      <c r="L9" s="13">
        <f>K9+L7-L8</f>
        <v/>
      </c>
      <c r="M9" s="13">
        <f>L9+M7-M8</f>
        <v/>
      </c>
    </row>
    <row r="10">
      <c r="A10" s="14" t="inlineStr">
        <is>
          <t>Total Sales</t>
        </is>
      </c>
      <c r="B10" s="13">
        <f>ROUND(B12*'VIP Levels'!$E$5+B13*'VIP Levels'!$E$6+B14*'VIP Levels'!$E$7+B15*'VIP Levels'!$E$8+B16*'VIP Levels'!$E$9,0)</f>
        <v/>
      </c>
      <c r="C10" s="13">
        <f>ROUND(C12*'VIP Levels'!$E$5+C13*'VIP Levels'!$E$6+C14*'VIP Levels'!$E$7+C15*'VIP Levels'!$E$8+C16*'VIP Levels'!$E$9,0)</f>
        <v/>
      </c>
      <c r="D10" s="13">
        <f>ROUND(D12*'VIP Levels'!$E$5+D13*'VIP Levels'!$E$6+D14*'VIP Levels'!$E$7+D15*'VIP Levels'!$E$8+D16*'VIP Levels'!$E$9,0)</f>
        <v/>
      </c>
      <c r="E10" s="13">
        <f>ROUND(E12*'VIP Levels'!$E$5+E13*'VIP Levels'!$E$6+E14*'VIP Levels'!$E$7+E15*'VIP Levels'!$E$8+E16*'VIP Levels'!$E$9,0)</f>
        <v/>
      </c>
      <c r="F10" s="13">
        <f>ROUND(F12*'VIP Levels'!$E$5+F13*'VIP Levels'!$E$6+F14*'VIP Levels'!$E$7+F15*'VIP Levels'!$E$8+F16*'VIP Levels'!$E$9,0)</f>
        <v/>
      </c>
      <c r="G10" s="13">
        <f>ROUND(G12*'VIP Levels'!$E$5+G13*'VIP Levels'!$E$6+G14*'VIP Levels'!$E$7+G15*'VIP Levels'!$E$8+G16*'VIP Levels'!$E$9,0)</f>
        <v/>
      </c>
      <c r="H10" s="13">
        <f>ROUND(H12*'VIP Levels'!$E$5+H13*'VIP Levels'!$E$6+H14*'VIP Levels'!$E$7+H15*'VIP Levels'!$E$8+H16*'VIP Levels'!$E$9,0)</f>
        <v/>
      </c>
      <c r="I10" s="13">
        <f>ROUND(I12*'VIP Levels'!$E$5+I13*'VIP Levels'!$E$6+I14*'VIP Levels'!$E$7+I15*'VIP Levels'!$E$8+I16*'VIP Levels'!$E$9,0)</f>
        <v/>
      </c>
      <c r="J10" s="13">
        <f>ROUND(J12*'VIP Levels'!$E$5+J13*'VIP Levels'!$E$6+J14*'VIP Levels'!$E$7+J15*'VIP Levels'!$E$8+J16*'VIP Levels'!$E$9,0)</f>
        <v/>
      </c>
      <c r="K10" s="13">
        <f>ROUND(K12*'VIP Levels'!$E$5+K13*'VIP Levels'!$E$6+K14*'VIP Levels'!$E$7+K15*'VIP Levels'!$E$8+K16*'VIP Levels'!$E$9,0)</f>
        <v/>
      </c>
      <c r="L10" s="13">
        <f>ROUND(L12*'VIP Levels'!$E$5+L13*'VIP Levels'!$E$6+L14*'VIP Levels'!$E$7+L15*'VIP Levels'!$E$8+L16*'VIP Levels'!$E$9,0)</f>
        <v/>
      </c>
      <c r="M10" s="13">
        <f>ROUND(M12*'VIP Levels'!$E$5+M13*'VIP Levels'!$E$6+M14*'VIP Levels'!$E$7+M15*'VIP Levels'!$E$8+M16*'VIP Levels'!$E$9,0)</f>
        <v/>
      </c>
    </row>
    <row r="11" ht="18.75" customHeight="1" s="32">
      <c r="A11" s="1" t="inlineStr">
        <is>
          <t>--- Level Distribution ---</t>
        </is>
      </c>
    </row>
    <row r="12">
      <c r="A12" s="14" t="inlineStr">
        <is>
          <t>Affiliates at Bronze</t>
        </is>
      </c>
      <c r="B12" s="13">
        <f>ROUND(B9*Inputs!B$35,0)</f>
        <v/>
      </c>
      <c r="C12" s="13">
        <f>ROUND(C9*Inputs!C$35,0)</f>
        <v/>
      </c>
      <c r="D12" s="13">
        <f>ROUND(D9*Inputs!D$35,0)</f>
        <v/>
      </c>
      <c r="E12" s="13">
        <f>ROUND(E9*Inputs!E$35,0)</f>
        <v/>
      </c>
      <c r="F12" s="13">
        <f>ROUND(F9*Inputs!F$35,0)</f>
        <v/>
      </c>
      <c r="G12" s="13">
        <f>ROUND(G9*Inputs!G$35,0)</f>
        <v/>
      </c>
      <c r="H12" s="13">
        <f>ROUND(H9*Inputs!H$35,0)</f>
        <v/>
      </c>
      <c r="I12" s="13">
        <f>ROUND(I9*Inputs!I$35,0)</f>
        <v/>
      </c>
      <c r="J12" s="13">
        <f>ROUND(J9*Inputs!J$35,0)</f>
        <v/>
      </c>
      <c r="K12" s="13">
        <f>ROUND(K9*Inputs!K$35,0)</f>
        <v/>
      </c>
      <c r="L12" s="13">
        <f>ROUND(L9*Inputs!L$35,0)</f>
        <v/>
      </c>
      <c r="M12" s="13">
        <f>ROUND(M9*Inputs!M$35,0)</f>
        <v/>
      </c>
    </row>
    <row r="13">
      <c r="A13" s="14" t="inlineStr">
        <is>
          <t>Affiliates at Silver</t>
        </is>
      </c>
      <c r="B13" s="13">
        <f>ROUND(B9*Inputs!B$36,0)</f>
        <v/>
      </c>
      <c r="C13" s="13">
        <f>ROUND(C9*Inputs!C$36,0)</f>
        <v/>
      </c>
      <c r="D13" s="13">
        <f>ROUND(D9*Inputs!D$36,0)</f>
        <v/>
      </c>
      <c r="E13" s="13">
        <f>ROUND(E9*Inputs!E$36,0)</f>
        <v/>
      </c>
      <c r="F13" s="13">
        <f>ROUND(F9*Inputs!F$36,0)</f>
        <v/>
      </c>
      <c r="G13" s="13">
        <f>ROUND(G9*Inputs!G$36,0)</f>
        <v/>
      </c>
      <c r="H13" s="13">
        <f>ROUND(H9*Inputs!H$36,0)</f>
        <v/>
      </c>
      <c r="I13" s="13">
        <f>ROUND(I9*Inputs!I$36,0)</f>
        <v/>
      </c>
      <c r="J13" s="13">
        <f>ROUND(J9*Inputs!J$36,0)</f>
        <v/>
      </c>
      <c r="K13" s="13">
        <f>ROUND(K9*Inputs!K$36,0)</f>
        <v/>
      </c>
      <c r="L13" s="13">
        <f>ROUND(L9*Inputs!L$36,0)</f>
        <v/>
      </c>
      <c r="M13" s="13">
        <f>ROUND(M9*Inputs!M$36,0)</f>
        <v/>
      </c>
    </row>
    <row r="14">
      <c r="A14" s="14" t="inlineStr">
        <is>
          <t>Affiliates at Gold</t>
        </is>
      </c>
      <c r="B14" s="13">
        <f>ROUND(B9*Inputs!B$37,0)</f>
        <v/>
      </c>
      <c r="C14" s="13">
        <f>ROUND(C9*Inputs!C$37,0)</f>
        <v/>
      </c>
      <c r="D14" s="13">
        <f>ROUND(D9*Inputs!D$37,0)</f>
        <v/>
      </c>
      <c r="E14" s="13">
        <f>ROUND(E9*Inputs!E$37,0)</f>
        <v/>
      </c>
      <c r="F14" s="13">
        <f>ROUND(F9*Inputs!F$37,0)</f>
        <v/>
      </c>
      <c r="G14" s="13">
        <f>ROUND(G9*Inputs!G$37,0)</f>
        <v/>
      </c>
      <c r="H14" s="13">
        <f>ROUND(H9*Inputs!H$37,0)</f>
        <v/>
      </c>
      <c r="I14" s="13">
        <f>ROUND(I9*Inputs!I$37,0)</f>
        <v/>
      </c>
      <c r="J14" s="13">
        <f>ROUND(J9*Inputs!J$37,0)</f>
        <v/>
      </c>
      <c r="K14" s="13">
        <f>ROUND(K9*Inputs!K$37,0)</f>
        <v/>
      </c>
      <c r="L14" s="13">
        <f>ROUND(L9*Inputs!L$37,0)</f>
        <v/>
      </c>
      <c r="M14" s="13">
        <f>ROUND(M9*Inputs!M$37,0)</f>
        <v/>
      </c>
    </row>
    <row r="15">
      <c r="A15" s="14" t="inlineStr">
        <is>
          <t>Affiliates at Platinum</t>
        </is>
      </c>
      <c r="B15" s="13">
        <f>ROUND(B9*Inputs!B$38,0)</f>
        <v/>
      </c>
      <c r="C15" s="13">
        <f>ROUND(C9*Inputs!C$38,0)</f>
        <v/>
      </c>
      <c r="D15" s="13">
        <f>ROUND(D9*Inputs!D$38,0)</f>
        <v/>
      </c>
      <c r="E15" s="13">
        <f>ROUND(E9*Inputs!E$38,0)</f>
        <v/>
      </c>
      <c r="F15" s="13">
        <f>ROUND(F9*Inputs!F$38,0)</f>
        <v/>
      </c>
      <c r="G15" s="13">
        <f>ROUND(G9*Inputs!G$38,0)</f>
        <v/>
      </c>
      <c r="H15" s="13">
        <f>ROUND(H9*Inputs!H$38,0)</f>
        <v/>
      </c>
      <c r="I15" s="13">
        <f>ROUND(I9*Inputs!I$38,0)</f>
        <v/>
      </c>
      <c r="J15" s="13">
        <f>ROUND(J9*Inputs!J$38,0)</f>
        <v/>
      </c>
      <c r="K15" s="13">
        <f>ROUND(K9*Inputs!K$38,0)</f>
        <v/>
      </c>
      <c r="L15" s="13">
        <f>ROUND(L9*Inputs!L$38,0)</f>
        <v/>
      </c>
      <c r="M15" s="13">
        <f>ROUND(M9*Inputs!M$38,0)</f>
        <v/>
      </c>
    </row>
    <row r="16">
      <c r="A16" s="14" t="inlineStr">
        <is>
          <t>Affiliates at Diamond</t>
        </is>
      </c>
      <c r="B16" s="13">
        <f>ROUND(B9*Inputs!B$39,0)</f>
        <v/>
      </c>
      <c r="C16" s="13">
        <f>ROUND(C9*Inputs!C$39,0)</f>
        <v/>
      </c>
      <c r="D16" s="13">
        <f>ROUND(D9*Inputs!D$39,0)</f>
        <v/>
      </c>
      <c r="E16" s="13">
        <f>ROUND(E9*Inputs!E$39,0)</f>
        <v/>
      </c>
      <c r="F16" s="13">
        <f>ROUND(F9*Inputs!F$39,0)</f>
        <v/>
      </c>
      <c r="G16" s="13">
        <f>ROUND(G9*Inputs!G$39,0)</f>
        <v/>
      </c>
      <c r="H16" s="13">
        <f>ROUND(H9*Inputs!H$39,0)</f>
        <v/>
      </c>
      <c r="I16" s="13">
        <f>ROUND(I9*Inputs!I$39,0)</f>
        <v/>
      </c>
      <c r="J16" s="13">
        <f>ROUND(J9*Inputs!J$39,0)</f>
        <v/>
      </c>
      <c r="K16" s="13">
        <f>ROUND(K9*Inputs!K$39,0)</f>
        <v/>
      </c>
      <c r="L16" s="13">
        <f>ROUND(L9*Inputs!L$39,0)</f>
        <v/>
      </c>
      <c r="M16" s="13">
        <f>ROUND(M9*Inputs!M$39,0)</f>
        <v/>
      </c>
    </row>
    <row r="17" ht="18.75" customHeight="1" s="32">
      <c r="A17" s="1" t="inlineStr">
        <is>
          <t>--- Level Events ---</t>
        </is>
      </c>
    </row>
    <row r="18">
      <c r="A18" s="14" t="inlineStr">
        <is>
          <t>New Affiliate Level-Ups (to Bronze)</t>
        </is>
      </c>
      <c r="B18" s="13">
        <f>B7</f>
        <v/>
      </c>
      <c r="C18" s="13">
        <f>C7</f>
        <v/>
      </c>
      <c r="D18" s="13">
        <f>D7</f>
        <v/>
      </c>
      <c r="E18" s="13">
        <f>E7</f>
        <v/>
      </c>
      <c r="F18" s="13">
        <f>F7</f>
        <v/>
      </c>
      <c r="G18" s="13">
        <f>G7</f>
        <v/>
      </c>
      <c r="H18" s="13">
        <f>H7</f>
        <v/>
      </c>
      <c r="I18" s="13">
        <f>I7</f>
        <v/>
      </c>
      <c r="J18" s="13">
        <f>J7</f>
        <v/>
      </c>
      <c r="K18" s="13">
        <f>K7</f>
        <v/>
      </c>
      <c r="L18" s="13">
        <f>L7</f>
        <v/>
      </c>
      <c r="M18" s="13">
        <f>M7</f>
        <v/>
      </c>
    </row>
    <row r="19">
      <c r="A19" s="14" t="inlineStr">
        <is>
          <t>Promotion Events (Bronze to higher)</t>
        </is>
      </c>
      <c r="B19" s="13" t="n">
        <v>0</v>
      </c>
      <c r="C19" s="13">
        <f>MAX(0,(C13+C14+C15+C16)-(B13+B14+B15+B16))</f>
        <v/>
      </c>
      <c r="D19" s="13">
        <f>MAX(0,(D13+D14+D15+D16)-(C13+C14+C15+C16))</f>
        <v/>
      </c>
      <c r="E19" s="13">
        <f>MAX(0,(E13+E14+E15+E16)-(D13+D14+D15+D16))</f>
        <v/>
      </c>
      <c r="F19" s="13">
        <f>MAX(0,(F13+F14+F15+F16)-(E13+E14+E15+E16))</f>
        <v/>
      </c>
      <c r="G19" s="13">
        <f>MAX(0,(G13+G14+G15+G16)-(F13+F14+F15+F16))</f>
        <v/>
      </c>
      <c r="H19" s="13">
        <f>MAX(0,(H13+H14+H15+H16)-(G13+G14+G15+G16))</f>
        <v/>
      </c>
      <c r="I19" s="13">
        <f>MAX(0,(I13+I14+I15+I16)-(H13+H14+H15+H16))</f>
        <v/>
      </c>
      <c r="J19" s="13">
        <f>MAX(0,(J13+J14+J15+J16)-(I13+I14+I15+I16))</f>
        <v/>
      </c>
      <c r="K19" s="13">
        <f>MAX(0,(K13+K14+K15+K16)-(J13+J14+J15+J16))</f>
        <v/>
      </c>
      <c r="L19" s="13">
        <f>MAX(0,(L13+L14+L15+L16)-(K13+K14+K15+K16))</f>
        <v/>
      </c>
      <c r="M19" s="13">
        <f>MAX(0,(M13+M14+M15+M16)-(L13+L14+L15+L16))</f>
        <v/>
      </c>
    </row>
    <row r="20" ht="18.75" customHeight="1" s="32">
      <c r="A20" s="1" t="inlineStr">
        <is>
          <t>--- New Tier Arrivals (for One-time Missions) ---</t>
        </is>
      </c>
    </row>
    <row r="21">
      <c r="A21" s="21" t="inlineStr">
        <is>
          <t>New Arrivals at Bronze</t>
        </is>
      </c>
      <c r="B21" s="13">
        <f>B7</f>
        <v/>
      </c>
      <c r="C21" s="13">
        <f>C7</f>
        <v/>
      </c>
      <c r="D21" s="13">
        <f>D7</f>
        <v/>
      </c>
      <c r="E21" s="13">
        <f>E7</f>
        <v/>
      </c>
      <c r="F21" s="13">
        <f>F7</f>
        <v/>
      </c>
      <c r="G21" s="13">
        <f>G7</f>
        <v/>
      </c>
      <c r="H21" s="13">
        <f>H7</f>
        <v/>
      </c>
      <c r="I21" s="13">
        <f>I7</f>
        <v/>
      </c>
      <c r="J21" s="13">
        <f>J7</f>
        <v/>
      </c>
      <c r="K21" s="13">
        <f>K7</f>
        <v/>
      </c>
      <c r="L21" s="13">
        <f>L7</f>
        <v/>
      </c>
      <c r="M21" s="13">
        <f>M7</f>
        <v/>
      </c>
    </row>
    <row r="22" ht="18.75" customHeight="1" s="32">
      <c r="A22" s="21" t="inlineStr">
        <is>
          <t>New Arrivals at Silver</t>
        </is>
      </c>
      <c r="B22" s="13">
        <f>B13</f>
        <v/>
      </c>
      <c r="C22" s="13">
        <f>MAX(0,C13-B13)</f>
        <v/>
      </c>
      <c r="D22" s="13">
        <f>MAX(0,D13-C13)</f>
        <v/>
      </c>
      <c r="E22" s="13">
        <f>MAX(0,E13-D13)</f>
        <v/>
      </c>
      <c r="F22" s="13">
        <f>MAX(0,F13-E13)</f>
        <v/>
      </c>
      <c r="G22" s="13">
        <f>MAX(0,G13-F13)</f>
        <v/>
      </c>
      <c r="H22" s="13">
        <f>MAX(0,H13-G13)</f>
        <v/>
      </c>
      <c r="I22" s="13">
        <f>MAX(0,I13-H13)</f>
        <v/>
      </c>
      <c r="J22" s="13">
        <f>MAX(0,J13-I13)</f>
        <v/>
      </c>
      <c r="K22" s="13">
        <f>MAX(0,K13-J13)</f>
        <v/>
      </c>
      <c r="L22" s="13">
        <f>MAX(0,L13-K13)</f>
        <v/>
      </c>
      <c r="M22" s="13">
        <f>MAX(0,M13-L13)</f>
        <v/>
      </c>
    </row>
    <row r="23">
      <c r="A23" s="21" t="inlineStr">
        <is>
          <t>New Arrivals at Gold</t>
        </is>
      </c>
      <c r="B23" s="13">
        <f>B14</f>
        <v/>
      </c>
      <c r="C23" s="13">
        <f>MAX(0,C14-B14)</f>
        <v/>
      </c>
      <c r="D23" s="13">
        <f>MAX(0,D14-C14)</f>
        <v/>
      </c>
      <c r="E23" s="13">
        <f>MAX(0,E14-D14)</f>
        <v/>
      </c>
      <c r="F23" s="13">
        <f>MAX(0,F14-E14)</f>
        <v/>
      </c>
      <c r="G23" s="13">
        <f>MAX(0,G14-F14)</f>
        <v/>
      </c>
      <c r="H23" s="13">
        <f>MAX(0,H14-G14)</f>
        <v/>
      </c>
      <c r="I23" s="13">
        <f>MAX(0,I14-H14)</f>
        <v/>
      </c>
      <c r="J23" s="13">
        <f>MAX(0,J14-I14)</f>
        <v/>
      </c>
      <c r="K23" s="13">
        <f>MAX(0,K14-J14)</f>
        <v/>
      </c>
      <c r="L23" s="13">
        <f>MAX(0,L14-K14)</f>
        <v/>
      </c>
      <c r="M23" s="13">
        <f>MAX(0,M14-L14)</f>
        <v/>
      </c>
    </row>
    <row r="24">
      <c r="A24" s="21" t="inlineStr">
        <is>
          <t>New Arrivals at Platinum</t>
        </is>
      </c>
      <c r="B24" s="13">
        <f>B15</f>
        <v/>
      </c>
      <c r="C24" s="13">
        <f>MAX(0,C15-B15)</f>
        <v/>
      </c>
      <c r="D24" s="13">
        <f>MAX(0,D15-C15)</f>
        <v/>
      </c>
      <c r="E24" s="13">
        <f>MAX(0,E15-D15)</f>
        <v/>
      </c>
      <c r="F24" s="13">
        <f>MAX(0,F15-E15)</f>
        <v/>
      </c>
      <c r="G24" s="13">
        <f>MAX(0,G15-F15)</f>
        <v/>
      </c>
      <c r="H24" s="13">
        <f>MAX(0,H15-G15)</f>
        <v/>
      </c>
      <c r="I24" s="13">
        <f>MAX(0,I15-H15)</f>
        <v/>
      </c>
      <c r="J24" s="13">
        <f>MAX(0,J15-I15)</f>
        <v/>
      </c>
      <c r="K24" s="13">
        <f>MAX(0,K15-J15)</f>
        <v/>
      </c>
      <c r="L24" s="13">
        <f>MAX(0,L15-K15)</f>
        <v/>
      </c>
      <c r="M24" s="13">
        <f>MAX(0,M15-L15)</f>
        <v/>
      </c>
    </row>
    <row r="25">
      <c r="A25" s="21" t="inlineStr">
        <is>
          <t>New Arrivals at Diamond</t>
        </is>
      </c>
      <c r="B25" s="13">
        <f>B16</f>
        <v/>
      </c>
      <c r="C25" s="13">
        <f>MAX(0,C16-B16)</f>
        <v/>
      </c>
      <c r="D25" s="13">
        <f>MAX(0,D16-C16)</f>
        <v/>
      </c>
      <c r="E25" s="13">
        <f>MAX(0,E16-D16)</f>
        <v/>
      </c>
      <c r="F25" s="13">
        <f>MAX(0,F16-E16)</f>
        <v/>
      </c>
      <c r="G25" s="13">
        <f>MAX(0,G16-F16)</f>
        <v/>
      </c>
      <c r="H25" s="13">
        <f>MAX(0,H16-G16)</f>
        <v/>
      </c>
      <c r="I25" s="13">
        <f>MAX(0,I16-H16)</f>
        <v/>
      </c>
      <c r="J25" s="13">
        <f>MAX(0,J16-I16)</f>
        <v/>
      </c>
      <c r="K25" s="13">
        <f>MAX(0,K16-J16)</f>
        <v/>
      </c>
      <c r="L25" s="13">
        <f>MAX(0,L16-K16)</f>
        <v/>
      </c>
      <c r="M25" s="13">
        <f>MAX(0,M16-L16)</f>
        <v/>
      </c>
    </row>
  </sheetData>
  <mergeCells count="1">
    <mergeCell ref="A1:N1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8"/>
  <sheetViews>
    <sheetView tabSelected="1" workbookViewId="0">
      <selection activeCell="E10" sqref="E10"/>
    </sheetView>
  </sheetViews>
  <sheetFormatPr baseColWidth="8" defaultRowHeight="15"/>
  <cols>
    <col width="38" customWidth="1" style="32" min="1" max="1"/>
    <col width="12" customWidth="1" style="32" min="2" max="13"/>
  </cols>
  <sheetData>
    <row r="1" ht="21" customHeight="1" s="32">
      <c r="A1" s="31" t="inlineStr">
        <is>
          <t>REWARD TRIGGERS (12 MONTHS)</t>
        </is>
      </c>
    </row>
    <row r="3" ht="15.75" customHeight="1" s="32">
      <c r="A3" s="2" t="inlineStr">
        <is>
          <t>Metric</t>
        </is>
      </c>
      <c r="B3" s="2" t="inlineStr">
        <is>
          <t>Month 1</t>
        </is>
      </c>
      <c r="C3" s="2" t="inlineStr">
        <is>
          <t>Month 2</t>
        </is>
      </c>
      <c r="D3" s="2" t="inlineStr">
        <is>
          <t>Month 3</t>
        </is>
      </c>
      <c r="E3" s="2" t="inlineStr">
        <is>
          <t>Month 4</t>
        </is>
      </c>
      <c r="F3" s="2" t="inlineStr">
        <is>
          <t>Month 5</t>
        </is>
      </c>
      <c r="G3" s="2" t="inlineStr">
        <is>
          <t>Month 6</t>
        </is>
      </c>
      <c r="H3" s="2" t="inlineStr">
        <is>
          <t>Month 7</t>
        </is>
      </c>
      <c r="I3" s="2" t="inlineStr">
        <is>
          <t>Month 8</t>
        </is>
      </c>
      <c r="J3" s="2" t="inlineStr">
        <is>
          <t>Month 9</t>
        </is>
      </c>
      <c r="K3" s="2" t="inlineStr">
        <is>
          <t>Month 10</t>
        </is>
      </c>
      <c r="L3" s="2" t="inlineStr">
        <is>
          <t>Month 11</t>
        </is>
      </c>
      <c r="M3" s="2" t="inlineStr">
        <is>
          <t>Month 12</t>
        </is>
      </c>
    </row>
    <row r="4" ht="18.75" customHeight="1" s="32">
      <c r="A4" s="1" t="inlineStr">
        <is>
          <t>--- WELCOME REWARDS (per level-up) ---</t>
        </is>
      </c>
    </row>
    <row r="5">
      <c r="A5" s="21" t="inlineStr">
        <is>
          <t>Commission Boosts Triggered</t>
        </is>
      </c>
      <c r="B5" s="13">
        <f>ROUND('Affiliate Projection'!B21*'VIP Levels'!$B$14+'Affiliate Projection'!B22*'VIP Levels'!$B$15+'Affiliate Projection'!B23*'VIP Levels'!$B$16+'Affiliate Projection'!B24*'VIP Levels'!$B$17+'Affiliate Projection'!B25*'VIP Levels'!$B$18,0)</f>
        <v/>
      </c>
      <c r="C5" s="13">
        <f>ROUND('Affiliate Projection'!C21*'VIP Levels'!$B$14+'Affiliate Projection'!C22*'VIP Levels'!$B$15+'Affiliate Projection'!C23*'VIP Levels'!$B$16+'Affiliate Projection'!C24*'VIP Levels'!$B$17+'Affiliate Projection'!C25*'VIP Levels'!$B$18,0)</f>
        <v/>
      </c>
      <c r="D5" s="13">
        <f>ROUND('Affiliate Projection'!D21*'VIP Levels'!$B$14+'Affiliate Projection'!D22*'VIP Levels'!$B$15+'Affiliate Projection'!D23*'VIP Levels'!$B$16+'Affiliate Projection'!D24*'VIP Levels'!$B$17+'Affiliate Projection'!D25*'VIP Levels'!$B$18,0)</f>
        <v/>
      </c>
      <c r="E5" s="13">
        <f>ROUND('Affiliate Projection'!E21*'VIP Levels'!$B$14+'Affiliate Projection'!E22*'VIP Levels'!$B$15+'Affiliate Projection'!E23*'VIP Levels'!$B$16+'Affiliate Projection'!E24*'VIP Levels'!$B$17+'Affiliate Projection'!E25*'VIP Levels'!$B$18,0)</f>
        <v/>
      </c>
      <c r="F5" s="13">
        <f>ROUND('Affiliate Projection'!F21*'VIP Levels'!$B$14+'Affiliate Projection'!F22*'VIP Levels'!$B$15+'Affiliate Projection'!F23*'VIP Levels'!$B$16+'Affiliate Projection'!F24*'VIP Levels'!$B$17+'Affiliate Projection'!F25*'VIP Levels'!$B$18,0)</f>
        <v/>
      </c>
      <c r="G5" s="13">
        <f>ROUND('Affiliate Projection'!G21*'VIP Levels'!$B$14+'Affiliate Projection'!G22*'VIP Levels'!$B$15+'Affiliate Projection'!G23*'VIP Levels'!$B$16+'Affiliate Projection'!G24*'VIP Levels'!$B$17+'Affiliate Projection'!G25*'VIP Levels'!$B$18,0)</f>
        <v/>
      </c>
      <c r="H5" s="13">
        <f>ROUND('Affiliate Projection'!H21*'VIP Levels'!$B$14+'Affiliate Projection'!H22*'VIP Levels'!$B$15+'Affiliate Projection'!H23*'VIP Levels'!$B$16+'Affiliate Projection'!H24*'VIP Levels'!$B$17+'Affiliate Projection'!H25*'VIP Levels'!$B$18,0)</f>
        <v/>
      </c>
      <c r="I5" s="13">
        <f>ROUND('Affiliate Projection'!I21*'VIP Levels'!$B$14+'Affiliate Projection'!I22*'VIP Levels'!$B$15+'Affiliate Projection'!I23*'VIP Levels'!$B$16+'Affiliate Projection'!I24*'VIP Levels'!$B$17+'Affiliate Projection'!I25*'VIP Levels'!$B$18,0)</f>
        <v/>
      </c>
      <c r="J5" s="13">
        <f>ROUND('Affiliate Projection'!J21*'VIP Levels'!$B$14+'Affiliate Projection'!J22*'VIP Levels'!$B$15+'Affiliate Projection'!J23*'VIP Levels'!$B$16+'Affiliate Projection'!J24*'VIP Levels'!$B$17+'Affiliate Projection'!J25*'VIP Levels'!$B$18,0)</f>
        <v/>
      </c>
      <c r="K5" s="13">
        <f>ROUND('Affiliate Projection'!K21*'VIP Levels'!$B$14+'Affiliate Projection'!K22*'VIP Levels'!$B$15+'Affiliate Projection'!K23*'VIP Levels'!$B$16+'Affiliate Projection'!K24*'VIP Levels'!$B$17+'Affiliate Projection'!K25*'VIP Levels'!$B$18,0)</f>
        <v/>
      </c>
      <c r="L5" s="13">
        <f>ROUND('Affiliate Projection'!L21*'VIP Levels'!$B$14+'Affiliate Projection'!L22*'VIP Levels'!$B$15+'Affiliate Projection'!L23*'VIP Levels'!$B$16+'Affiliate Projection'!L24*'VIP Levels'!$B$17+'Affiliate Projection'!L25*'VIP Levels'!$B$18,0)</f>
        <v/>
      </c>
      <c r="M5" s="13">
        <f>ROUND('Affiliate Projection'!M21*'VIP Levels'!$B$14+'Affiliate Projection'!M22*'VIP Levels'!$B$15+'Affiliate Projection'!M23*'VIP Levels'!$B$16+'Affiliate Projection'!M24*'VIP Levels'!$B$17+'Affiliate Projection'!M25*'VIP Levels'!$B$18,0)</f>
        <v/>
      </c>
    </row>
    <row r="6">
      <c r="A6" s="14" t="inlineStr">
        <is>
          <t>Gift Cards Triggered</t>
        </is>
      </c>
      <c r="B6" s="13">
        <f>ROUND('Affiliate Projection'!B21*'VIP Levels'!$E$14+'Affiliate Projection'!B22*'VIP Levels'!$E$15+'Affiliate Projection'!B23*'VIP Levels'!$E$16+'Affiliate Projection'!B24*'VIP Levels'!$E$17+'Affiliate Projection'!B25*'VIP Levels'!$E$18,0)</f>
        <v/>
      </c>
      <c r="C6" s="13">
        <f>ROUND('Affiliate Projection'!C21*'VIP Levels'!$E$14+'Affiliate Projection'!C22*'VIP Levels'!$E$15+'Affiliate Projection'!C23*'VIP Levels'!$E$16+'Affiliate Projection'!C24*'VIP Levels'!$E$17+'Affiliate Projection'!C25*'VIP Levels'!$E$18,0)</f>
        <v/>
      </c>
      <c r="D6" s="13">
        <f>ROUND('Affiliate Projection'!D21*'VIP Levels'!$E$14+'Affiliate Projection'!D22*'VIP Levels'!$E$15+'Affiliate Projection'!D23*'VIP Levels'!$E$16+'Affiliate Projection'!D24*'VIP Levels'!$E$17+'Affiliate Projection'!D25*'VIP Levels'!$E$18,0)</f>
        <v/>
      </c>
      <c r="E6" s="13">
        <f>ROUND('Affiliate Projection'!E21*'VIP Levels'!$E$14+'Affiliate Projection'!E22*'VIP Levels'!$E$15+'Affiliate Projection'!E23*'VIP Levels'!$E$16+'Affiliate Projection'!E24*'VIP Levels'!$E$17+'Affiliate Projection'!E25*'VIP Levels'!$E$18,0)</f>
        <v/>
      </c>
      <c r="F6" s="13">
        <f>ROUND('Affiliate Projection'!F21*'VIP Levels'!$E$14+'Affiliate Projection'!F22*'VIP Levels'!$E$15+'Affiliate Projection'!F23*'VIP Levels'!$E$16+'Affiliate Projection'!F24*'VIP Levels'!$E$17+'Affiliate Projection'!F25*'VIP Levels'!$E$18,0)</f>
        <v/>
      </c>
      <c r="G6" s="13">
        <f>ROUND('Affiliate Projection'!G21*'VIP Levels'!$E$14+'Affiliate Projection'!G22*'VIP Levels'!$E$15+'Affiliate Projection'!G23*'VIP Levels'!$E$16+'Affiliate Projection'!G24*'VIP Levels'!$E$17+'Affiliate Projection'!G25*'VIP Levels'!$E$18,0)</f>
        <v/>
      </c>
      <c r="H6" s="13">
        <f>ROUND('Affiliate Projection'!H21*'VIP Levels'!$E$14+'Affiliate Projection'!H22*'VIP Levels'!$E$15+'Affiliate Projection'!H23*'VIP Levels'!$E$16+'Affiliate Projection'!H24*'VIP Levels'!$E$17+'Affiliate Projection'!H25*'VIP Levels'!$E$18,0)</f>
        <v/>
      </c>
      <c r="I6" s="13">
        <f>ROUND('Affiliate Projection'!I21*'VIP Levels'!$E$14+'Affiliate Projection'!I22*'VIP Levels'!$E$15+'Affiliate Projection'!I23*'VIP Levels'!$E$16+'Affiliate Projection'!I24*'VIP Levels'!$E$17+'Affiliate Projection'!I25*'VIP Levels'!$E$18,0)</f>
        <v/>
      </c>
      <c r="J6" s="13">
        <f>ROUND('Affiliate Projection'!J21*'VIP Levels'!$E$14+'Affiliate Projection'!J22*'VIP Levels'!$E$15+'Affiliate Projection'!J23*'VIP Levels'!$E$16+'Affiliate Projection'!J24*'VIP Levels'!$E$17+'Affiliate Projection'!J25*'VIP Levels'!$E$18,0)</f>
        <v/>
      </c>
      <c r="K6" s="13">
        <f>ROUND('Affiliate Projection'!K21*'VIP Levels'!$E$14+'Affiliate Projection'!K22*'VIP Levels'!$E$15+'Affiliate Projection'!K23*'VIP Levels'!$E$16+'Affiliate Projection'!K24*'VIP Levels'!$E$17+'Affiliate Projection'!K25*'VIP Levels'!$E$18,0)</f>
        <v/>
      </c>
      <c r="L6" s="13">
        <f>ROUND('Affiliate Projection'!L21*'VIP Levels'!$E$14+'Affiliate Projection'!L22*'VIP Levels'!$E$15+'Affiliate Projection'!L23*'VIP Levels'!$E$16+'Affiliate Projection'!L24*'VIP Levels'!$E$17+'Affiliate Projection'!L25*'VIP Levels'!$E$18,0)</f>
        <v/>
      </c>
      <c r="M6" s="13">
        <f>ROUND('Affiliate Projection'!M21*'VIP Levels'!$E$14+'Affiliate Projection'!M22*'VIP Levels'!$E$15+'Affiliate Projection'!M23*'VIP Levels'!$E$16+'Affiliate Projection'!M24*'VIP Levels'!$E$17+'Affiliate Projection'!M25*'VIP Levels'!$E$18,0)</f>
        <v/>
      </c>
    </row>
    <row r="7">
      <c r="A7" s="14" t="inlineStr">
        <is>
          <t>Discount Coupons Triggered</t>
        </is>
      </c>
      <c r="B7" s="13">
        <f>ROUND('Affiliate Projection'!B21*'VIP Levels'!$G$14+'Affiliate Projection'!B22*'VIP Levels'!$G$15+'Affiliate Projection'!B23*'VIP Levels'!$G$16+'Affiliate Projection'!B24*'VIP Levels'!$G$17+'Affiliate Projection'!B25*'VIP Levels'!$G$18,0)</f>
        <v/>
      </c>
      <c r="C7" s="13">
        <f>ROUND('Affiliate Projection'!C21*'VIP Levels'!$G$14+'Affiliate Projection'!C22*'VIP Levels'!$G$15+'Affiliate Projection'!C23*'VIP Levels'!$G$16+'Affiliate Projection'!C24*'VIP Levels'!$G$17+'Affiliate Projection'!C25*'VIP Levels'!$G$18,0)</f>
        <v/>
      </c>
      <c r="D7" s="13">
        <f>ROUND('Affiliate Projection'!D21*'VIP Levels'!$G$14+'Affiliate Projection'!D22*'VIP Levels'!$G$15+'Affiliate Projection'!D23*'VIP Levels'!$G$16+'Affiliate Projection'!D24*'VIP Levels'!$G$17+'Affiliate Projection'!D25*'VIP Levels'!$G$18,0)</f>
        <v/>
      </c>
      <c r="E7" s="13">
        <f>ROUND('Affiliate Projection'!E21*'VIP Levels'!$G$14+'Affiliate Projection'!E22*'VIP Levels'!$G$15+'Affiliate Projection'!E23*'VIP Levels'!$G$16+'Affiliate Projection'!E24*'VIP Levels'!$G$17+'Affiliate Projection'!E25*'VIP Levels'!$G$18,0)</f>
        <v/>
      </c>
      <c r="F7" s="13">
        <f>ROUND('Affiliate Projection'!F21*'VIP Levels'!$G$14+'Affiliate Projection'!F22*'VIP Levels'!$G$15+'Affiliate Projection'!F23*'VIP Levels'!$G$16+'Affiliate Projection'!F24*'VIP Levels'!$G$17+'Affiliate Projection'!F25*'VIP Levels'!$G$18,0)</f>
        <v/>
      </c>
      <c r="G7" s="13">
        <f>ROUND('Affiliate Projection'!G21*'VIP Levels'!$G$14+'Affiliate Projection'!G22*'VIP Levels'!$G$15+'Affiliate Projection'!G23*'VIP Levels'!$G$16+'Affiliate Projection'!G24*'VIP Levels'!$G$17+'Affiliate Projection'!G25*'VIP Levels'!$G$18,0)</f>
        <v/>
      </c>
      <c r="H7" s="13">
        <f>ROUND('Affiliate Projection'!H21*'VIP Levels'!$G$14+'Affiliate Projection'!H22*'VIP Levels'!$G$15+'Affiliate Projection'!H23*'VIP Levels'!$G$16+'Affiliate Projection'!H24*'VIP Levels'!$G$17+'Affiliate Projection'!H25*'VIP Levels'!$G$18,0)</f>
        <v/>
      </c>
      <c r="I7" s="13">
        <f>ROUND('Affiliate Projection'!I21*'VIP Levels'!$G$14+'Affiliate Projection'!I22*'VIP Levels'!$G$15+'Affiliate Projection'!I23*'VIP Levels'!$G$16+'Affiliate Projection'!I24*'VIP Levels'!$G$17+'Affiliate Projection'!I25*'VIP Levels'!$G$18,0)</f>
        <v/>
      </c>
      <c r="J7" s="13">
        <f>ROUND('Affiliate Projection'!J21*'VIP Levels'!$G$14+'Affiliate Projection'!J22*'VIP Levels'!$G$15+'Affiliate Projection'!J23*'VIP Levels'!$G$16+'Affiliate Projection'!J24*'VIP Levels'!$G$17+'Affiliate Projection'!J25*'VIP Levels'!$G$18,0)</f>
        <v/>
      </c>
      <c r="K7" s="13">
        <f>ROUND('Affiliate Projection'!K21*'VIP Levels'!$G$14+'Affiliate Projection'!K22*'VIP Levels'!$G$15+'Affiliate Projection'!K23*'VIP Levels'!$G$16+'Affiliate Projection'!K24*'VIP Levels'!$G$17+'Affiliate Projection'!K25*'VIP Levels'!$G$18,0)</f>
        <v/>
      </c>
      <c r="L7" s="13">
        <f>ROUND('Affiliate Projection'!L21*'VIP Levels'!$G$14+'Affiliate Projection'!L22*'VIP Levels'!$G$15+'Affiliate Projection'!L23*'VIP Levels'!$G$16+'Affiliate Projection'!L24*'VIP Levels'!$G$17+'Affiliate Projection'!L25*'VIP Levels'!$G$18,0)</f>
        <v/>
      </c>
      <c r="M7" s="13">
        <f>ROUND('Affiliate Projection'!M21*'VIP Levels'!$G$14+'Affiliate Projection'!M22*'VIP Levels'!$G$15+'Affiliate Projection'!M23*'VIP Levels'!$G$16+'Affiliate Projection'!M24*'VIP Levels'!$G$17+'Affiliate Projection'!M25*'VIP Levels'!$G$18,0)</f>
        <v/>
      </c>
    </row>
    <row r="8">
      <c r="A8" s="14" t="inlineStr">
        <is>
          <t>Spark Ads Triggered</t>
        </is>
      </c>
      <c r="B8" s="13">
        <f>ROUND('Affiliate Projection'!B21*'VIP Levels'!$J$14+'Affiliate Projection'!B22*'VIP Levels'!$J$15+'Affiliate Projection'!B23*'VIP Levels'!$J$16+'Affiliate Projection'!B24*'VIP Levels'!$J$17+'Affiliate Projection'!B25*'VIP Levels'!$J$18,0)</f>
        <v/>
      </c>
      <c r="C8" s="13">
        <f>ROUND('Affiliate Projection'!C21*'VIP Levels'!$J$14+'Affiliate Projection'!C22*'VIP Levels'!$J$15+'Affiliate Projection'!C23*'VIP Levels'!$J$16+'Affiliate Projection'!C24*'VIP Levels'!$J$17+'Affiliate Projection'!C25*'VIP Levels'!$J$18,0)</f>
        <v/>
      </c>
      <c r="D8" s="13">
        <f>ROUND('Affiliate Projection'!D21*'VIP Levels'!$J$14+'Affiliate Projection'!D22*'VIP Levels'!$J$15+'Affiliate Projection'!D23*'VIP Levels'!$J$16+'Affiliate Projection'!D24*'VIP Levels'!$J$17+'Affiliate Projection'!D25*'VIP Levels'!$J$18,0)</f>
        <v/>
      </c>
      <c r="E8" s="13">
        <f>ROUND('Affiliate Projection'!E21*'VIP Levels'!$J$14+'Affiliate Projection'!E22*'VIP Levels'!$J$15+'Affiliate Projection'!E23*'VIP Levels'!$J$16+'Affiliate Projection'!E24*'VIP Levels'!$J$17+'Affiliate Projection'!E25*'VIP Levels'!$J$18,0)</f>
        <v/>
      </c>
      <c r="F8" s="13">
        <f>ROUND('Affiliate Projection'!F21*'VIP Levels'!$J$14+'Affiliate Projection'!F22*'VIP Levels'!$J$15+'Affiliate Projection'!F23*'VIP Levels'!$J$16+'Affiliate Projection'!F24*'VIP Levels'!$J$17+'Affiliate Projection'!F25*'VIP Levels'!$J$18,0)</f>
        <v/>
      </c>
      <c r="G8" s="13">
        <f>ROUND('Affiliate Projection'!G21*'VIP Levels'!$J$14+'Affiliate Projection'!G22*'VIP Levels'!$J$15+'Affiliate Projection'!G23*'VIP Levels'!$J$16+'Affiliate Projection'!G24*'VIP Levels'!$J$17+'Affiliate Projection'!G25*'VIP Levels'!$J$18,0)</f>
        <v/>
      </c>
      <c r="H8" s="13">
        <f>ROUND('Affiliate Projection'!H21*'VIP Levels'!$J$14+'Affiliate Projection'!H22*'VIP Levels'!$J$15+'Affiliate Projection'!H23*'VIP Levels'!$J$16+'Affiliate Projection'!H24*'VIP Levels'!$J$17+'Affiliate Projection'!H25*'VIP Levels'!$J$18,0)</f>
        <v/>
      </c>
      <c r="I8" s="13">
        <f>ROUND('Affiliate Projection'!I21*'VIP Levels'!$J$14+'Affiliate Projection'!I22*'VIP Levels'!$J$15+'Affiliate Projection'!I23*'VIP Levels'!$J$16+'Affiliate Projection'!I24*'VIP Levels'!$J$17+'Affiliate Projection'!I25*'VIP Levels'!$J$18,0)</f>
        <v/>
      </c>
      <c r="J8" s="13">
        <f>ROUND('Affiliate Projection'!J21*'VIP Levels'!$J$14+'Affiliate Projection'!J22*'VIP Levels'!$J$15+'Affiliate Projection'!J23*'VIP Levels'!$J$16+'Affiliate Projection'!J24*'VIP Levels'!$J$17+'Affiliate Projection'!J25*'VIP Levels'!$J$18,0)</f>
        <v/>
      </c>
      <c r="K8" s="13">
        <f>ROUND('Affiliate Projection'!K21*'VIP Levels'!$J$14+'Affiliate Projection'!K22*'VIP Levels'!$J$15+'Affiliate Projection'!K23*'VIP Levels'!$J$16+'Affiliate Projection'!K24*'VIP Levels'!$J$17+'Affiliate Projection'!K25*'VIP Levels'!$J$18,0)</f>
        <v/>
      </c>
      <c r="L8" s="13">
        <f>ROUND('Affiliate Projection'!L21*'VIP Levels'!$J$14+'Affiliate Projection'!L22*'VIP Levels'!$J$15+'Affiliate Projection'!L23*'VIP Levels'!$J$16+'Affiliate Projection'!L24*'VIP Levels'!$J$17+'Affiliate Projection'!L25*'VIP Levels'!$J$18,0)</f>
        <v/>
      </c>
      <c r="M8" s="13">
        <f>ROUND('Affiliate Projection'!M21*'VIP Levels'!$J$14+'Affiliate Projection'!M22*'VIP Levels'!$J$15+'Affiliate Projection'!M23*'VIP Levels'!$J$16+'Affiliate Projection'!M24*'VIP Levels'!$J$17+'Affiliate Projection'!M25*'VIP Levels'!$J$18,0)</f>
        <v/>
      </c>
    </row>
    <row r="9">
      <c r="A9" s="14" t="inlineStr">
        <is>
          <t>Physical Gifts Triggered</t>
        </is>
      </c>
      <c r="B9" s="13">
        <f>ROUND('Affiliate Projection'!B21*'VIP Levels'!$L$14+'Affiliate Projection'!B22*'VIP Levels'!$L$15+'Affiliate Projection'!B23*'VIP Levels'!$L$16+'Affiliate Projection'!B24*'VIP Levels'!$L$17+'Affiliate Projection'!B25*'VIP Levels'!$L$18,0)</f>
        <v/>
      </c>
      <c r="C9" s="13">
        <f>ROUND('Affiliate Projection'!C21*'VIP Levels'!$L$14+'Affiliate Projection'!C22*'VIP Levels'!$L$15+'Affiliate Projection'!C23*'VIP Levels'!$L$16+'Affiliate Projection'!C24*'VIP Levels'!$L$17+'Affiliate Projection'!C25*'VIP Levels'!$L$18,0)</f>
        <v/>
      </c>
      <c r="D9" s="13">
        <f>ROUND('Affiliate Projection'!D21*'VIP Levels'!$L$14+'Affiliate Projection'!D22*'VIP Levels'!$L$15+'Affiliate Projection'!D23*'VIP Levels'!$L$16+'Affiliate Projection'!D24*'VIP Levels'!$L$17+'Affiliate Projection'!D25*'VIP Levels'!$L$18,0)</f>
        <v/>
      </c>
      <c r="E9" s="13">
        <f>ROUND('Affiliate Projection'!E21*'VIP Levels'!$L$14+'Affiliate Projection'!E22*'VIP Levels'!$L$15+'Affiliate Projection'!E23*'VIP Levels'!$L$16+'Affiliate Projection'!E24*'VIP Levels'!$L$17+'Affiliate Projection'!E25*'VIP Levels'!$L$18,0)</f>
        <v/>
      </c>
      <c r="F9" s="13">
        <f>ROUND('Affiliate Projection'!F21*'VIP Levels'!$L$14+'Affiliate Projection'!F22*'VIP Levels'!$L$15+'Affiliate Projection'!F23*'VIP Levels'!$L$16+'Affiliate Projection'!F24*'VIP Levels'!$L$17+'Affiliate Projection'!F25*'VIP Levels'!$L$18,0)</f>
        <v/>
      </c>
      <c r="G9" s="13">
        <f>ROUND('Affiliate Projection'!G21*'VIP Levels'!$L$14+'Affiliate Projection'!G22*'VIP Levels'!$L$15+'Affiliate Projection'!G23*'VIP Levels'!$L$16+'Affiliate Projection'!G24*'VIP Levels'!$L$17+'Affiliate Projection'!G25*'VIP Levels'!$L$18,0)</f>
        <v/>
      </c>
      <c r="H9" s="13">
        <f>ROUND('Affiliate Projection'!H21*'VIP Levels'!$L$14+'Affiliate Projection'!H22*'VIP Levels'!$L$15+'Affiliate Projection'!H23*'VIP Levels'!$L$16+'Affiliate Projection'!H24*'VIP Levels'!$L$17+'Affiliate Projection'!H25*'VIP Levels'!$L$18,0)</f>
        <v/>
      </c>
      <c r="I9" s="13">
        <f>ROUND('Affiliate Projection'!I21*'VIP Levels'!$L$14+'Affiliate Projection'!I22*'VIP Levels'!$L$15+'Affiliate Projection'!I23*'VIP Levels'!$L$16+'Affiliate Projection'!I24*'VIP Levels'!$L$17+'Affiliate Projection'!I25*'VIP Levels'!$L$18,0)</f>
        <v/>
      </c>
      <c r="J9" s="13">
        <f>ROUND('Affiliate Projection'!J21*'VIP Levels'!$L$14+'Affiliate Projection'!J22*'VIP Levels'!$L$15+'Affiliate Projection'!J23*'VIP Levels'!$L$16+'Affiliate Projection'!J24*'VIP Levels'!$L$17+'Affiliate Projection'!J25*'VIP Levels'!$L$18,0)</f>
        <v/>
      </c>
      <c r="K9" s="13">
        <f>ROUND('Affiliate Projection'!K21*'VIP Levels'!$L$14+'Affiliate Projection'!K22*'VIP Levels'!$L$15+'Affiliate Projection'!K23*'VIP Levels'!$L$16+'Affiliate Projection'!K24*'VIP Levels'!$L$17+'Affiliate Projection'!K25*'VIP Levels'!$L$18,0)</f>
        <v/>
      </c>
      <c r="L9" s="13">
        <f>ROUND('Affiliate Projection'!L21*'VIP Levels'!$L$14+'Affiliate Projection'!L22*'VIP Levels'!$L$15+'Affiliate Projection'!L23*'VIP Levels'!$L$16+'Affiliate Projection'!L24*'VIP Levels'!$L$17+'Affiliate Projection'!L25*'VIP Levels'!$L$18,0)</f>
        <v/>
      </c>
      <c r="M9" s="13">
        <f>ROUND('Affiliate Projection'!M21*'VIP Levels'!$L$14+'Affiliate Projection'!M22*'VIP Levels'!$L$15+'Affiliate Projection'!M23*'VIP Levels'!$L$16+'Affiliate Projection'!M24*'VIP Levels'!$L$17+'Affiliate Projection'!M25*'VIP Levels'!$L$18,0)</f>
        <v/>
      </c>
    </row>
    <row r="10">
      <c r="A10" s="14" t="inlineStr">
        <is>
          <t>Experiences Triggered</t>
        </is>
      </c>
      <c r="B10" s="13">
        <f>ROUND('Affiliate Projection'!B21*'VIP Levels'!$N$14+'Affiliate Projection'!B22*'VIP Levels'!$N$15+'Affiliate Projection'!B23*'VIP Levels'!$N$16+'Affiliate Projection'!B24*'VIP Levels'!$N$17+'Affiliate Projection'!B25*'VIP Levels'!$N$18,0)</f>
        <v/>
      </c>
      <c r="C10" s="13">
        <f>ROUND('Affiliate Projection'!C21*'VIP Levels'!$N$14+'Affiliate Projection'!C22*'VIP Levels'!$N$15+'Affiliate Projection'!C23*'VIP Levels'!$N$16+'Affiliate Projection'!C24*'VIP Levels'!$N$17+'Affiliate Projection'!C25*'VIP Levels'!$N$18,0)</f>
        <v/>
      </c>
      <c r="D10" s="13">
        <f>ROUND('Affiliate Projection'!D21*'VIP Levels'!$N$14+'Affiliate Projection'!D22*'VIP Levels'!$N$15+'Affiliate Projection'!D23*'VIP Levels'!$N$16+'Affiliate Projection'!D24*'VIP Levels'!$N$17+'Affiliate Projection'!D25*'VIP Levels'!$N$18,0)</f>
        <v/>
      </c>
      <c r="E10" s="13">
        <f>ROUND('Affiliate Projection'!E21*'VIP Levels'!$N$14+'Affiliate Projection'!E22*'VIP Levels'!$N$15+'Affiliate Projection'!E23*'VIP Levels'!$N$16+'Affiliate Projection'!E24*'VIP Levels'!$N$17+'Affiliate Projection'!E25*'VIP Levels'!$N$18,0)</f>
        <v/>
      </c>
      <c r="F10" s="13">
        <f>ROUND('Affiliate Projection'!F21*'VIP Levels'!$N$14+'Affiliate Projection'!F22*'VIP Levels'!$N$15+'Affiliate Projection'!F23*'VIP Levels'!$N$16+'Affiliate Projection'!F24*'VIP Levels'!$N$17+'Affiliate Projection'!F25*'VIP Levels'!$N$18,0)</f>
        <v/>
      </c>
      <c r="G10" s="13">
        <f>ROUND('Affiliate Projection'!G21*'VIP Levels'!$N$14+'Affiliate Projection'!G22*'VIP Levels'!$N$15+'Affiliate Projection'!G23*'VIP Levels'!$N$16+'Affiliate Projection'!G24*'VIP Levels'!$N$17+'Affiliate Projection'!G25*'VIP Levels'!$N$18,0)</f>
        <v/>
      </c>
      <c r="H10" s="13">
        <f>ROUND('Affiliate Projection'!H21*'VIP Levels'!$N$14+'Affiliate Projection'!H22*'VIP Levels'!$N$15+'Affiliate Projection'!H23*'VIP Levels'!$N$16+'Affiliate Projection'!H24*'VIP Levels'!$N$17+'Affiliate Projection'!H25*'VIP Levels'!$N$18,0)</f>
        <v/>
      </c>
      <c r="I10" s="13">
        <f>ROUND('Affiliate Projection'!I21*'VIP Levels'!$N$14+'Affiliate Projection'!I22*'VIP Levels'!$N$15+'Affiliate Projection'!I23*'VIP Levels'!$N$16+'Affiliate Projection'!I24*'VIP Levels'!$N$17+'Affiliate Projection'!I25*'VIP Levels'!$N$18,0)</f>
        <v/>
      </c>
      <c r="J10" s="13">
        <f>ROUND('Affiliate Projection'!J21*'VIP Levels'!$N$14+'Affiliate Projection'!J22*'VIP Levels'!$N$15+'Affiliate Projection'!J23*'VIP Levels'!$N$16+'Affiliate Projection'!J24*'VIP Levels'!$N$17+'Affiliate Projection'!J25*'VIP Levels'!$N$18,0)</f>
        <v/>
      </c>
      <c r="K10" s="13">
        <f>ROUND('Affiliate Projection'!K21*'VIP Levels'!$N$14+'Affiliate Projection'!K22*'VIP Levels'!$N$15+'Affiliate Projection'!K23*'VIP Levels'!$N$16+'Affiliate Projection'!K24*'VIP Levels'!$N$17+'Affiliate Projection'!K25*'VIP Levels'!$N$18,0)</f>
        <v/>
      </c>
      <c r="L10" s="13">
        <f>ROUND('Affiliate Projection'!L21*'VIP Levels'!$N$14+'Affiliate Projection'!L22*'VIP Levels'!$N$15+'Affiliate Projection'!L23*'VIP Levels'!$N$16+'Affiliate Projection'!L24*'VIP Levels'!$N$17+'Affiliate Projection'!L25*'VIP Levels'!$N$18,0)</f>
        <v/>
      </c>
      <c r="M10" s="13">
        <f>ROUND('Affiliate Projection'!M21*'VIP Levels'!$N$14+'Affiliate Projection'!M22*'VIP Levels'!$N$15+'Affiliate Projection'!M23*'VIP Levels'!$N$16+'Affiliate Projection'!M24*'VIP Levels'!$N$17+'Affiliate Projection'!M25*'VIP Levels'!$N$18,0)</f>
        <v/>
      </c>
    </row>
    <row r="11">
      <c r="A11" s="14" t="n"/>
    </row>
    <row r="12" ht="18.75" customHeight="1" s="32">
      <c r="A12" s="1" t="inlineStr">
        <is>
          <t>--- MISSION COMPLETIONS ---</t>
        </is>
      </c>
    </row>
    <row r="13">
      <c r="A13" s="14" t="inlineStr">
        <is>
          <t>Mission Completions (Bronze)</t>
        </is>
      </c>
      <c r="B13" s="13">
        <f>ROUND('Affiliate Projection'!B12*Missions!$B$31*Missions!$C$31,0)</f>
        <v/>
      </c>
      <c r="C13" s="13">
        <f>ROUND('Affiliate Projection'!C12*Missions!$B$31*Missions!$C$31,0)</f>
        <v/>
      </c>
      <c r="D13" s="13">
        <f>ROUND('Affiliate Projection'!D12*Missions!$B$31*Missions!$C$31,0)</f>
        <v/>
      </c>
      <c r="E13" s="13">
        <f>ROUND('Affiliate Projection'!E12*Missions!$B$31*Missions!$C$31,0)</f>
        <v/>
      </c>
      <c r="F13" s="13">
        <f>ROUND('Affiliate Projection'!F12*Missions!$B$31*Missions!$C$31,0)</f>
        <v/>
      </c>
      <c r="G13" s="13">
        <f>ROUND('Affiliate Projection'!G12*Missions!$B$31*Missions!$C$31,0)</f>
        <v/>
      </c>
      <c r="H13" s="13">
        <f>ROUND('Affiliate Projection'!H12*Missions!$B$31*Missions!$C$31,0)</f>
        <v/>
      </c>
      <c r="I13" s="13">
        <f>ROUND('Affiliate Projection'!I12*Missions!$B$31*Missions!$C$31,0)</f>
        <v/>
      </c>
      <c r="J13" s="13">
        <f>ROUND('Affiliate Projection'!J12*Missions!$B$31*Missions!$C$31,0)</f>
        <v/>
      </c>
      <c r="K13" s="13">
        <f>ROUND('Affiliate Projection'!K12*Missions!$B$31*Missions!$C$31,0)</f>
        <v/>
      </c>
      <c r="L13" s="13">
        <f>ROUND('Affiliate Projection'!L12*Missions!$B$31*Missions!$C$31,0)</f>
        <v/>
      </c>
      <c r="M13" s="13">
        <f>ROUND('Affiliate Projection'!M12*Missions!$B$31*Missions!$C$31,0)</f>
        <v/>
      </c>
    </row>
    <row r="14">
      <c r="A14" s="14" t="inlineStr">
        <is>
          <t>Mission Completions (Silver)</t>
        </is>
      </c>
      <c r="B14" s="13">
        <f>ROUND('Affiliate Projection'!B13*Missions!$B$32*Missions!$C$32,0)</f>
        <v/>
      </c>
      <c r="C14" s="13">
        <f>ROUND('Affiliate Projection'!C13*Missions!$B$32*Missions!$C$32,0)</f>
        <v/>
      </c>
      <c r="D14" s="13">
        <f>ROUND('Affiliate Projection'!D13*Missions!$B$32*Missions!$C$32,0)</f>
        <v/>
      </c>
      <c r="E14" s="13">
        <f>ROUND('Affiliate Projection'!E13*Missions!$B$32*Missions!$C$32,0)</f>
        <v/>
      </c>
      <c r="F14" s="13">
        <f>ROUND('Affiliate Projection'!F13*Missions!$B$32*Missions!$C$32,0)</f>
        <v/>
      </c>
      <c r="G14" s="13">
        <f>ROUND('Affiliate Projection'!G13*Missions!$B$32*Missions!$C$32,0)</f>
        <v/>
      </c>
      <c r="H14" s="13">
        <f>ROUND('Affiliate Projection'!H13*Missions!$B$32*Missions!$C$32,0)</f>
        <v/>
      </c>
      <c r="I14" s="13">
        <f>ROUND('Affiliate Projection'!I13*Missions!$B$32*Missions!$C$32,0)</f>
        <v/>
      </c>
      <c r="J14" s="13">
        <f>ROUND('Affiliate Projection'!J13*Missions!$B$32*Missions!$C$32,0)</f>
        <v/>
      </c>
      <c r="K14" s="13">
        <f>ROUND('Affiliate Projection'!K13*Missions!$B$32*Missions!$C$32,0)</f>
        <v/>
      </c>
      <c r="L14" s="13">
        <f>ROUND('Affiliate Projection'!L13*Missions!$B$32*Missions!$C$32,0)</f>
        <v/>
      </c>
      <c r="M14" s="13">
        <f>ROUND('Affiliate Projection'!M13*Missions!$B$32*Missions!$C$32,0)</f>
        <v/>
      </c>
    </row>
    <row r="15">
      <c r="A15" s="14" t="inlineStr">
        <is>
          <t>Mission Completions (Gold)</t>
        </is>
      </c>
      <c r="B15" s="13">
        <f>ROUND('Affiliate Projection'!B14*Missions!$B$33*Missions!$C$33,0)</f>
        <v/>
      </c>
      <c r="C15" s="13">
        <f>ROUND('Affiliate Projection'!C14*Missions!$B$33*Missions!$C$33,0)</f>
        <v/>
      </c>
      <c r="D15" s="13">
        <f>ROUND('Affiliate Projection'!D14*Missions!$B$33*Missions!$C$33,0)</f>
        <v/>
      </c>
      <c r="E15" s="13">
        <f>ROUND('Affiliate Projection'!E14*Missions!$B$33*Missions!$C$33,0)</f>
        <v/>
      </c>
      <c r="F15" s="13">
        <f>ROUND('Affiliate Projection'!F14*Missions!$B$33*Missions!$C$33,0)</f>
        <v/>
      </c>
      <c r="G15" s="13">
        <f>ROUND('Affiliate Projection'!G14*Missions!$B$33*Missions!$C$33,0)</f>
        <v/>
      </c>
      <c r="H15" s="13">
        <f>ROUND('Affiliate Projection'!H14*Missions!$B$33*Missions!$C$33,0)</f>
        <v/>
      </c>
      <c r="I15" s="13">
        <f>ROUND('Affiliate Projection'!I14*Missions!$B$33*Missions!$C$33,0)</f>
        <v/>
      </c>
      <c r="J15" s="13">
        <f>ROUND('Affiliate Projection'!J14*Missions!$B$33*Missions!$C$33,0)</f>
        <v/>
      </c>
      <c r="K15" s="13">
        <f>ROUND('Affiliate Projection'!K14*Missions!$B$33*Missions!$C$33,0)</f>
        <v/>
      </c>
      <c r="L15" s="13">
        <f>ROUND('Affiliate Projection'!L14*Missions!$B$33*Missions!$C$33,0)</f>
        <v/>
      </c>
      <c r="M15" s="13">
        <f>ROUND('Affiliate Projection'!M14*Missions!$B$33*Missions!$C$33,0)</f>
        <v/>
      </c>
    </row>
    <row r="16">
      <c r="A16" s="14" t="inlineStr">
        <is>
          <t>Mission Completions (Platinum)</t>
        </is>
      </c>
      <c r="B16" s="13">
        <f>ROUND('Affiliate Projection'!B15*Missions!$B$34*Missions!$C$34,0)</f>
        <v/>
      </c>
      <c r="C16" s="13">
        <f>ROUND('Affiliate Projection'!C15*Missions!$B$34*Missions!$C$34,0)</f>
        <v/>
      </c>
      <c r="D16" s="13">
        <f>ROUND('Affiliate Projection'!D15*Missions!$B$34*Missions!$C$34,0)</f>
        <v/>
      </c>
      <c r="E16" s="13">
        <f>ROUND('Affiliate Projection'!E15*Missions!$B$34*Missions!$C$34,0)</f>
        <v/>
      </c>
      <c r="F16" s="13">
        <f>ROUND('Affiliate Projection'!F15*Missions!$B$34*Missions!$C$34,0)</f>
        <v/>
      </c>
      <c r="G16" s="13">
        <f>ROUND('Affiliate Projection'!G15*Missions!$B$34*Missions!$C$34,0)</f>
        <v/>
      </c>
      <c r="H16" s="13">
        <f>ROUND('Affiliate Projection'!H15*Missions!$B$34*Missions!$C$34,0)</f>
        <v/>
      </c>
      <c r="I16" s="13">
        <f>ROUND('Affiliate Projection'!I15*Missions!$B$34*Missions!$C$34,0)</f>
        <v/>
      </c>
      <c r="J16" s="13">
        <f>ROUND('Affiliate Projection'!J15*Missions!$B$34*Missions!$C$34,0)</f>
        <v/>
      </c>
      <c r="K16" s="13">
        <f>ROUND('Affiliate Projection'!K15*Missions!$B$34*Missions!$C$34,0)</f>
        <v/>
      </c>
      <c r="L16" s="13">
        <f>ROUND('Affiliate Projection'!L15*Missions!$B$34*Missions!$C$34,0)</f>
        <v/>
      </c>
      <c r="M16" s="13">
        <f>ROUND('Affiliate Projection'!M15*Missions!$B$34*Missions!$C$34,0)</f>
        <v/>
      </c>
    </row>
    <row r="17">
      <c r="A17" s="14" t="inlineStr">
        <is>
          <t>Mission Completions (Diamond)</t>
        </is>
      </c>
      <c r="B17" s="13">
        <f>ROUND('Affiliate Projection'!B16*Missions!$B$35*Missions!$C$35,0)</f>
        <v/>
      </c>
      <c r="C17" s="13">
        <f>ROUND('Affiliate Projection'!C16*Missions!$B$35*Missions!$C$35,0)</f>
        <v/>
      </c>
      <c r="D17" s="13">
        <f>ROUND('Affiliate Projection'!D16*Missions!$B$35*Missions!$C$35,0)</f>
        <v/>
      </c>
      <c r="E17" s="13">
        <f>ROUND('Affiliate Projection'!E16*Missions!$B$35*Missions!$C$35,0)</f>
        <v/>
      </c>
      <c r="F17" s="13">
        <f>ROUND('Affiliate Projection'!F16*Missions!$B$35*Missions!$C$35,0)</f>
        <v/>
      </c>
      <c r="G17" s="13">
        <f>ROUND('Affiliate Projection'!G16*Missions!$B$35*Missions!$C$35,0)</f>
        <v/>
      </c>
      <c r="H17" s="13">
        <f>ROUND('Affiliate Projection'!H16*Missions!$B$35*Missions!$C$35,0)</f>
        <v/>
      </c>
      <c r="I17" s="13">
        <f>ROUND('Affiliate Projection'!I16*Missions!$B$35*Missions!$C$35,0)</f>
        <v/>
      </c>
      <c r="J17" s="13">
        <f>ROUND('Affiliate Projection'!J16*Missions!$B$35*Missions!$C$35,0)</f>
        <v/>
      </c>
      <c r="K17" s="13">
        <f>ROUND('Affiliate Projection'!K16*Missions!$B$35*Missions!$C$35,0)</f>
        <v/>
      </c>
      <c r="L17" s="13">
        <f>ROUND('Affiliate Projection'!L16*Missions!$B$35*Missions!$C$35,0)</f>
        <v/>
      </c>
      <c r="M17" s="13">
        <f>ROUND('Affiliate Projection'!M16*Missions!$B$35*Missions!$C$35,0)</f>
        <v/>
      </c>
    </row>
    <row r="18">
      <c r="A18" s="14" t="inlineStr">
        <is>
          <t>Total Mission Completions</t>
        </is>
      </c>
      <c r="B18" s="13">
        <f>SUM(B13:B17)</f>
        <v/>
      </c>
      <c r="C18" s="13">
        <f>SUM(C13:C17)</f>
        <v/>
      </c>
      <c r="D18" s="13">
        <f>SUM(D13:D17)</f>
        <v/>
      </c>
      <c r="E18" s="13">
        <f>SUM(E13:E17)</f>
        <v/>
      </c>
      <c r="F18" s="13">
        <f>SUM(F13:F17)</f>
        <v/>
      </c>
      <c r="G18" s="13">
        <f>SUM(G13:G17)</f>
        <v/>
      </c>
      <c r="H18" s="13">
        <f>SUM(H13:H17)</f>
        <v/>
      </c>
      <c r="I18" s="13">
        <f>SUM(I13:I17)</f>
        <v/>
      </c>
      <c r="J18" s="13">
        <f>SUM(J13:J17)</f>
        <v/>
      </c>
      <c r="K18" s="13">
        <f>SUM(K13:K17)</f>
        <v/>
      </c>
      <c r="L18" s="13">
        <f>SUM(L13:L17)</f>
        <v/>
      </c>
      <c r="M18" s="13">
        <f>SUM(M13:M17)</f>
        <v/>
      </c>
    </row>
  </sheetData>
  <mergeCells count="1"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G12" sqref="G12"/>
    </sheetView>
  </sheetViews>
  <sheetFormatPr baseColWidth="8" defaultRowHeight="15"/>
  <cols>
    <col width="35" customWidth="1" style="32" min="1" max="1"/>
    <col width="12" customWidth="1" style="32" min="2" max="13"/>
  </cols>
  <sheetData>
    <row r="1" ht="21" customHeight="1" s="32">
      <c r="A1" s="31" t="inlineStr">
        <is>
          <t>REVENUE PROJECTION (12 MONTHS)</t>
        </is>
      </c>
    </row>
    <row r="3" ht="15.75" customHeight="1" s="32">
      <c r="A3" s="2" t="inlineStr">
        <is>
          <t>Metric</t>
        </is>
      </c>
      <c r="B3" s="2" t="inlineStr">
        <is>
          <t>Month 1</t>
        </is>
      </c>
      <c r="C3" s="2" t="inlineStr">
        <is>
          <t>Month 2</t>
        </is>
      </c>
      <c r="D3" s="2" t="inlineStr">
        <is>
          <t>Month 3</t>
        </is>
      </c>
      <c r="E3" s="2" t="inlineStr">
        <is>
          <t>Month 4</t>
        </is>
      </c>
      <c r="F3" s="2" t="inlineStr">
        <is>
          <t>Month 5</t>
        </is>
      </c>
      <c r="G3" s="2" t="inlineStr">
        <is>
          <t>Month 6</t>
        </is>
      </c>
      <c r="H3" s="2" t="inlineStr">
        <is>
          <t>Month 7</t>
        </is>
      </c>
      <c r="I3" s="2" t="inlineStr">
        <is>
          <t>Month 8</t>
        </is>
      </c>
      <c r="J3" s="2" t="inlineStr">
        <is>
          <t>Month 9</t>
        </is>
      </c>
      <c r="K3" s="2" t="inlineStr">
        <is>
          <t>Month 10</t>
        </is>
      </c>
      <c r="L3" s="2" t="inlineStr">
        <is>
          <t>Month 11</t>
        </is>
      </c>
      <c r="M3" s="2" t="inlineStr">
        <is>
          <t>Month 12</t>
        </is>
      </c>
    </row>
    <row r="4">
      <c r="A4" s="14" t="inlineStr">
        <is>
          <t>Total Sales Volume</t>
        </is>
      </c>
      <c r="B4" s="13">
        <f>'Affiliate Projection'!B10</f>
        <v/>
      </c>
      <c r="C4" s="13">
        <f>'Affiliate Projection'!C10</f>
        <v/>
      </c>
      <c r="D4" s="13">
        <f>'Affiliate Projection'!D10</f>
        <v/>
      </c>
      <c r="E4" s="13">
        <f>'Affiliate Projection'!E10</f>
        <v/>
      </c>
      <c r="F4" s="13">
        <f>'Affiliate Projection'!F10</f>
        <v/>
      </c>
      <c r="G4" s="13">
        <f>'Affiliate Projection'!G10</f>
        <v/>
      </c>
      <c r="H4" s="13">
        <f>'Affiliate Projection'!H10</f>
        <v/>
      </c>
      <c r="I4" s="13">
        <f>'Affiliate Projection'!I10</f>
        <v/>
      </c>
      <c r="J4" s="13">
        <f>'Affiliate Projection'!J10</f>
        <v/>
      </c>
      <c r="K4" s="13">
        <f>'Affiliate Projection'!K10</f>
        <v/>
      </c>
      <c r="L4" s="13">
        <f>'Affiliate Projection'!L10</f>
        <v/>
      </c>
      <c r="M4" s="13">
        <f>'Affiliate Projection'!M10</f>
        <v/>
      </c>
    </row>
    <row r="5">
      <c r="A5" s="14" t="inlineStr">
        <is>
          <t>Gross AOV</t>
        </is>
      </c>
      <c r="B5" s="12">
        <f>Inputs!$B$15</f>
        <v/>
      </c>
      <c r="C5" s="12">
        <f>Inputs!$B$15</f>
        <v/>
      </c>
      <c r="D5" s="12">
        <f>Inputs!$B$15</f>
        <v/>
      </c>
      <c r="E5" s="12">
        <f>Inputs!$B$15</f>
        <v/>
      </c>
      <c r="F5" s="12">
        <f>Inputs!$B$15</f>
        <v/>
      </c>
      <c r="G5" s="12">
        <f>Inputs!$B$15</f>
        <v/>
      </c>
      <c r="H5" s="12">
        <f>Inputs!$B$15</f>
        <v/>
      </c>
      <c r="I5" s="12">
        <f>Inputs!$B$15</f>
        <v/>
      </c>
      <c r="J5" s="12">
        <f>Inputs!$B$15</f>
        <v/>
      </c>
      <c r="K5" s="12">
        <f>Inputs!$B$15</f>
        <v/>
      </c>
      <c r="L5" s="12">
        <f>Inputs!$B$15</f>
        <v/>
      </c>
      <c r="M5" s="12">
        <f>Inputs!$B$15</f>
        <v/>
      </c>
    </row>
    <row r="6">
      <c r="A6" s="14" t="inlineStr">
        <is>
          <t>Gross Revenue</t>
        </is>
      </c>
      <c r="B6" s="15">
        <f>B4*B5</f>
        <v/>
      </c>
      <c r="C6" s="15">
        <f>C4*C5</f>
        <v/>
      </c>
      <c r="D6" s="15">
        <f>D4*D5</f>
        <v/>
      </c>
      <c r="E6" s="15">
        <f>E4*E5</f>
        <v/>
      </c>
      <c r="F6" s="15">
        <f>F4*F5</f>
        <v/>
      </c>
      <c r="G6" s="15">
        <f>G4*G5</f>
        <v/>
      </c>
      <c r="H6" s="15">
        <f>H4*H5</f>
        <v/>
      </c>
      <c r="I6" s="15">
        <f>I4*I5</f>
        <v/>
      </c>
      <c r="J6" s="15">
        <f>J4*J5</f>
        <v/>
      </c>
      <c r="K6" s="15">
        <f>K4*K5</f>
        <v/>
      </c>
      <c r="L6" s="15">
        <f>L4*L5</f>
        <v/>
      </c>
      <c r="M6" s="15">
        <f>M4*M5</f>
        <v/>
      </c>
    </row>
    <row r="7">
      <c r="A7" s="14" t="inlineStr">
        <is>
          <t>Avg Discount % (when redeemed)</t>
        </is>
      </c>
      <c r="B7" s="7">
        <f>SUMPRODUCT('VIP Levels'!$H$14:$H$18,Inputs!B$35:B$39)</f>
        <v/>
      </c>
      <c r="C7" s="7">
        <f>SUMPRODUCT('VIP Levels'!$H$14:$H$18,Inputs!C$35:C$39)</f>
        <v/>
      </c>
      <c r="D7" s="7">
        <f>SUMPRODUCT('VIP Levels'!$H$14:$H$18,Inputs!D$35:D$39)</f>
        <v/>
      </c>
      <c r="E7" s="7">
        <f>SUMPRODUCT('VIP Levels'!$H$14:$H$18,Inputs!E$35:E$39)</f>
        <v/>
      </c>
      <c r="F7" s="7">
        <f>SUMPRODUCT('VIP Levels'!$H$14:$H$18,Inputs!F$35:F$39)</f>
        <v/>
      </c>
      <c r="G7" s="7">
        <f>SUMPRODUCT('VIP Levels'!$H$14:$H$18,Inputs!G$35:G$39)</f>
        <v/>
      </c>
      <c r="H7" s="7">
        <f>SUMPRODUCT('VIP Levels'!$H$14:$H$18,Inputs!H$35:H$39)</f>
        <v/>
      </c>
      <c r="I7" s="7">
        <f>SUMPRODUCT('VIP Levels'!$H$14:$H$18,Inputs!I$35:I$39)</f>
        <v/>
      </c>
      <c r="J7" s="7">
        <f>SUMPRODUCT('VIP Levels'!$H$14:$H$18,Inputs!J$35:J$39)</f>
        <v/>
      </c>
      <c r="K7" s="7">
        <f>SUMPRODUCT('VIP Levels'!$H$14:$H$18,Inputs!K$35:K$39)</f>
        <v/>
      </c>
      <c r="L7" s="7">
        <f>SUMPRODUCT('VIP Levels'!$H$14:$H$18,Inputs!L$35:L$39)</f>
        <v/>
      </c>
      <c r="M7" s="7">
        <f>SUMPRODUCT('VIP Levels'!$H$14:$H$18,Inputs!M$35:M$39)</f>
        <v/>
      </c>
    </row>
    <row r="8">
      <c r="A8" s="14" t="inlineStr">
        <is>
          <t>Discount Redemption Rate</t>
        </is>
      </c>
      <c r="B8" s="7">
        <f>Inputs!$B$21</f>
        <v/>
      </c>
      <c r="C8" s="7">
        <f>Inputs!$B$21</f>
        <v/>
      </c>
      <c r="D8" s="7">
        <f>Inputs!$B$21</f>
        <v/>
      </c>
      <c r="E8" s="7">
        <f>Inputs!$B$21</f>
        <v/>
      </c>
      <c r="F8" s="7">
        <f>Inputs!$B$21</f>
        <v/>
      </c>
      <c r="G8" s="7">
        <f>Inputs!$B$21</f>
        <v/>
      </c>
      <c r="H8" s="7">
        <f>Inputs!$B$21</f>
        <v/>
      </c>
      <c r="I8" s="7">
        <f>Inputs!$B$21</f>
        <v/>
      </c>
      <c r="J8" s="7">
        <f>Inputs!$B$21</f>
        <v/>
      </c>
      <c r="K8" s="7">
        <f>Inputs!$B$21</f>
        <v/>
      </c>
      <c r="L8" s="7">
        <f>Inputs!$B$21</f>
        <v/>
      </c>
      <c r="M8" s="7">
        <f>Inputs!$B$21</f>
        <v/>
      </c>
    </row>
    <row r="9">
      <c r="A9" s="14" t="inlineStr">
        <is>
          <t>Discounted Sales Count</t>
        </is>
      </c>
      <c r="B9" s="13">
        <f>ROUND(B4*B8,0)</f>
        <v/>
      </c>
      <c r="C9" s="13">
        <f>ROUND(C4*C8,0)</f>
        <v/>
      </c>
      <c r="D9" s="13">
        <f>ROUND(D4*D8,0)</f>
        <v/>
      </c>
      <c r="E9" s="13">
        <f>ROUND(E4*E8,0)</f>
        <v/>
      </c>
      <c r="F9" s="13">
        <f>ROUND(F4*F8,0)</f>
        <v/>
      </c>
      <c r="G9" s="13">
        <f>ROUND(G4*G8,0)</f>
        <v/>
      </c>
      <c r="H9" s="13">
        <f>ROUND(H4*H8,0)</f>
        <v/>
      </c>
      <c r="I9" s="13">
        <f>ROUND(I4*I8,0)</f>
        <v/>
      </c>
      <c r="J9" s="13">
        <f>ROUND(J4*J8,0)</f>
        <v/>
      </c>
      <c r="K9" s="13">
        <f>ROUND(K4*K8,0)</f>
        <v/>
      </c>
      <c r="L9" s="13">
        <f>ROUND(L4*L8,0)</f>
        <v/>
      </c>
      <c r="M9" s="13">
        <f>ROUND(M4*M8,0)</f>
        <v/>
      </c>
    </row>
    <row r="10">
      <c r="A10" s="14" t="inlineStr">
        <is>
          <t>Net AOV (weighted avg)</t>
        </is>
      </c>
      <c r="B10" s="12">
        <f>B5*(1-B7*B8)</f>
        <v/>
      </c>
      <c r="C10" s="12">
        <f>C5*(1-C7*C8)</f>
        <v/>
      </c>
      <c r="D10" s="12">
        <f>D5*(1-D7*D8)</f>
        <v/>
      </c>
      <c r="E10" s="12">
        <f>E5*(1-E7*E8)</f>
        <v/>
      </c>
      <c r="F10" s="12">
        <f>F5*(1-F7*F8)</f>
        <v/>
      </c>
      <c r="G10" s="12">
        <f>G5*(1-G7*G8)</f>
        <v/>
      </c>
      <c r="H10" s="12">
        <f>H5*(1-H7*H8)</f>
        <v/>
      </c>
      <c r="I10" s="12">
        <f>I5*(1-I7*I8)</f>
        <v/>
      </c>
      <c r="J10" s="12">
        <f>J5*(1-J7*J8)</f>
        <v/>
      </c>
      <c r="K10" s="12">
        <f>K5*(1-K7*K8)</f>
        <v/>
      </c>
      <c r="L10" s="12">
        <f>L5*(1-L7*L8)</f>
        <v/>
      </c>
      <c r="M10" s="12">
        <f>M5*(1-M7*M8)</f>
        <v/>
      </c>
    </row>
    <row r="11">
      <c r="A11" s="14" t="inlineStr">
        <is>
          <t>Net Revenue</t>
        </is>
      </c>
      <c r="B11" s="15">
        <f>B4*B10</f>
        <v/>
      </c>
      <c r="C11" s="15">
        <f>C4*C10</f>
        <v/>
      </c>
      <c r="D11" s="15">
        <f>D4*D10</f>
        <v/>
      </c>
      <c r="E11" s="15">
        <f>E4*E10</f>
        <v/>
      </c>
      <c r="F11" s="15">
        <f>F4*F10</f>
        <v/>
      </c>
      <c r="G11" s="15">
        <f>G4*G10</f>
        <v/>
      </c>
      <c r="H11" s="15">
        <f>H4*H10</f>
        <v/>
      </c>
      <c r="I11" s="15">
        <f>I4*I10</f>
        <v/>
      </c>
      <c r="J11" s="15">
        <f>J4*J10</f>
        <v/>
      </c>
      <c r="K11" s="15">
        <f>K4*K10</f>
        <v/>
      </c>
      <c r="L11" s="15">
        <f>L4*L10</f>
        <v/>
      </c>
      <c r="M11" s="15">
        <f>M4*M10</f>
        <v/>
      </c>
    </row>
    <row r="12">
      <c r="A12" s="14" t="inlineStr">
        <is>
          <t>Discount Margin Erosion</t>
        </is>
      </c>
      <c r="B12" s="15">
        <f>B6-B11</f>
        <v/>
      </c>
      <c r="C12" s="15">
        <f>C6-C11</f>
        <v/>
      </c>
      <c r="D12" s="15">
        <f>D6-D11</f>
        <v/>
      </c>
      <c r="E12" s="15">
        <f>E6-E11</f>
        <v/>
      </c>
      <c r="F12" s="15">
        <f>F6-F11</f>
        <v/>
      </c>
      <c r="G12" s="15">
        <f>G6-G11</f>
        <v/>
      </c>
      <c r="H12" s="15">
        <f>H6-H11</f>
        <v/>
      </c>
      <c r="I12" s="15">
        <f>I6-I11</f>
        <v/>
      </c>
      <c r="J12" s="15">
        <f>J6-J11</f>
        <v/>
      </c>
      <c r="K12" s="15">
        <f>K6-K11</f>
        <v/>
      </c>
      <c r="L12" s="15">
        <f>L6-L11</f>
        <v/>
      </c>
      <c r="M12" s="15">
        <f>M6-M11</f>
        <v/>
      </c>
    </row>
  </sheetData>
  <mergeCells count="1"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O15" sqref="O15"/>
    </sheetView>
  </sheetViews>
  <sheetFormatPr baseColWidth="8" defaultRowHeight="15"/>
  <cols>
    <col width="35" customWidth="1" style="32" min="1" max="1"/>
    <col width="12" customWidth="1" style="32" min="2" max="13"/>
  </cols>
  <sheetData>
    <row r="1" ht="21" customHeight="1" s="32">
      <c r="A1" s="31" t="inlineStr">
        <is>
          <t>COST PROJECTION (12 MONTHS)</t>
        </is>
      </c>
    </row>
    <row r="2"/>
    <row r="3" ht="15.75" customHeight="1" s="32">
      <c r="A3" s="2" t="inlineStr">
        <is>
          <t>Metric</t>
        </is>
      </c>
      <c r="B3" s="2" t="inlineStr">
        <is>
          <t>Month 1</t>
        </is>
      </c>
      <c r="C3" s="2" t="inlineStr">
        <is>
          <t>Month 2</t>
        </is>
      </c>
      <c r="D3" s="2" t="inlineStr">
        <is>
          <t>Month 3</t>
        </is>
      </c>
      <c r="E3" s="2" t="inlineStr">
        <is>
          <t>Month 4</t>
        </is>
      </c>
      <c r="F3" s="2" t="inlineStr">
        <is>
          <t>Month 5</t>
        </is>
      </c>
      <c r="G3" s="2" t="inlineStr">
        <is>
          <t>Month 6</t>
        </is>
      </c>
      <c r="H3" s="2" t="inlineStr">
        <is>
          <t>Month 7</t>
        </is>
      </c>
      <c r="I3" s="2" t="inlineStr">
        <is>
          <t>Month 8</t>
        </is>
      </c>
      <c r="J3" s="2" t="inlineStr">
        <is>
          <t>Month 9</t>
        </is>
      </c>
      <c r="K3" s="2" t="inlineStr">
        <is>
          <t>Month 10</t>
        </is>
      </c>
      <c r="L3" s="2" t="inlineStr">
        <is>
          <t>Month 11</t>
        </is>
      </c>
      <c r="M3" s="2" t="inlineStr">
        <is>
          <t>Month 12</t>
        </is>
      </c>
    </row>
    <row r="4" ht="18.75" customHeight="1" s="32">
      <c r="A4" s="1" t="inlineStr">
        <is>
          <t>--- CM1 COSTS (Per Sale) ---</t>
        </is>
      </c>
    </row>
    <row r="5">
      <c r="A5" s="14" t="inlineStr">
        <is>
          <t>Base Commission Cost</t>
        </is>
      </c>
      <c r="B5" s="15">
        <f>Revenue!B11*SUMPRODUCT('VIP Levels'!$D$5:$D$9,Inputs!B$35:B$39)</f>
        <v/>
      </c>
      <c r="C5" s="15">
        <f>Revenue!C11*SUMPRODUCT('VIP Levels'!$D$5:$D$9,Inputs!C$35:C$39)</f>
        <v/>
      </c>
      <c r="D5" s="15">
        <f>Revenue!D11*SUMPRODUCT('VIP Levels'!$D$5:$D$9,Inputs!D$35:D$39)</f>
        <v/>
      </c>
      <c r="E5" s="15">
        <f>Revenue!E11*SUMPRODUCT('VIP Levels'!$D$5:$D$9,Inputs!E$35:E$39)</f>
        <v/>
      </c>
      <c r="F5" s="15">
        <f>Revenue!F11*SUMPRODUCT('VIP Levels'!$D$5:$D$9,Inputs!F$35:F$39)</f>
        <v/>
      </c>
      <c r="G5" s="15">
        <f>Revenue!G11*SUMPRODUCT('VIP Levels'!$D$5:$D$9,Inputs!G$35:G$39)</f>
        <v/>
      </c>
      <c r="H5" s="15">
        <f>Revenue!H11*SUMPRODUCT('VIP Levels'!$D$5:$D$9,Inputs!H$35:H$39)</f>
        <v/>
      </c>
      <c r="I5" s="15">
        <f>Revenue!I11*SUMPRODUCT('VIP Levels'!$D$5:$D$9,Inputs!I$35:I$39)</f>
        <v/>
      </c>
      <c r="J5" s="15">
        <f>Revenue!J11*SUMPRODUCT('VIP Levels'!$D$5:$D$9,Inputs!J$35:J$39)</f>
        <v/>
      </c>
      <c r="K5" s="15">
        <f>Revenue!K11*SUMPRODUCT('VIP Levels'!$D$5:$D$9,Inputs!K$35:K$39)</f>
        <v/>
      </c>
      <c r="L5" s="15">
        <f>Revenue!L11*SUMPRODUCT('VIP Levels'!$D$5:$D$9,Inputs!L$35:L$39)</f>
        <v/>
      </c>
      <c r="M5" s="15">
        <f>Revenue!M11*SUMPRODUCT('VIP Levels'!$D$5:$D$9,Inputs!M$35:M$39)</f>
        <v/>
      </c>
    </row>
    <row r="6">
      <c r="A6" s="14" t="inlineStr">
        <is>
          <t>Commission Boost Cost (Welcome)</t>
        </is>
      </c>
      <c r="B6" s="15">
        <f>'Affiliate Projection'!B21*'VIP Levels'!$B$14*'VIP Levels'!$E$5*('VIP Levels'!$D$14/30)*'VIP Levels'!$C$14*Revenue!B10+'Affiliate Projection'!B22*'VIP Levels'!$B$15*'VIP Levels'!$E$6*('VIP Levels'!$D$15/30)*'VIP Levels'!$C$15*Revenue!B10+'Affiliate Projection'!B23*'VIP Levels'!$B$16*'VIP Levels'!$E$7*('VIP Levels'!$D$16/30)*'VIP Levels'!$C$16*Revenue!B10+'Affiliate Projection'!B24*'VIP Levels'!$B$17*'VIP Levels'!$E$8*('VIP Levels'!$D$17/30)*'VIP Levels'!$C$17*Revenue!B10+'Affiliate Projection'!B25*'VIP Levels'!$B$18*'VIP Levels'!$E$9*('VIP Levels'!$D$18/30)*'VIP Levels'!$C$18*Revenue!B10</f>
        <v/>
      </c>
      <c r="C6" s="15">
        <f>'Affiliate Projection'!C21*'VIP Levels'!$B$14*'VIP Levels'!$E$5*('VIP Levels'!$D$14/30)*'VIP Levels'!$C$14*Revenue!C10+'Affiliate Projection'!C22*'VIP Levels'!$B$15*'VIP Levels'!$E$6*('VIP Levels'!$D$15/30)*'VIP Levels'!$C$15*Revenue!C10+'Affiliate Projection'!C23*'VIP Levels'!$B$16*'VIP Levels'!$E$7*('VIP Levels'!$D$16/30)*'VIP Levels'!$C$16*Revenue!C10+'Affiliate Projection'!C24*'VIP Levels'!$B$17*'VIP Levels'!$E$8*('VIP Levels'!$D$17/30)*'VIP Levels'!$C$17*Revenue!C10+'Affiliate Projection'!C25*'VIP Levels'!$B$18*'VIP Levels'!$E$9*('VIP Levels'!$D$18/30)*'VIP Levels'!$C$18*Revenue!C10</f>
        <v/>
      </c>
      <c r="D6" s="15">
        <f>'Affiliate Projection'!D21*'VIP Levels'!$B$14*'VIP Levels'!$E$5*('VIP Levels'!$D$14/30)*'VIP Levels'!$C$14*Revenue!D10+'Affiliate Projection'!D22*'VIP Levels'!$B$15*'VIP Levels'!$E$6*('VIP Levels'!$D$15/30)*'VIP Levels'!$C$15*Revenue!D10+'Affiliate Projection'!D23*'VIP Levels'!$B$16*'VIP Levels'!$E$7*('VIP Levels'!$D$16/30)*'VIP Levels'!$C$16*Revenue!D10+'Affiliate Projection'!D24*'VIP Levels'!$B$17*'VIP Levels'!$E$8*('VIP Levels'!$D$17/30)*'VIP Levels'!$C$17*Revenue!D10+'Affiliate Projection'!D25*'VIP Levels'!$B$18*'VIP Levels'!$E$9*('VIP Levels'!$D$18/30)*'VIP Levels'!$C$18*Revenue!D10</f>
        <v/>
      </c>
      <c r="E6" s="15">
        <f>'Affiliate Projection'!E21*'VIP Levels'!$B$14*'VIP Levels'!$E$5*('VIP Levels'!$D$14/30)*'VIP Levels'!$C$14*Revenue!E10+'Affiliate Projection'!E22*'VIP Levels'!$B$15*'VIP Levels'!$E$6*('VIP Levels'!$D$15/30)*'VIP Levels'!$C$15*Revenue!E10+'Affiliate Projection'!E23*'VIP Levels'!$B$16*'VIP Levels'!$E$7*('VIP Levels'!$D$16/30)*'VIP Levels'!$C$16*Revenue!E10+'Affiliate Projection'!E24*'VIP Levels'!$B$17*'VIP Levels'!$E$8*('VIP Levels'!$D$17/30)*'VIP Levels'!$C$17*Revenue!E10+'Affiliate Projection'!E25*'VIP Levels'!$B$18*'VIP Levels'!$E$9*('VIP Levels'!$D$18/30)*'VIP Levels'!$C$18*Revenue!E10</f>
        <v/>
      </c>
      <c r="F6" s="15">
        <f>'Affiliate Projection'!F21*'VIP Levels'!$B$14*'VIP Levels'!$E$5*('VIP Levels'!$D$14/30)*'VIP Levels'!$C$14*Revenue!F10+'Affiliate Projection'!F22*'VIP Levels'!$B$15*'VIP Levels'!$E$6*('VIP Levels'!$D$15/30)*'VIP Levels'!$C$15*Revenue!F10+'Affiliate Projection'!F23*'VIP Levels'!$B$16*'VIP Levels'!$E$7*('VIP Levels'!$D$16/30)*'VIP Levels'!$C$16*Revenue!F10+'Affiliate Projection'!F24*'VIP Levels'!$B$17*'VIP Levels'!$E$8*('VIP Levels'!$D$17/30)*'VIP Levels'!$C$17*Revenue!F10+'Affiliate Projection'!F25*'VIP Levels'!$B$18*'VIP Levels'!$E$9*('VIP Levels'!$D$18/30)*'VIP Levels'!$C$18*Revenue!F10</f>
        <v/>
      </c>
      <c r="G6" s="15">
        <f>'Affiliate Projection'!G21*'VIP Levels'!$B$14*'VIP Levels'!$E$5*('VIP Levels'!$D$14/30)*'VIP Levels'!$C$14*Revenue!G10+'Affiliate Projection'!G22*'VIP Levels'!$B$15*'VIP Levels'!$E$6*('VIP Levels'!$D$15/30)*'VIP Levels'!$C$15*Revenue!G10+'Affiliate Projection'!G23*'VIP Levels'!$B$16*'VIP Levels'!$E$7*('VIP Levels'!$D$16/30)*'VIP Levels'!$C$16*Revenue!G10+'Affiliate Projection'!G24*'VIP Levels'!$B$17*'VIP Levels'!$E$8*('VIP Levels'!$D$17/30)*'VIP Levels'!$C$17*Revenue!G10+'Affiliate Projection'!G25*'VIP Levels'!$B$18*'VIP Levels'!$E$9*('VIP Levels'!$D$18/30)*'VIP Levels'!$C$18*Revenue!G10</f>
        <v/>
      </c>
      <c r="H6" s="15">
        <f>'Affiliate Projection'!H21*'VIP Levels'!$B$14*'VIP Levels'!$E$5*('VIP Levels'!$D$14/30)*'VIP Levels'!$C$14*Revenue!H10+'Affiliate Projection'!H22*'VIP Levels'!$B$15*'VIP Levels'!$E$6*('VIP Levels'!$D$15/30)*'VIP Levels'!$C$15*Revenue!H10+'Affiliate Projection'!H23*'VIP Levels'!$B$16*'VIP Levels'!$E$7*('VIP Levels'!$D$16/30)*'VIP Levels'!$C$16*Revenue!H10+'Affiliate Projection'!H24*'VIP Levels'!$B$17*'VIP Levels'!$E$8*('VIP Levels'!$D$17/30)*'VIP Levels'!$C$17*Revenue!H10+'Affiliate Projection'!H25*'VIP Levels'!$B$18*'VIP Levels'!$E$9*('VIP Levels'!$D$18/30)*'VIP Levels'!$C$18*Revenue!H10</f>
        <v/>
      </c>
      <c r="I6" s="15">
        <f>'Affiliate Projection'!I21*'VIP Levels'!$B$14*'VIP Levels'!$E$5*('VIP Levels'!$D$14/30)*'VIP Levels'!$C$14*Revenue!I10+'Affiliate Projection'!I22*'VIP Levels'!$B$15*'VIP Levels'!$E$6*('VIP Levels'!$D$15/30)*'VIP Levels'!$C$15*Revenue!I10+'Affiliate Projection'!I23*'VIP Levels'!$B$16*'VIP Levels'!$E$7*('VIP Levels'!$D$16/30)*'VIP Levels'!$C$16*Revenue!I10+'Affiliate Projection'!I24*'VIP Levels'!$B$17*'VIP Levels'!$E$8*('VIP Levels'!$D$17/30)*'VIP Levels'!$C$17*Revenue!I10+'Affiliate Projection'!I25*'VIP Levels'!$B$18*'VIP Levels'!$E$9*('VIP Levels'!$D$18/30)*'VIP Levels'!$C$18*Revenue!I10</f>
        <v/>
      </c>
      <c r="J6" s="15">
        <f>'Affiliate Projection'!J21*'VIP Levels'!$B$14*'VIP Levels'!$E$5*('VIP Levels'!$D$14/30)*'VIP Levels'!$C$14*Revenue!J10+'Affiliate Projection'!J22*'VIP Levels'!$B$15*'VIP Levels'!$E$6*('VIP Levels'!$D$15/30)*'VIP Levels'!$C$15*Revenue!J10+'Affiliate Projection'!J23*'VIP Levels'!$B$16*'VIP Levels'!$E$7*('VIP Levels'!$D$16/30)*'VIP Levels'!$C$16*Revenue!J10+'Affiliate Projection'!J24*'VIP Levels'!$B$17*'VIP Levels'!$E$8*('VIP Levels'!$D$17/30)*'VIP Levels'!$C$17*Revenue!J10+'Affiliate Projection'!J25*'VIP Levels'!$B$18*'VIP Levels'!$E$9*('VIP Levels'!$D$18/30)*'VIP Levels'!$C$18*Revenue!J10</f>
        <v/>
      </c>
      <c r="K6" s="15">
        <f>'Affiliate Projection'!K21*'VIP Levels'!$B$14*'VIP Levels'!$E$5*('VIP Levels'!$D$14/30)*'VIP Levels'!$C$14*Revenue!K10+'Affiliate Projection'!K22*'VIP Levels'!$B$15*'VIP Levels'!$E$6*('VIP Levels'!$D$15/30)*'VIP Levels'!$C$15*Revenue!K10+'Affiliate Projection'!K23*'VIP Levels'!$B$16*'VIP Levels'!$E$7*('VIP Levels'!$D$16/30)*'VIP Levels'!$C$16*Revenue!K10+'Affiliate Projection'!K24*'VIP Levels'!$B$17*'VIP Levels'!$E$8*('VIP Levels'!$D$17/30)*'VIP Levels'!$C$17*Revenue!K10+'Affiliate Projection'!K25*'VIP Levels'!$B$18*'VIP Levels'!$E$9*('VIP Levels'!$D$18/30)*'VIP Levels'!$C$18*Revenue!K10</f>
        <v/>
      </c>
      <c r="L6" s="15">
        <f>'Affiliate Projection'!L21*'VIP Levels'!$B$14*'VIP Levels'!$E$5*('VIP Levels'!$D$14/30)*'VIP Levels'!$C$14*Revenue!L10+'Affiliate Projection'!L22*'VIP Levels'!$B$15*'VIP Levels'!$E$6*('VIP Levels'!$D$15/30)*'VIP Levels'!$C$15*Revenue!L10+'Affiliate Projection'!L23*'VIP Levels'!$B$16*'VIP Levels'!$E$7*('VIP Levels'!$D$16/30)*'VIP Levels'!$C$16*Revenue!L10+'Affiliate Projection'!L24*'VIP Levels'!$B$17*'VIP Levels'!$E$8*('VIP Levels'!$D$17/30)*'VIP Levels'!$C$17*Revenue!L10+'Affiliate Projection'!L25*'VIP Levels'!$B$18*'VIP Levels'!$E$9*('VIP Levels'!$D$18/30)*'VIP Levels'!$C$18*Revenue!L10</f>
        <v/>
      </c>
      <c r="M6" s="15">
        <f>'Affiliate Projection'!M21*'VIP Levels'!$B$14*'VIP Levels'!$E$5*('VIP Levels'!$D$14/30)*'VIP Levels'!$C$14*Revenue!M10+'Affiliate Projection'!M22*'VIP Levels'!$B$15*'VIP Levels'!$E$6*('VIP Levels'!$D$15/30)*'VIP Levels'!$C$15*Revenue!M10+'Affiliate Projection'!M23*'VIP Levels'!$B$16*'VIP Levels'!$E$7*('VIP Levels'!$D$16/30)*'VIP Levels'!$C$16*Revenue!M10+'Affiliate Projection'!M24*'VIP Levels'!$B$17*'VIP Levels'!$E$8*('VIP Levels'!$D$17/30)*'VIP Levels'!$C$17*Revenue!M10+'Affiliate Projection'!M25*'VIP Levels'!$B$18*'VIP Levels'!$E$9*('VIP Levels'!$D$18/30)*'VIP Levels'!$C$18*Revenue!M10</f>
        <v/>
      </c>
    </row>
    <row r="7">
      <c r="A7" s="14" t="inlineStr">
        <is>
          <t>Commission Boost Cost (Missions)</t>
        </is>
      </c>
      <c r="B7" s="15">
        <f>SUMPRODUCT((Missions!$F$6:$F$26="Commission Boost")*(Missions!$A$6:$A$26="Bronze")*(Missions!$D$6:$D$26="One-time")*'Affiliate Projection'!B21*Missions!$E$6:$E$26*Missions!$J$6:$J$26)+SUMPRODUCT((Missions!$F$6:$F$26="Commission Boost")*(Missions!$A$6:$A$26="Bronze")*(Missions!$D$6:$D$26&lt;&gt;"One-time")*'Affiliate Projection'!B12*Missions!$E$6:$E$26*Missions!$J$6:$J$26)+SUMPRODUCT((Missions!$F$6:$F$26="Commission Boost")*(Missions!$A$6:$A$26="Silver")*(Missions!$D$6:$D$26="One-time")*'Affiliate Projection'!B22*Missions!$E$6:$E$26*Missions!$J$6:$J$26)+SUMPRODUCT((Missions!$F$6:$F$26="Commission Boost")*(Missions!$A$6:$A$26="Silver")*(Missions!$D$6:$D$26&lt;&gt;"One-time")*'Affiliate Projection'!B13*Missions!$E$6:$E$26*Missions!$J$6:$J$26)+SUMPRODUCT((Missions!$F$6:$F$26="Commission Boost")*(Missions!$A$6:$A$26="Gold")*(Missions!$D$6:$D$26="One-time")*'Affiliate Projection'!B23*Missions!$E$6:$E$26*Missions!$J$6:$J$26)+SUMPRODUCT((Missions!$F$6:$F$26="Commission Boost")*(Missions!$A$6:$A$26="Gold")*(Missions!$D$6:$D$26&lt;&gt;"One-time")*'Affiliate Projection'!B14*Missions!$E$6:$E$26*Missions!$J$6:$J$26)+SUMPRODUCT((Missions!$F$6:$F$26="Commission Boost")*(Missions!$A$6:$A$26="Platinum")*(Missions!$D$6:$D$26="One-time")*'Affiliate Projection'!B24*Missions!$E$6:$E$26*Missions!$J$6:$J$26)+SUMPRODUCT((Missions!$F$6:$F$26="Commission Boost")*(Missions!$A$6:$A$26="Platinum")*(Missions!$D$6:$D$26&lt;&gt;"One-time")*'Affiliate Projection'!B15*Missions!$E$6:$E$26*Missions!$J$6:$J$26)+SUMPRODUCT((Missions!$F$6:$F$26="Commission Boost")*(Missions!$A$6:$A$26="Diamond")*(Missions!$D$6:$D$26="One-time")*'Affiliate Projection'!B25*Missions!$E$6:$E$26*Missions!$J$6:$J$26)+SUMPRODUCT((Missions!$F$6:$F$26="Commission Boost")*(Missions!$A$6:$A$26="Diamond")*(Missions!$D$6:$D$26&lt;&gt;"One-time")*'Affiliate Projection'!B16*Missions!$E$6:$E$26*Missions!$J$6:$J$26)</f>
        <v/>
      </c>
      <c r="C7" s="15">
        <f>SUMPRODUCT((Missions!$F$6:$F$26="Commission Boost")*(Missions!$A$6:$A$26="Bronze")*(Missions!$D$6:$D$26="One-time")*'Affiliate Projection'!C21*Missions!$E$6:$E$26*Missions!$J$6:$J$26)+SUMPRODUCT((Missions!$F$6:$F$26="Commission Boost")*(Missions!$A$6:$A$26="Bronze")*(Missions!$D$6:$D$26&lt;&gt;"One-time")*'Affiliate Projection'!C12*Missions!$E$6:$E$26*Missions!$J$6:$J$26)+SUMPRODUCT((Missions!$F$6:$F$26="Commission Boost")*(Missions!$A$6:$A$26="Silver")*(Missions!$D$6:$D$26="One-time")*'Affiliate Projection'!C22*Missions!$E$6:$E$26*Missions!$J$6:$J$26)+SUMPRODUCT((Missions!$F$6:$F$26="Commission Boost")*(Missions!$A$6:$A$26="Silver")*(Missions!$D$6:$D$26&lt;&gt;"One-time")*'Affiliate Projection'!C13*Missions!$E$6:$E$26*Missions!$J$6:$J$26)+SUMPRODUCT((Missions!$F$6:$F$26="Commission Boost")*(Missions!$A$6:$A$26="Gold")*(Missions!$D$6:$D$26="One-time")*'Affiliate Projection'!C23*Missions!$E$6:$E$26*Missions!$J$6:$J$26)+SUMPRODUCT((Missions!$F$6:$F$26="Commission Boost")*(Missions!$A$6:$A$26="Gold")*(Missions!$D$6:$D$26&lt;&gt;"One-time")*'Affiliate Projection'!C14*Missions!$E$6:$E$26*Missions!$J$6:$J$26)+SUMPRODUCT((Missions!$F$6:$F$26="Commission Boost")*(Missions!$A$6:$A$26="Platinum")*(Missions!$D$6:$D$26="One-time")*'Affiliate Projection'!C24*Missions!$E$6:$E$26*Missions!$J$6:$J$26)+SUMPRODUCT((Missions!$F$6:$F$26="Commission Boost")*(Missions!$A$6:$A$26="Platinum")*(Missions!$D$6:$D$26&lt;&gt;"One-time")*'Affiliate Projection'!C15*Missions!$E$6:$E$26*Missions!$J$6:$J$26)+SUMPRODUCT((Missions!$F$6:$F$26="Commission Boost")*(Missions!$A$6:$A$26="Diamond")*(Missions!$D$6:$D$26="One-time")*'Affiliate Projection'!C25*Missions!$E$6:$E$26*Missions!$J$6:$J$26)+SUMPRODUCT((Missions!$F$6:$F$26="Commission Boost")*(Missions!$A$6:$A$26="Diamond")*(Missions!$D$6:$D$26&lt;&gt;"One-time")*'Affiliate Projection'!C16*Missions!$E$6:$E$26*Missions!$J$6:$J$26)</f>
        <v/>
      </c>
      <c r="D7" s="15">
        <f>SUMPRODUCT((Missions!$F$6:$F$26="Commission Boost")*(Missions!$A$6:$A$26="Bronze")*(Missions!$D$6:$D$26="One-time")*'Affiliate Projection'!D21*Missions!$E$6:$E$26*Missions!$J$6:$J$26)+SUMPRODUCT((Missions!$F$6:$F$26="Commission Boost")*(Missions!$A$6:$A$26="Bronze")*(Missions!$D$6:$D$26&lt;&gt;"One-time")*'Affiliate Projection'!D12*Missions!$E$6:$E$26*Missions!$J$6:$J$26)+SUMPRODUCT((Missions!$F$6:$F$26="Commission Boost")*(Missions!$A$6:$A$26="Silver")*(Missions!$D$6:$D$26="One-time")*'Affiliate Projection'!D22*Missions!$E$6:$E$26*Missions!$J$6:$J$26)+SUMPRODUCT((Missions!$F$6:$F$26="Commission Boost")*(Missions!$A$6:$A$26="Silver")*(Missions!$D$6:$D$26&lt;&gt;"One-time")*'Affiliate Projection'!D13*Missions!$E$6:$E$26*Missions!$J$6:$J$26)+SUMPRODUCT((Missions!$F$6:$F$26="Commission Boost")*(Missions!$A$6:$A$26="Gold")*(Missions!$D$6:$D$26="One-time")*'Affiliate Projection'!D23*Missions!$E$6:$E$26*Missions!$J$6:$J$26)+SUMPRODUCT((Missions!$F$6:$F$26="Commission Boost")*(Missions!$A$6:$A$26="Gold")*(Missions!$D$6:$D$26&lt;&gt;"One-time")*'Affiliate Projection'!D14*Missions!$E$6:$E$26*Missions!$J$6:$J$26)+SUMPRODUCT((Missions!$F$6:$F$26="Commission Boost")*(Missions!$A$6:$A$26="Platinum")*(Missions!$D$6:$D$26="One-time")*'Affiliate Projection'!D24*Missions!$E$6:$E$26*Missions!$J$6:$J$26)+SUMPRODUCT((Missions!$F$6:$F$26="Commission Boost")*(Missions!$A$6:$A$26="Platinum")*(Missions!$D$6:$D$26&lt;&gt;"One-time")*'Affiliate Projection'!D15*Missions!$E$6:$E$26*Missions!$J$6:$J$26)+SUMPRODUCT((Missions!$F$6:$F$26="Commission Boost")*(Missions!$A$6:$A$26="Diamond")*(Missions!$D$6:$D$26="One-time")*'Affiliate Projection'!D25*Missions!$E$6:$E$26*Missions!$J$6:$J$26)+SUMPRODUCT((Missions!$F$6:$F$26="Commission Boost")*(Missions!$A$6:$A$26="Diamond")*(Missions!$D$6:$D$26&lt;&gt;"One-time")*'Affiliate Projection'!D16*Missions!$E$6:$E$26*Missions!$J$6:$J$26)</f>
        <v/>
      </c>
      <c r="E7" s="15">
        <f>SUMPRODUCT((Missions!$F$6:$F$26="Commission Boost")*(Missions!$A$6:$A$26="Bronze")*(Missions!$D$6:$D$26="One-time")*'Affiliate Projection'!E21*Missions!$E$6:$E$26*Missions!$J$6:$J$26)+SUMPRODUCT((Missions!$F$6:$F$26="Commission Boost")*(Missions!$A$6:$A$26="Bronze")*(Missions!$D$6:$D$26&lt;&gt;"One-time")*'Affiliate Projection'!E12*Missions!$E$6:$E$26*Missions!$J$6:$J$26)+SUMPRODUCT((Missions!$F$6:$F$26="Commission Boost")*(Missions!$A$6:$A$26="Silver")*(Missions!$D$6:$D$26="One-time")*'Affiliate Projection'!E22*Missions!$E$6:$E$26*Missions!$J$6:$J$26)+SUMPRODUCT((Missions!$F$6:$F$26="Commission Boost")*(Missions!$A$6:$A$26="Silver")*(Missions!$D$6:$D$26&lt;&gt;"One-time")*'Affiliate Projection'!E13*Missions!$E$6:$E$26*Missions!$J$6:$J$26)+SUMPRODUCT((Missions!$F$6:$F$26="Commission Boost")*(Missions!$A$6:$A$26="Gold")*(Missions!$D$6:$D$26="One-time")*'Affiliate Projection'!E23*Missions!$E$6:$E$26*Missions!$J$6:$J$26)+SUMPRODUCT((Missions!$F$6:$F$26="Commission Boost")*(Missions!$A$6:$A$26="Gold")*(Missions!$D$6:$D$26&lt;&gt;"One-time")*'Affiliate Projection'!E14*Missions!$E$6:$E$26*Missions!$J$6:$J$26)+SUMPRODUCT((Missions!$F$6:$F$26="Commission Boost")*(Missions!$A$6:$A$26="Platinum")*(Missions!$D$6:$D$26="One-time")*'Affiliate Projection'!E24*Missions!$E$6:$E$26*Missions!$J$6:$J$26)+SUMPRODUCT((Missions!$F$6:$F$26="Commission Boost")*(Missions!$A$6:$A$26="Platinum")*(Missions!$D$6:$D$26&lt;&gt;"One-time")*'Affiliate Projection'!E15*Missions!$E$6:$E$26*Missions!$J$6:$J$26)+SUMPRODUCT((Missions!$F$6:$F$26="Commission Boost")*(Missions!$A$6:$A$26="Diamond")*(Missions!$D$6:$D$26="One-time")*'Affiliate Projection'!E25*Missions!$E$6:$E$26*Missions!$J$6:$J$26)+SUMPRODUCT((Missions!$F$6:$F$26="Commission Boost")*(Missions!$A$6:$A$26="Diamond")*(Missions!$D$6:$D$26&lt;&gt;"One-time")*'Affiliate Projection'!E16*Missions!$E$6:$E$26*Missions!$J$6:$J$26)</f>
        <v/>
      </c>
      <c r="F7" s="15">
        <f>SUMPRODUCT((Missions!$F$6:$F$26="Commission Boost")*(Missions!$A$6:$A$26="Bronze")*(Missions!$D$6:$D$26="One-time")*'Affiliate Projection'!F21*Missions!$E$6:$E$26*Missions!$J$6:$J$26)+SUMPRODUCT((Missions!$F$6:$F$26="Commission Boost")*(Missions!$A$6:$A$26="Bronze")*(Missions!$D$6:$D$26&lt;&gt;"One-time")*'Affiliate Projection'!F12*Missions!$E$6:$E$26*Missions!$J$6:$J$26)+SUMPRODUCT((Missions!$F$6:$F$26="Commission Boost")*(Missions!$A$6:$A$26="Silver")*(Missions!$D$6:$D$26="One-time")*'Affiliate Projection'!F22*Missions!$E$6:$E$26*Missions!$J$6:$J$26)+SUMPRODUCT((Missions!$F$6:$F$26="Commission Boost")*(Missions!$A$6:$A$26="Silver")*(Missions!$D$6:$D$26&lt;&gt;"One-time")*'Affiliate Projection'!F13*Missions!$E$6:$E$26*Missions!$J$6:$J$26)+SUMPRODUCT((Missions!$F$6:$F$26="Commission Boost")*(Missions!$A$6:$A$26="Gold")*(Missions!$D$6:$D$26="One-time")*'Affiliate Projection'!F23*Missions!$E$6:$E$26*Missions!$J$6:$J$26)+SUMPRODUCT((Missions!$F$6:$F$26="Commission Boost")*(Missions!$A$6:$A$26="Gold")*(Missions!$D$6:$D$26&lt;&gt;"One-time")*'Affiliate Projection'!F14*Missions!$E$6:$E$26*Missions!$J$6:$J$26)+SUMPRODUCT((Missions!$F$6:$F$26="Commission Boost")*(Missions!$A$6:$A$26="Platinum")*(Missions!$D$6:$D$26="One-time")*'Affiliate Projection'!F24*Missions!$E$6:$E$26*Missions!$J$6:$J$26)+SUMPRODUCT((Missions!$F$6:$F$26="Commission Boost")*(Missions!$A$6:$A$26="Platinum")*(Missions!$D$6:$D$26&lt;&gt;"One-time")*'Affiliate Projection'!F15*Missions!$E$6:$E$26*Missions!$J$6:$J$26)+SUMPRODUCT((Missions!$F$6:$F$26="Commission Boost")*(Missions!$A$6:$A$26="Diamond")*(Missions!$D$6:$D$26="One-time")*'Affiliate Projection'!F25*Missions!$E$6:$E$26*Missions!$J$6:$J$26)+SUMPRODUCT((Missions!$F$6:$F$26="Commission Boost")*(Missions!$A$6:$A$26="Diamond")*(Missions!$D$6:$D$26&lt;&gt;"One-time")*'Affiliate Projection'!F16*Missions!$E$6:$E$26*Missions!$J$6:$J$26)</f>
        <v/>
      </c>
      <c r="G7" s="15">
        <f>SUMPRODUCT((Missions!$F$6:$F$26="Commission Boost")*(Missions!$A$6:$A$26="Bronze")*(Missions!$D$6:$D$26="One-time")*'Affiliate Projection'!G21*Missions!$E$6:$E$26*Missions!$J$6:$J$26)+SUMPRODUCT((Missions!$F$6:$F$26="Commission Boost")*(Missions!$A$6:$A$26="Bronze")*(Missions!$D$6:$D$26&lt;&gt;"One-time")*'Affiliate Projection'!G12*Missions!$E$6:$E$26*Missions!$J$6:$J$26)+SUMPRODUCT((Missions!$F$6:$F$26="Commission Boost")*(Missions!$A$6:$A$26="Silver")*(Missions!$D$6:$D$26="One-time")*'Affiliate Projection'!G22*Missions!$E$6:$E$26*Missions!$J$6:$J$26)+SUMPRODUCT((Missions!$F$6:$F$26="Commission Boost")*(Missions!$A$6:$A$26="Silver")*(Missions!$D$6:$D$26&lt;&gt;"One-time")*'Affiliate Projection'!G13*Missions!$E$6:$E$26*Missions!$J$6:$J$26)+SUMPRODUCT((Missions!$F$6:$F$26="Commission Boost")*(Missions!$A$6:$A$26="Gold")*(Missions!$D$6:$D$26="One-time")*'Affiliate Projection'!G23*Missions!$E$6:$E$26*Missions!$J$6:$J$26)+SUMPRODUCT((Missions!$F$6:$F$26="Commission Boost")*(Missions!$A$6:$A$26="Gold")*(Missions!$D$6:$D$26&lt;&gt;"One-time")*'Affiliate Projection'!G14*Missions!$E$6:$E$26*Missions!$J$6:$J$26)+SUMPRODUCT((Missions!$F$6:$F$26="Commission Boost")*(Missions!$A$6:$A$26="Platinum")*(Missions!$D$6:$D$26="One-time")*'Affiliate Projection'!G24*Missions!$E$6:$E$26*Missions!$J$6:$J$26)+SUMPRODUCT((Missions!$F$6:$F$26="Commission Boost")*(Missions!$A$6:$A$26="Platinum")*(Missions!$D$6:$D$26&lt;&gt;"One-time")*'Affiliate Projection'!G15*Missions!$E$6:$E$26*Missions!$J$6:$J$26)+SUMPRODUCT((Missions!$F$6:$F$26="Commission Boost")*(Missions!$A$6:$A$26="Diamond")*(Missions!$D$6:$D$26="One-time")*'Affiliate Projection'!G25*Missions!$E$6:$E$26*Missions!$J$6:$J$26)+SUMPRODUCT((Missions!$F$6:$F$26="Commission Boost")*(Missions!$A$6:$A$26="Diamond")*(Missions!$D$6:$D$26&lt;&gt;"One-time")*'Affiliate Projection'!G16*Missions!$E$6:$E$26*Missions!$J$6:$J$26)</f>
        <v/>
      </c>
      <c r="H7" s="15">
        <f>SUMPRODUCT((Missions!$F$6:$F$26="Commission Boost")*(Missions!$A$6:$A$26="Bronze")*(Missions!$D$6:$D$26="One-time")*'Affiliate Projection'!H21*Missions!$E$6:$E$26*Missions!$J$6:$J$26)+SUMPRODUCT((Missions!$F$6:$F$26="Commission Boost")*(Missions!$A$6:$A$26="Bronze")*(Missions!$D$6:$D$26&lt;&gt;"One-time")*'Affiliate Projection'!H12*Missions!$E$6:$E$26*Missions!$J$6:$J$26)+SUMPRODUCT((Missions!$F$6:$F$26="Commission Boost")*(Missions!$A$6:$A$26="Silver")*(Missions!$D$6:$D$26="One-time")*'Affiliate Projection'!H22*Missions!$E$6:$E$26*Missions!$J$6:$J$26)+SUMPRODUCT((Missions!$F$6:$F$26="Commission Boost")*(Missions!$A$6:$A$26="Silver")*(Missions!$D$6:$D$26&lt;&gt;"One-time")*'Affiliate Projection'!H13*Missions!$E$6:$E$26*Missions!$J$6:$J$26)+SUMPRODUCT((Missions!$F$6:$F$26="Commission Boost")*(Missions!$A$6:$A$26="Gold")*(Missions!$D$6:$D$26="One-time")*'Affiliate Projection'!H23*Missions!$E$6:$E$26*Missions!$J$6:$J$26)+SUMPRODUCT((Missions!$F$6:$F$26="Commission Boost")*(Missions!$A$6:$A$26="Gold")*(Missions!$D$6:$D$26&lt;&gt;"One-time")*'Affiliate Projection'!H14*Missions!$E$6:$E$26*Missions!$J$6:$J$26)+SUMPRODUCT((Missions!$F$6:$F$26="Commission Boost")*(Missions!$A$6:$A$26="Platinum")*(Missions!$D$6:$D$26="One-time")*'Affiliate Projection'!H24*Missions!$E$6:$E$26*Missions!$J$6:$J$26)+SUMPRODUCT((Missions!$F$6:$F$26="Commission Boost")*(Missions!$A$6:$A$26="Platinum")*(Missions!$D$6:$D$26&lt;&gt;"One-time")*'Affiliate Projection'!H15*Missions!$E$6:$E$26*Missions!$J$6:$J$26)+SUMPRODUCT((Missions!$F$6:$F$26="Commission Boost")*(Missions!$A$6:$A$26="Diamond")*(Missions!$D$6:$D$26="One-time")*'Affiliate Projection'!H25*Missions!$E$6:$E$26*Missions!$J$6:$J$26)+SUMPRODUCT((Missions!$F$6:$F$26="Commission Boost")*(Missions!$A$6:$A$26="Diamond")*(Missions!$D$6:$D$26&lt;&gt;"One-time")*'Affiliate Projection'!H16*Missions!$E$6:$E$26*Missions!$J$6:$J$26)</f>
        <v/>
      </c>
      <c r="I7" s="15">
        <f>SUMPRODUCT((Missions!$F$6:$F$26="Commission Boost")*(Missions!$A$6:$A$26="Bronze")*(Missions!$D$6:$D$26="One-time")*'Affiliate Projection'!I21*Missions!$E$6:$E$26*Missions!$J$6:$J$26)+SUMPRODUCT((Missions!$F$6:$F$26="Commission Boost")*(Missions!$A$6:$A$26="Bronze")*(Missions!$D$6:$D$26&lt;&gt;"One-time")*'Affiliate Projection'!I12*Missions!$E$6:$E$26*Missions!$J$6:$J$26)+SUMPRODUCT((Missions!$F$6:$F$26="Commission Boost")*(Missions!$A$6:$A$26="Silver")*(Missions!$D$6:$D$26="One-time")*'Affiliate Projection'!I22*Missions!$E$6:$E$26*Missions!$J$6:$J$26)+SUMPRODUCT((Missions!$F$6:$F$26="Commission Boost")*(Missions!$A$6:$A$26="Silver")*(Missions!$D$6:$D$26&lt;&gt;"One-time")*'Affiliate Projection'!I13*Missions!$E$6:$E$26*Missions!$J$6:$J$26)+SUMPRODUCT((Missions!$F$6:$F$26="Commission Boost")*(Missions!$A$6:$A$26="Gold")*(Missions!$D$6:$D$26="One-time")*'Affiliate Projection'!I23*Missions!$E$6:$E$26*Missions!$J$6:$J$26)+SUMPRODUCT((Missions!$F$6:$F$26="Commission Boost")*(Missions!$A$6:$A$26="Gold")*(Missions!$D$6:$D$26&lt;&gt;"One-time")*'Affiliate Projection'!I14*Missions!$E$6:$E$26*Missions!$J$6:$J$26)+SUMPRODUCT((Missions!$F$6:$F$26="Commission Boost")*(Missions!$A$6:$A$26="Platinum")*(Missions!$D$6:$D$26="One-time")*'Affiliate Projection'!I24*Missions!$E$6:$E$26*Missions!$J$6:$J$26)+SUMPRODUCT((Missions!$F$6:$F$26="Commission Boost")*(Missions!$A$6:$A$26="Platinum")*(Missions!$D$6:$D$26&lt;&gt;"One-time")*'Affiliate Projection'!I15*Missions!$E$6:$E$26*Missions!$J$6:$J$26)+SUMPRODUCT((Missions!$F$6:$F$26="Commission Boost")*(Missions!$A$6:$A$26="Diamond")*(Missions!$D$6:$D$26="One-time")*'Affiliate Projection'!I25*Missions!$E$6:$E$26*Missions!$J$6:$J$26)+SUMPRODUCT((Missions!$F$6:$F$26="Commission Boost")*(Missions!$A$6:$A$26="Diamond")*(Missions!$D$6:$D$26&lt;&gt;"One-time")*'Affiliate Projection'!I16*Missions!$E$6:$E$26*Missions!$J$6:$J$26)</f>
        <v/>
      </c>
      <c r="J7" s="15">
        <f>SUMPRODUCT((Missions!$F$6:$F$26="Commission Boost")*(Missions!$A$6:$A$26="Bronze")*(Missions!$D$6:$D$26="One-time")*'Affiliate Projection'!J21*Missions!$E$6:$E$26*Missions!$J$6:$J$26)+SUMPRODUCT((Missions!$F$6:$F$26="Commission Boost")*(Missions!$A$6:$A$26="Bronze")*(Missions!$D$6:$D$26&lt;&gt;"One-time")*'Affiliate Projection'!J12*Missions!$E$6:$E$26*Missions!$J$6:$J$26)+SUMPRODUCT((Missions!$F$6:$F$26="Commission Boost")*(Missions!$A$6:$A$26="Silver")*(Missions!$D$6:$D$26="One-time")*'Affiliate Projection'!J22*Missions!$E$6:$E$26*Missions!$J$6:$J$26)+SUMPRODUCT((Missions!$F$6:$F$26="Commission Boost")*(Missions!$A$6:$A$26="Silver")*(Missions!$D$6:$D$26&lt;&gt;"One-time")*'Affiliate Projection'!J13*Missions!$E$6:$E$26*Missions!$J$6:$J$26)+SUMPRODUCT((Missions!$F$6:$F$26="Commission Boost")*(Missions!$A$6:$A$26="Gold")*(Missions!$D$6:$D$26="One-time")*'Affiliate Projection'!J23*Missions!$E$6:$E$26*Missions!$J$6:$J$26)+SUMPRODUCT((Missions!$F$6:$F$26="Commission Boost")*(Missions!$A$6:$A$26="Gold")*(Missions!$D$6:$D$26&lt;&gt;"One-time")*'Affiliate Projection'!J14*Missions!$E$6:$E$26*Missions!$J$6:$J$26)+SUMPRODUCT((Missions!$F$6:$F$26="Commission Boost")*(Missions!$A$6:$A$26="Platinum")*(Missions!$D$6:$D$26="One-time")*'Affiliate Projection'!J24*Missions!$E$6:$E$26*Missions!$J$6:$J$26)+SUMPRODUCT((Missions!$F$6:$F$26="Commission Boost")*(Missions!$A$6:$A$26="Platinum")*(Missions!$D$6:$D$26&lt;&gt;"One-time")*'Affiliate Projection'!J15*Missions!$E$6:$E$26*Missions!$J$6:$J$26)+SUMPRODUCT((Missions!$F$6:$F$26="Commission Boost")*(Missions!$A$6:$A$26="Diamond")*(Missions!$D$6:$D$26="One-time")*'Affiliate Projection'!J25*Missions!$E$6:$E$26*Missions!$J$6:$J$26)+SUMPRODUCT((Missions!$F$6:$F$26="Commission Boost")*(Missions!$A$6:$A$26="Diamond")*(Missions!$D$6:$D$26&lt;&gt;"One-time")*'Affiliate Projection'!J16*Missions!$E$6:$E$26*Missions!$J$6:$J$26)</f>
        <v/>
      </c>
      <c r="K7" s="15">
        <f>SUMPRODUCT((Missions!$F$6:$F$26="Commission Boost")*(Missions!$A$6:$A$26="Bronze")*(Missions!$D$6:$D$26="One-time")*'Affiliate Projection'!K21*Missions!$E$6:$E$26*Missions!$J$6:$J$26)+SUMPRODUCT((Missions!$F$6:$F$26="Commission Boost")*(Missions!$A$6:$A$26="Bronze")*(Missions!$D$6:$D$26&lt;&gt;"One-time")*'Affiliate Projection'!K12*Missions!$E$6:$E$26*Missions!$J$6:$J$26)+SUMPRODUCT((Missions!$F$6:$F$26="Commission Boost")*(Missions!$A$6:$A$26="Silver")*(Missions!$D$6:$D$26="One-time")*'Affiliate Projection'!K22*Missions!$E$6:$E$26*Missions!$J$6:$J$26)+SUMPRODUCT((Missions!$F$6:$F$26="Commission Boost")*(Missions!$A$6:$A$26="Silver")*(Missions!$D$6:$D$26&lt;&gt;"One-time")*'Affiliate Projection'!K13*Missions!$E$6:$E$26*Missions!$J$6:$J$26)+SUMPRODUCT((Missions!$F$6:$F$26="Commission Boost")*(Missions!$A$6:$A$26="Gold")*(Missions!$D$6:$D$26="One-time")*'Affiliate Projection'!K23*Missions!$E$6:$E$26*Missions!$J$6:$J$26)+SUMPRODUCT((Missions!$F$6:$F$26="Commission Boost")*(Missions!$A$6:$A$26="Gold")*(Missions!$D$6:$D$26&lt;&gt;"One-time")*'Affiliate Projection'!K14*Missions!$E$6:$E$26*Missions!$J$6:$J$26)+SUMPRODUCT((Missions!$F$6:$F$26="Commission Boost")*(Missions!$A$6:$A$26="Platinum")*(Missions!$D$6:$D$26="One-time")*'Affiliate Projection'!K24*Missions!$E$6:$E$26*Missions!$J$6:$J$26)+SUMPRODUCT((Missions!$F$6:$F$26="Commission Boost")*(Missions!$A$6:$A$26="Platinum")*(Missions!$D$6:$D$26&lt;&gt;"One-time")*'Affiliate Projection'!K15*Missions!$E$6:$E$26*Missions!$J$6:$J$26)+SUMPRODUCT((Missions!$F$6:$F$26="Commission Boost")*(Missions!$A$6:$A$26="Diamond")*(Missions!$D$6:$D$26="One-time")*'Affiliate Projection'!K25*Missions!$E$6:$E$26*Missions!$J$6:$J$26)+SUMPRODUCT((Missions!$F$6:$F$26="Commission Boost")*(Missions!$A$6:$A$26="Diamond")*(Missions!$D$6:$D$26&lt;&gt;"One-time")*'Affiliate Projection'!K16*Missions!$E$6:$E$26*Missions!$J$6:$J$26)</f>
        <v/>
      </c>
      <c r="L7" s="15">
        <f>SUMPRODUCT((Missions!$F$6:$F$26="Commission Boost")*(Missions!$A$6:$A$26="Bronze")*(Missions!$D$6:$D$26="One-time")*'Affiliate Projection'!L21*Missions!$E$6:$E$26*Missions!$J$6:$J$26)+SUMPRODUCT((Missions!$F$6:$F$26="Commission Boost")*(Missions!$A$6:$A$26="Bronze")*(Missions!$D$6:$D$26&lt;&gt;"One-time")*'Affiliate Projection'!L12*Missions!$E$6:$E$26*Missions!$J$6:$J$26)+SUMPRODUCT((Missions!$F$6:$F$26="Commission Boost")*(Missions!$A$6:$A$26="Silver")*(Missions!$D$6:$D$26="One-time")*'Affiliate Projection'!L22*Missions!$E$6:$E$26*Missions!$J$6:$J$26)+SUMPRODUCT((Missions!$F$6:$F$26="Commission Boost")*(Missions!$A$6:$A$26="Silver")*(Missions!$D$6:$D$26&lt;&gt;"One-time")*'Affiliate Projection'!L13*Missions!$E$6:$E$26*Missions!$J$6:$J$26)+SUMPRODUCT((Missions!$F$6:$F$26="Commission Boost")*(Missions!$A$6:$A$26="Gold")*(Missions!$D$6:$D$26="One-time")*'Affiliate Projection'!L23*Missions!$E$6:$E$26*Missions!$J$6:$J$26)+SUMPRODUCT((Missions!$F$6:$F$26="Commission Boost")*(Missions!$A$6:$A$26="Gold")*(Missions!$D$6:$D$26&lt;&gt;"One-time")*'Affiliate Projection'!L14*Missions!$E$6:$E$26*Missions!$J$6:$J$26)+SUMPRODUCT((Missions!$F$6:$F$26="Commission Boost")*(Missions!$A$6:$A$26="Platinum")*(Missions!$D$6:$D$26="One-time")*'Affiliate Projection'!L24*Missions!$E$6:$E$26*Missions!$J$6:$J$26)+SUMPRODUCT((Missions!$F$6:$F$26="Commission Boost")*(Missions!$A$6:$A$26="Platinum")*(Missions!$D$6:$D$26&lt;&gt;"One-time")*'Affiliate Projection'!L15*Missions!$E$6:$E$26*Missions!$J$6:$J$26)+SUMPRODUCT((Missions!$F$6:$F$26="Commission Boost")*(Missions!$A$6:$A$26="Diamond")*(Missions!$D$6:$D$26="One-time")*'Affiliate Projection'!L25*Missions!$E$6:$E$26*Missions!$J$6:$J$26)+SUMPRODUCT((Missions!$F$6:$F$26="Commission Boost")*(Missions!$A$6:$A$26="Diamond")*(Missions!$D$6:$D$26&lt;&gt;"One-time")*'Affiliate Projection'!L16*Missions!$E$6:$E$26*Missions!$J$6:$J$26)</f>
        <v/>
      </c>
      <c r="M7" s="15">
        <f>SUMPRODUCT((Missions!$F$6:$F$26="Commission Boost")*(Missions!$A$6:$A$26="Bronze")*(Missions!$D$6:$D$26="One-time")*'Affiliate Projection'!M21*Missions!$E$6:$E$26*Missions!$J$6:$J$26)+SUMPRODUCT((Missions!$F$6:$F$26="Commission Boost")*(Missions!$A$6:$A$26="Bronze")*(Missions!$D$6:$D$26&lt;&gt;"One-time")*'Affiliate Projection'!M12*Missions!$E$6:$E$26*Missions!$J$6:$J$26)+SUMPRODUCT((Missions!$F$6:$F$26="Commission Boost")*(Missions!$A$6:$A$26="Silver")*(Missions!$D$6:$D$26="One-time")*'Affiliate Projection'!M22*Missions!$E$6:$E$26*Missions!$J$6:$J$26)+SUMPRODUCT((Missions!$F$6:$F$26="Commission Boost")*(Missions!$A$6:$A$26="Silver")*(Missions!$D$6:$D$26&lt;&gt;"One-time")*'Affiliate Projection'!M13*Missions!$E$6:$E$26*Missions!$J$6:$J$26)+SUMPRODUCT((Missions!$F$6:$F$26="Commission Boost")*(Missions!$A$6:$A$26="Gold")*(Missions!$D$6:$D$26="One-time")*'Affiliate Projection'!M23*Missions!$E$6:$E$26*Missions!$J$6:$J$26)+SUMPRODUCT((Missions!$F$6:$F$26="Commission Boost")*(Missions!$A$6:$A$26="Gold")*(Missions!$D$6:$D$26&lt;&gt;"One-time")*'Affiliate Projection'!M14*Missions!$E$6:$E$26*Missions!$J$6:$J$26)+SUMPRODUCT((Missions!$F$6:$F$26="Commission Boost")*(Missions!$A$6:$A$26="Platinum")*(Missions!$D$6:$D$26="One-time")*'Affiliate Projection'!M24*Missions!$E$6:$E$26*Missions!$J$6:$J$26)+SUMPRODUCT((Missions!$F$6:$F$26="Commission Boost")*(Missions!$A$6:$A$26="Platinum")*(Missions!$D$6:$D$26&lt;&gt;"One-time")*'Affiliate Projection'!M15*Missions!$E$6:$E$26*Missions!$J$6:$J$26)+SUMPRODUCT((Missions!$F$6:$F$26="Commission Boost")*(Missions!$A$6:$A$26="Diamond")*(Missions!$D$6:$D$26="One-time")*'Affiliate Projection'!M25*Missions!$E$6:$E$26*Missions!$J$6:$J$26)+SUMPRODUCT((Missions!$F$6:$F$26="Commission Boost")*(Missions!$A$6:$A$26="Diamond")*(Missions!$D$6:$D$26&lt;&gt;"One-time")*'Affiliate Projection'!M16*Missions!$E$6:$E$26*Missions!$J$6:$J$26)</f>
        <v/>
      </c>
    </row>
    <row r="8">
      <c r="A8" s="33" t="inlineStr">
        <is>
          <t>Discount Cost (Welcome)</t>
        </is>
      </c>
      <c r="B8" s="34">
        <f>'Affiliate Projection'!B21*'VIP Levels'!$G$14*'VIP Levels'!$E$5*('VIP Levels'!$I$14/30)*'VIP Levels'!$H$14*Inputs!$B$14*Inputs!$B$20+'Affiliate Projection'!B22*'VIP Levels'!$G$15*'VIP Levels'!$E$6*('VIP Levels'!$I$15/30)*'VIP Levels'!$H$15*Inputs!$B$14*Inputs!$B$20+'Affiliate Projection'!B23*'VIP Levels'!$G$16*'VIP Levels'!$E$7*('VIP Levels'!$I$16/30)*'VIP Levels'!$H$16*Inputs!$B$14*Inputs!$B$20+'Affiliate Projection'!B24*'VIP Levels'!$G$17*'VIP Levels'!$E$8*('VIP Levels'!$I$17/30)*'VIP Levels'!$H$17*Inputs!$B$14*Inputs!$B$20+'Affiliate Projection'!B25*'VIP Levels'!$G$18*'VIP Levels'!$E$9*('VIP Levels'!$I$18/30)*'VIP Levels'!$H$18*Inputs!$B$14*Inputs!$B$20</f>
        <v/>
      </c>
      <c r="C8" s="34">
        <f>'Affiliate Projection'!C21*'VIP Levels'!$G$14*'VIP Levels'!$E$5*('VIP Levels'!$I$14/30)*'VIP Levels'!$H$14*Inputs!$B$14*Inputs!$B$20+'Affiliate Projection'!C22*'VIP Levels'!$G$15*'VIP Levels'!$E$6*('VIP Levels'!$I$15/30)*'VIP Levels'!$H$15*Inputs!$B$14*Inputs!$B$20+'Affiliate Projection'!C23*'VIP Levels'!$G$16*'VIP Levels'!$E$7*('VIP Levels'!$I$16/30)*'VIP Levels'!$H$16*Inputs!$B$14*Inputs!$B$20+'Affiliate Projection'!C24*'VIP Levels'!$G$17*'VIP Levels'!$E$8*('VIP Levels'!$I$17/30)*'VIP Levels'!$H$17*Inputs!$B$14*Inputs!$B$20+'Affiliate Projection'!C25*'VIP Levels'!$G$18*'VIP Levels'!$E$9*('VIP Levels'!$I$18/30)*'VIP Levels'!$H$18*Inputs!$B$14*Inputs!$B$20</f>
        <v/>
      </c>
      <c r="D8" s="34">
        <f>'Affiliate Projection'!D21*'VIP Levels'!$G$14*'VIP Levels'!$E$5*('VIP Levels'!$I$14/30)*'VIP Levels'!$H$14*Inputs!$B$14*Inputs!$B$20+'Affiliate Projection'!D22*'VIP Levels'!$G$15*'VIP Levels'!$E$6*('VIP Levels'!$I$15/30)*'VIP Levels'!$H$15*Inputs!$B$14*Inputs!$B$20+'Affiliate Projection'!D23*'VIP Levels'!$G$16*'VIP Levels'!$E$7*('VIP Levels'!$I$16/30)*'VIP Levels'!$H$16*Inputs!$B$14*Inputs!$B$20+'Affiliate Projection'!D24*'VIP Levels'!$G$17*'VIP Levels'!$E$8*('VIP Levels'!$I$17/30)*'VIP Levels'!$H$17*Inputs!$B$14*Inputs!$B$20+'Affiliate Projection'!D25*'VIP Levels'!$G$18*'VIP Levels'!$E$9*('VIP Levels'!$I$18/30)*'VIP Levels'!$H$18*Inputs!$B$14*Inputs!$B$20</f>
        <v/>
      </c>
      <c r="E8" s="34">
        <f>'Affiliate Projection'!E21*'VIP Levels'!$G$14*'VIP Levels'!$E$5*('VIP Levels'!$I$14/30)*'VIP Levels'!$H$14*Inputs!$B$14*Inputs!$B$20+'Affiliate Projection'!E22*'VIP Levels'!$G$15*'VIP Levels'!$E$6*('VIP Levels'!$I$15/30)*'VIP Levels'!$H$15*Inputs!$B$14*Inputs!$B$20+'Affiliate Projection'!E23*'VIP Levels'!$G$16*'VIP Levels'!$E$7*('VIP Levels'!$I$16/30)*'VIP Levels'!$H$16*Inputs!$B$14*Inputs!$B$20+'Affiliate Projection'!E24*'VIP Levels'!$G$17*'VIP Levels'!$E$8*('VIP Levels'!$I$17/30)*'VIP Levels'!$H$17*Inputs!$B$14*Inputs!$B$20+'Affiliate Projection'!E25*'VIP Levels'!$G$18*'VIP Levels'!$E$9*('VIP Levels'!$I$18/30)*'VIP Levels'!$H$18*Inputs!$B$14*Inputs!$B$20</f>
        <v/>
      </c>
      <c r="F8" s="34">
        <f>'Affiliate Projection'!F21*'VIP Levels'!$G$14*'VIP Levels'!$E$5*('VIP Levels'!$I$14/30)*'VIP Levels'!$H$14*Inputs!$B$14*Inputs!$B$20+'Affiliate Projection'!F22*'VIP Levels'!$G$15*'VIP Levels'!$E$6*('VIP Levels'!$I$15/30)*'VIP Levels'!$H$15*Inputs!$B$14*Inputs!$B$20+'Affiliate Projection'!F23*'VIP Levels'!$G$16*'VIP Levels'!$E$7*('VIP Levels'!$I$16/30)*'VIP Levels'!$H$16*Inputs!$B$14*Inputs!$B$20+'Affiliate Projection'!F24*'VIP Levels'!$G$17*'VIP Levels'!$E$8*('VIP Levels'!$I$17/30)*'VIP Levels'!$H$17*Inputs!$B$14*Inputs!$B$20+'Affiliate Projection'!F25*'VIP Levels'!$G$18*'VIP Levels'!$E$9*('VIP Levels'!$I$18/30)*'VIP Levels'!$H$18*Inputs!$B$14*Inputs!$B$20</f>
        <v/>
      </c>
      <c r="G8" s="34">
        <f>'Affiliate Projection'!G21*'VIP Levels'!$G$14*'VIP Levels'!$E$5*('VIP Levels'!$I$14/30)*'VIP Levels'!$H$14*Inputs!$B$14*Inputs!$B$20+'Affiliate Projection'!G22*'VIP Levels'!$G$15*'VIP Levels'!$E$6*('VIP Levels'!$I$15/30)*'VIP Levels'!$H$15*Inputs!$B$14*Inputs!$B$20+'Affiliate Projection'!G23*'VIP Levels'!$G$16*'VIP Levels'!$E$7*('VIP Levels'!$I$16/30)*'VIP Levels'!$H$16*Inputs!$B$14*Inputs!$B$20+'Affiliate Projection'!G24*'VIP Levels'!$G$17*'VIP Levels'!$E$8*('VIP Levels'!$I$17/30)*'VIP Levels'!$H$17*Inputs!$B$14*Inputs!$B$20+'Affiliate Projection'!G25*'VIP Levels'!$G$18*'VIP Levels'!$E$9*('VIP Levels'!$I$18/30)*'VIP Levels'!$H$18*Inputs!$B$14*Inputs!$B$20</f>
        <v/>
      </c>
      <c r="H8" s="34">
        <f>'Affiliate Projection'!H21*'VIP Levels'!$G$14*'VIP Levels'!$E$5*('VIP Levels'!$I$14/30)*'VIP Levels'!$H$14*Inputs!$B$14*Inputs!$B$20+'Affiliate Projection'!H22*'VIP Levels'!$G$15*'VIP Levels'!$E$6*('VIP Levels'!$I$15/30)*'VIP Levels'!$H$15*Inputs!$B$14*Inputs!$B$20+'Affiliate Projection'!H23*'VIP Levels'!$G$16*'VIP Levels'!$E$7*('VIP Levels'!$I$16/30)*'VIP Levels'!$H$16*Inputs!$B$14*Inputs!$B$20+'Affiliate Projection'!H24*'VIP Levels'!$G$17*'VIP Levels'!$E$8*('VIP Levels'!$I$17/30)*'VIP Levels'!$H$17*Inputs!$B$14*Inputs!$B$20+'Affiliate Projection'!H25*'VIP Levels'!$G$18*'VIP Levels'!$E$9*('VIP Levels'!$I$18/30)*'VIP Levels'!$H$18*Inputs!$B$14*Inputs!$B$20</f>
        <v/>
      </c>
      <c r="I8" s="34">
        <f>'Affiliate Projection'!I21*'VIP Levels'!$G$14*'VIP Levels'!$E$5*('VIP Levels'!$I$14/30)*'VIP Levels'!$H$14*Inputs!$B$14*Inputs!$B$20+'Affiliate Projection'!I22*'VIP Levels'!$G$15*'VIP Levels'!$E$6*('VIP Levels'!$I$15/30)*'VIP Levels'!$H$15*Inputs!$B$14*Inputs!$B$20+'Affiliate Projection'!I23*'VIP Levels'!$G$16*'VIP Levels'!$E$7*('VIP Levels'!$I$16/30)*'VIP Levels'!$H$16*Inputs!$B$14*Inputs!$B$20+'Affiliate Projection'!I24*'VIP Levels'!$G$17*'VIP Levels'!$E$8*('VIP Levels'!$I$17/30)*'VIP Levels'!$H$17*Inputs!$B$14*Inputs!$B$20+'Affiliate Projection'!I25*'VIP Levels'!$G$18*'VIP Levels'!$E$9*('VIP Levels'!$I$18/30)*'VIP Levels'!$H$18*Inputs!$B$14*Inputs!$B$20</f>
        <v/>
      </c>
      <c r="J8" s="34">
        <f>'Affiliate Projection'!J21*'VIP Levels'!$G$14*'VIP Levels'!$E$5*('VIP Levels'!$I$14/30)*'VIP Levels'!$H$14*Inputs!$B$14*Inputs!$B$20+'Affiliate Projection'!J22*'VIP Levels'!$G$15*'VIP Levels'!$E$6*('VIP Levels'!$I$15/30)*'VIP Levels'!$H$15*Inputs!$B$14*Inputs!$B$20+'Affiliate Projection'!J23*'VIP Levels'!$G$16*'VIP Levels'!$E$7*('VIP Levels'!$I$16/30)*'VIP Levels'!$H$16*Inputs!$B$14*Inputs!$B$20+'Affiliate Projection'!J24*'VIP Levels'!$G$17*'VIP Levels'!$E$8*('VIP Levels'!$I$17/30)*'VIP Levels'!$H$17*Inputs!$B$14*Inputs!$B$20+'Affiliate Projection'!J25*'VIP Levels'!$G$18*'VIP Levels'!$E$9*('VIP Levels'!$I$18/30)*'VIP Levels'!$H$18*Inputs!$B$14*Inputs!$B$20</f>
        <v/>
      </c>
      <c r="K8" s="34">
        <f>'Affiliate Projection'!K21*'VIP Levels'!$G$14*'VIP Levels'!$E$5*('VIP Levels'!$I$14/30)*'VIP Levels'!$H$14*Inputs!$B$14*Inputs!$B$20+'Affiliate Projection'!K22*'VIP Levels'!$G$15*'VIP Levels'!$E$6*('VIP Levels'!$I$15/30)*'VIP Levels'!$H$15*Inputs!$B$14*Inputs!$B$20+'Affiliate Projection'!K23*'VIP Levels'!$G$16*'VIP Levels'!$E$7*('VIP Levels'!$I$16/30)*'VIP Levels'!$H$16*Inputs!$B$14*Inputs!$B$20+'Affiliate Projection'!K24*'VIP Levels'!$G$17*'VIP Levels'!$E$8*('VIP Levels'!$I$17/30)*'VIP Levels'!$H$17*Inputs!$B$14*Inputs!$B$20+'Affiliate Projection'!K25*'VIP Levels'!$G$18*'VIP Levels'!$E$9*('VIP Levels'!$I$18/30)*'VIP Levels'!$H$18*Inputs!$B$14*Inputs!$B$20</f>
        <v/>
      </c>
      <c r="L8" s="34">
        <f>'Affiliate Projection'!L21*'VIP Levels'!$G$14*'VIP Levels'!$E$5*('VIP Levels'!$I$14/30)*'VIP Levels'!$H$14*Inputs!$B$14*Inputs!$B$20+'Affiliate Projection'!L22*'VIP Levels'!$G$15*'VIP Levels'!$E$6*('VIP Levels'!$I$15/30)*'VIP Levels'!$H$15*Inputs!$B$14*Inputs!$B$20+'Affiliate Projection'!L23*'VIP Levels'!$G$16*'VIP Levels'!$E$7*('VIP Levels'!$I$16/30)*'VIP Levels'!$H$16*Inputs!$B$14*Inputs!$B$20+'Affiliate Projection'!L24*'VIP Levels'!$G$17*'VIP Levels'!$E$8*('VIP Levels'!$I$17/30)*'VIP Levels'!$H$17*Inputs!$B$14*Inputs!$B$20+'Affiliate Projection'!L25*'VIP Levels'!$G$18*'VIP Levels'!$E$9*('VIP Levels'!$I$18/30)*'VIP Levels'!$H$18*Inputs!$B$14*Inputs!$B$20</f>
        <v/>
      </c>
      <c r="M8" s="34">
        <f>'Affiliate Projection'!M21*'VIP Levels'!$G$14*'VIP Levels'!$E$5*('VIP Levels'!$I$14/30)*'VIP Levels'!$H$14*Inputs!$B$14*Inputs!$B$20+'Affiliate Projection'!M22*'VIP Levels'!$G$15*'VIP Levels'!$E$6*('VIP Levels'!$I$15/30)*'VIP Levels'!$H$15*Inputs!$B$14*Inputs!$B$20+'Affiliate Projection'!M23*'VIP Levels'!$G$16*'VIP Levels'!$E$7*('VIP Levels'!$I$16/30)*'VIP Levels'!$H$16*Inputs!$B$14*Inputs!$B$20+'Affiliate Projection'!M24*'VIP Levels'!$G$17*'VIP Levels'!$E$8*('VIP Levels'!$I$17/30)*'VIP Levels'!$H$17*Inputs!$B$14*Inputs!$B$20+'Affiliate Projection'!M25*'VIP Levels'!$G$18*'VIP Levels'!$E$9*('VIP Levels'!$I$18/30)*'VIP Levels'!$H$18*Inputs!$B$14*Inputs!$B$20</f>
        <v/>
      </c>
    </row>
    <row r="9">
      <c r="A9" s="21" t="inlineStr">
        <is>
          <t>Discount Cost (Missions)</t>
        </is>
      </c>
      <c r="B9" s="15">
        <f>SUMPRODUCT((Missions!$F$6:$F$26="Discount")*(Missions!$A$6:$A$26="Bronze")*(Missions!$D$6:$D$26="One-time")*'Affiliate Projection'!B21*Missions!$E$6:$E$26*Missions!$J$6:$J$26)+SUMPRODUCT((Missions!$F$6:$F$26="Discount")*(Missions!$A$6:$A$26="Bronze")*(Missions!$D$6:$D$26&lt;&gt;"One-time")*'Affiliate Projection'!B12*Missions!$E$6:$E$26*Missions!$J$6:$J$26)+SUMPRODUCT((Missions!$F$6:$F$26="Discount")*(Missions!$A$6:$A$26="Silver")*(Missions!$D$6:$D$26="One-time")*'Affiliate Projection'!B22*Missions!$E$6:$E$26*Missions!$J$6:$J$26)+SUMPRODUCT((Missions!$F$6:$F$26="Discount")*(Missions!$A$6:$A$26="Silver")*(Missions!$D$6:$D$26&lt;&gt;"One-time")*'Affiliate Projection'!B13*Missions!$E$6:$E$26*Missions!$J$6:$J$26)+SUMPRODUCT((Missions!$F$6:$F$26="Discount")*(Missions!$A$6:$A$26="Gold")*(Missions!$D$6:$D$26="One-time")*'Affiliate Projection'!B23*Missions!$E$6:$E$26*Missions!$J$6:$J$26)+SUMPRODUCT((Missions!$F$6:$F$26="Discount")*(Missions!$A$6:$A$26="Gold")*(Missions!$D$6:$D$26&lt;&gt;"One-time")*'Affiliate Projection'!B14*Missions!$E$6:$E$26*Missions!$J$6:$J$26)+SUMPRODUCT((Missions!$F$6:$F$26="Discount")*(Missions!$A$6:$A$26="Platinum")*(Missions!$D$6:$D$26="One-time")*'Affiliate Projection'!B24*Missions!$E$6:$E$26*Missions!$J$6:$J$26)+SUMPRODUCT((Missions!$F$6:$F$26="Discount")*(Missions!$A$6:$A$26="Platinum")*(Missions!$D$6:$D$26&lt;&gt;"One-time")*'Affiliate Projection'!B15*Missions!$E$6:$E$26*Missions!$J$6:$J$26)+SUMPRODUCT((Missions!$F$6:$F$26="Discount")*(Missions!$A$6:$A$26="Diamond")*(Missions!$D$6:$D$26="One-time")*'Affiliate Projection'!B25*Missions!$E$6:$E$26*Missions!$J$6:$J$26)+SUMPRODUCT((Missions!$F$6:$F$26="Discount")*(Missions!$A$6:$A$26="Diamond")*(Missions!$D$6:$D$26&lt;&gt;"One-time")*'Affiliate Projection'!B16*Missions!$E$6:$E$26*Missions!$J$6:$J$26)</f>
        <v/>
      </c>
      <c r="C9" s="15">
        <f>SUMPRODUCT((Missions!$F$6:$F$26="Discount")*(Missions!$A$6:$A$26="Bronze")*(Missions!$D$6:$D$26="One-time")*'Affiliate Projection'!C21*Missions!$E$6:$E$26*Missions!$J$6:$J$26)+SUMPRODUCT((Missions!$F$6:$F$26="Discount")*(Missions!$A$6:$A$26="Bronze")*(Missions!$D$6:$D$26&lt;&gt;"One-time")*'Affiliate Projection'!C12*Missions!$E$6:$E$26*Missions!$J$6:$J$26)+SUMPRODUCT((Missions!$F$6:$F$26="Discount")*(Missions!$A$6:$A$26="Silver")*(Missions!$D$6:$D$26="One-time")*'Affiliate Projection'!C22*Missions!$E$6:$E$26*Missions!$J$6:$J$26)+SUMPRODUCT((Missions!$F$6:$F$26="Discount")*(Missions!$A$6:$A$26="Silver")*(Missions!$D$6:$D$26&lt;&gt;"One-time")*'Affiliate Projection'!C13*Missions!$E$6:$E$26*Missions!$J$6:$J$26)+SUMPRODUCT((Missions!$F$6:$F$26="Discount")*(Missions!$A$6:$A$26="Gold")*(Missions!$D$6:$D$26="One-time")*'Affiliate Projection'!C23*Missions!$E$6:$E$26*Missions!$J$6:$J$26)+SUMPRODUCT((Missions!$F$6:$F$26="Discount")*(Missions!$A$6:$A$26="Gold")*(Missions!$D$6:$D$26&lt;&gt;"One-time")*'Affiliate Projection'!C14*Missions!$E$6:$E$26*Missions!$J$6:$J$26)+SUMPRODUCT((Missions!$F$6:$F$26="Discount")*(Missions!$A$6:$A$26="Platinum")*(Missions!$D$6:$D$26="One-time")*'Affiliate Projection'!C24*Missions!$E$6:$E$26*Missions!$J$6:$J$26)+SUMPRODUCT((Missions!$F$6:$F$26="Discount")*(Missions!$A$6:$A$26="Platinum")*(Missions!$D$6:$D$26&lt;&gt;"One-time")*'Affiliate Projection'!C15*Missions!$E$6:$E$26*Missions!$J$6:$J$26)+SUMPRODUCT((Missions!$F$6:$F$26="Discount")*(Missions!$A$6:$A$26="Diamond")*(Missions!$D$6:$D$26="One-time")*'Affiliate Projection'!C25*Missions!$E$6:$E$26*Missions!$J$6:$J$26)+SUMPRODUCT((Missions!$F$6:$F$26="Discount")*(Missions!$A$6:$A$26="Diamond")*(Missions!$D$6:$D$26&lt;&gt;"One-time")*'Affiliate Projection'!C16*Missions!$E$6:$E$26*Missions!$J$6:$J$26)</f>
        <v/>
      </c>
      <c r="D9" s="15">
        <f>SUMPRODUCT((Missions!$F$6:$F$26="Discount")*(Missions!$A$6:$A$26="Bronze")*(Missions!$D$6:$D$26="One-time")*'Affiliate Projection'!D21*Missions!$E$6:$E$26*Missions!$J$6:$J$26)+SUMPRODUCT((Missions!$F$6:$F$26="Discount")*(Missions!$A$6:$A$26="Bronze")*(Missions!$D$6:$D$26&lt;&gt;"One-time")*'Affiliate Projection'!D12*Missions!$E$6:$E$26*Missions!$J$6:$J$26)+SUMPRODUCT((Missions!$F$6:$F$26="Discount")*(Missions!$A$6:$A$26="Silver")*(Missions!$D$6:$D$26="One-time")*'Affiliate Projection'!D22*Missions!$E$6:$E$26*Missions!$J$6:$J$26)+SUMPRODUCT((Missions!$F$6:$F$26="Discount")*(Missions!$A$6:$A$26="Silver")*(Missions!$D$6:$D$26&lt;&gt;"One-time")*'Affiliate Projection'!D13*Missions!$E$6:$E$26*Missions!$J$6:$J$26)+SUMPRODUCT((Missions!$F$6:$F$26="Discount")*(Missions!$A$6:$A$26="Gold")*(Missions!$D$6:$D$26="One-time")*'Affiliate Projection'!D23*Missions!$E$6:$E$26*Missions!$J$6:$J$26)+SUMPRODUCT((Missions!$F$6:$F$26="Discount")*(Missions!$A$6:$A$26="Gold")*(Missions!$D$6:$D$26&lt;&gt;"One-time")*'Affiliate Projection'!D14*Missions!$E$6:$E$26*Missions!$J$6:$J$26)+SUMPRODUCT((Missions!$F$6:$F$26="Discount")*(Missions!$A$6:$A$26="Platinum")*(Missions!$D$6:$D$26="One-time")*'Affiliate Projection'!D24*Missions!$E$6:$E$26*Missions!$J$6:$J$26)+SUMPRODUCT((Missions!$F$6:$F$26="Discount")*(Missions!$A$6:$A$26="Platinum")*(Missions!$D$6:$D$26&lt;&gt;"One-time")*'Affiliate Projection'!D15*Missions!$E$6:$E$26*Missions!$J$6:$J$26)+SUMPRODUCT((Missions!$F$6:$F$26="Discount")*(Missions!$A$6:$A$26="Diamond")*(Missions!$D$6:$D$26="One-time")*'Affiliate Projection'!D25*Missions!$E$6:$E$26*Missions!$J$6:$J$26)+SUMPRODUCT((Missions!$F$6:$F$26="Discount")*(Missions!$A$6:$A$26="Diamond")*(Missions!$D$6:$D$26&lt;&gt;"One-time")*'Affiliate Projection'!D16*Missions!$E$6:$E$26*Missions!$J$6:$J$26)</f>
        <v/>
      </c>
      <c r="E9" s="15">
        <f>SUMPRODUCT((Missions!$F$6:$F$26="Discount")*(Missions!$A$6:$A$26="Bronze")*(Missions!$D$6:$D$26="One-time")*'Affiliate Projection'!E21*Missions!$E$6:$E$26*Missions!$J$6:$J$26)+SUMPRODUCT((Missions!$F$6:$F$26="Discount")*(Missions!$A$6:$A$26="Bronze")*(Missions!$D$6:$D$26&lt;&gt;"One-time")*'Affiliate Projection'!E12*Missions!$E$6:$E$26*Missions!$J$6:$J$26)+SUMPRODUCT((Missions!$F$6:$F$26="Discount")*(Missions!$A$6:$A$26="Silver")*(Missions!$D$6:$D$26="One-time")*'Affiliate Projection'!E22*Missions!$E$6:$E$26*Missions!$J$6:$J$26)+SUMPRODUCT((Missions!$F$6:$F$26="Discount")*(Missions!$A$6:$A$26="Silver")*(Missions!$D$6:$D$26&lt;&gt;"One-time")*'Affiliate Projection'!E13*Missions!$E$6:$E$26*Missions!$J$6:$J$26)+SUMPRODUCT((Missions!$F$6:$F$26="Discount")*(Missions!$A$6:$A$26="Gold")*(Missions!$D$6:$D$26="One-time")*'Affiliate Projection'!E23*Missions!$E$6:$E$26*Missions!$J$6:$J$26)+SUMPRODUCT((Missions!$F$6:$F$26="Discount")*(Missions!$A$6:$A$26="Gold")*(Missions!$D$6:$D$26&lt;&gt;"One-time")*'Affiliate Projection'!E14*Missions!$E$6:$E$26*Missions!$J$6:$J$26)+SUMPRODUCT((Missions!$F$6:$F$26="Discount")*(Missions!$A$6:$A$26="Platinum")*(Missions!$D$6:$D$26="One-time")*'Affiliate Projection'!E24*Missions!$E$6:$E$26*Missions!$J$6:$J$26)+SUMPRODUCT((Missions!$F$6:$F$26="Discount")*(Missions!$A$6:$A$26="Platinum")*(Missions!$D$6:$D$26&lt;&gt;"One-time")*'Affiliate Projection'!E15*Missions!$E$6:$E$26*Missions!$J$6:$J$26)+SUMPRODUCT((Missions!$F$6:$F$26="Discount")*(Missions!$A$6:$A$26="Diamond")*(Missions!$D$6:$D$26="One-time")*'Affiliate Projection'!E25*Missions!$E$6:$E$26*Missions!$J$6:$J$26)+SUMPRODUCT((Missions!$F$6:$F$26="Discount")*(Missions!$A$6:$A$26="Diamond")*(Missions!$D$6:$D$26&lt;&gt;"One-time")*'Affiliate Projection'!E16*Missions!$E$6:$E$26*Missions!$J$6:$J$26)</f>
        <v/>
      </c>
      <c r="F9" s="15">
        <f>SUMPRODUCT((Missions!$F$6:$F$26="Discount")*(Missions!$A$6:$A$26="Bronze")*(Missions!$D$6:$D$26="One-time")*'Affiliate Projection'!F21*Missions!$E$6:$E$26*Missions!$J$6:$J$26)+SUMPRODUCT((Missions!$F$6:$F$26="Discount")*(Missions!$A$6:$A$26="Bronze")*(Missions!$D$6:$D$26&lt;&gt;"One-time")*'Affiliate Projection'!F12*Missions!$E$6:$E$26*Missions!$J$6:$J$26)+SUMPRODUCT((Missions!$F$6:$F$26="Discount")*(Missions!$A$6:$A$26="Silver")*(Missions!$D$6:$D$26="One-time")*'Affiliate Projection'!F22*Missions!$E$6:$E$26*Missions!$J$6:$J$26)+SUMPRODUCT((Missions!$F$6:$F$26="Discount")*(Missions!$A$6:$A$26="Silver")*(Missions!$D$6:$D$26&lt;&gt;"One-time")*'Affiliate Projection'!F13*Missions!$E$6:$E$26*Missions!$J$6:$J$26)+SUMPRODUCT((Missions!$F$6:$F$26="Discount")*(Missions!$A$6:$A$26="Gold")*(Missions!$D$6:$D$26="One-time")*'Affiliate Projection'!F23*Missions!$E$6:$E$26*Missions!$J$6:$J$26)+SUMPRODUCT((Missions!$F$6:$F$26="Discount")*(Missions!$A$6:$A$26="Gold")*(Missions!$D$6:$D$26&lt;&gt;"One-time")*'Affiliate Projection'!F14*Missions!$E$6:$E$26*Missions!$J$6:$J$26)+SUMPRODUCT((Missions!$F$6:$F$26="Discount")*(Missions!$A$6:$A$26="Platinum")*(Missions!$D$6:$D$26="One-time")*'Affiliate Projection'!F24*Missions!$E$6:$E$26*Missions!$J$6:$J$26)+SUMPRODUCT((Missions!$F$6:$F$26="Discount")*(Missions!$A$6:$A$26="Platinum")*(Missions!$D$6:$D$26&lt;&gt;"One-time")*'Affiliate Projection'!F15*Missions!$E$6:$E$26*Missions!$J$6:$J$26)+SUMPRODUCT((Missions!$F$6:$F$26="Discount")*(Missions!$A$6:$A$26="Diamond")*(Missions!$D$6:$D$26="One-time")*'Affiliate Projection'!F25*Missions!$E$6:$E$26*Missions!$J$6:$J$26)+SUMPRODUCT((Missions!$F$6:$F$26="Discount")*(Missions!$A$6:$A$26="Diamond")*(Missions!$D$6:$D$26&lt;&gt;"One-time")*'Affiliate Projection'!F16*Missions!$E$6:$E$26*Missions!$J$6:$J$26)</f>
        <v/>
      </c>
      <c r="G9" s="15">
        <f>SUMPRODUCT((Missions!$F$6:$F$26="Discount")*(Missions!$A$6:$A$26="Bronze")*(Missions!$D$6:$D$26="One-time")*'Affiliate Projection'!G21*Missions!$E$6:$E$26*Missions!$J$6:$J$26)+SUMPRODUCT((Missions!$F$6:$F$26="Discount")*(Missions!$A$6:$A$26="Bronze")*(Missions!$D$6:$D$26&lt;&gt;"One-time")*'Affiliate Projection'!G12*Missions!$E$6:$E$26*Missions!$J$6:$J$26)+SUMPRODUCT((Missions!$F$6:$F$26="Discount")*(Missions!$A$6:$A$26="Silver")*(Missions!$D$6:$D$26="One-time")*'Affiliate Projection'!G22*Missions!$E$6:$E$26*Missions!$J$6:$J$26)+SUMPRODUCT((Missions!$F$6:$F$26="Discount")*(Missions!$A$6:$A$26="Silver")*(Missions!$D$6:$D$26&lt;&gt;"One-time")*'Affiliate Projection'!G13*Missions!$E$6:$E$26*Missions!$J$6:$J$26)+SUMPRODUCT((Missions!$F$6:$F$26="Discount")*(Missions!$A$6:$A$26="Gold")*(Missions!$D$6:$D$26="One-time")*'Affiliate Projection'!G23*Missions!$E$6:$E$26*Missions!$J$6:$J$26)+SUMPRODUCT((Missions!$F$6:$F$26="Discount")*(Missions!$A$6:$A$26="Gold")*(Missions!$D$6:$D$26&lt;&gt;"One-time")*'Affiliate Projection'!G14*Missions!$E$6:$E$26*Missions!$J$6:$J$26)+SUMPRODUCT((Missions!$F$6:$F$26="Discount")*(Missions!$A$6:$A$26="Platinum")*(Missions!$D$6:$D$26="One-time")*'Affiliate Projection'!G24*Missions!$E$6:$E$26*Missions!$J$6:$J$26)+SUMPRODUCT((Missions!$F$6:$F$26="Discount")*(Missions!$A$6:$A$26="Platinum")*(Missions!$D$6:$D$26&lt;&gt;"One-time")*'Affiliate Projection'!G15*Missions!$E$6:$E$26*Missions!$J$6:$J$26)+SUMPRODUCT((Missions!$F$6:$F$26="Discount")*(Missions!$A$6:$A$26="Diamond")*(Missions!$D$6:$D$26="One-time")*'Affiliate Projection'!G25*Missions!$E$6:$E$26*Missions!$J$6:$J$26)+SUMPRODUCT((Missions!$F$6:$F$26="Discount")*(Missions!$A$6:$A$26="Diamond")*(Missions!$D$6:$D$26&lt;&gt;"One-time")*'Affiliate Projection'!G16*Missions!$E$6:$E$26*Missions!$J$6:$J$26)</f>
        <v/>
      </c>
      <c r="H9" s="15">
        <f>SUMPRODUCT((Missions!$F$6:$F$26="Discount")*(Missions!$A$6:$A$26="Bronze")*(Missions!$D$6:$D$26="One-time")*'Affiliate Projection'!H21*Missions!$E$6:$E$26*Missions!$J$6:$J$26)+SUMPRODUCT((Missions!$F$6:$F$26="Discount")*(Missions!$A$6:$A$26="Bronze")*(Missions!$D$6:$D$26&lt;&gt;"One-time")*'Affiliate Projection'!H12*Missions!$E$6:$E$26*Missions!$J$6:$J$26)+SUMPRODUCT((Missions!$F$6:$F$26="Discount")*(Missions!$A$6:$A$26="Silver")*(Missions!$D$6:$D$26="One-time")*'Affiliate Projection'!H22*Missions!$E$6:$E$26*Missions!$J$6:$J$26)+SUMPRODUCT((Missions!$F$6:$F$26="Discount")*(Missions!$A$6:$A$26="Silver")*(Missions!$D$6:$D$26&lt;&gt;"One-time")*'Affiliate Projection'!H13*Missions!$E$6:$E$26*Missions!$J$6:$J$26)+SUMPRODUCT((Missions!$F$6:$F$26="Discount")*(Missions!$A$6:$A$26="Gold")*(Missions!$D$6:$D$26="One-time")*'Affiliate Projection'!H23*Missions!$E$6:$E$26*Missions!$J$6:$J$26)+SUMPRODUCT((Missions!$F$6:$F$26="Discount")*(Missions!$A$6:$A$26="Gold")*(Missions!$D$6:$D$26&lt;&gt;"One-time")*'Affiliate Projection'!H14*Missions!$E$6:$E$26*Missions!$J$6:$J$26)+SUMPRODUCT((Missions!$F$6:$F$26="Discount")*(Missions!$A$6:$A$26="Platinum")*(Missions!$D$6:$D$26="One-time")*'Affiliate Projection'!H24*Missions!$E$6:$E$26*Missions!$J$6:$J$26)+SUMPRODUCT((Missions!$F$6:$F$26="Discount")*(Missions!$A$6:$A$26="Platinum")*(Missions!$D$6:$D$26&lt;&gt;"One-time")*'Affiliate Projection'!H15*Missions!$E$6:$E$26*Missions!$J$6:$J$26)+SUMPRODUCT((Missions!$F$6:$F$26="Discount")*(Missions!$A$6:$A$26="Diamond")*(Missions!$D$6:$D$26="One-time")*'Affiliate Projection'!H25*Missions!$E$6:$E$26*Missions!$J$6:$J$26)+SUMPRODUCT((Missions!$F$6:$F$26="Discount")*(Missions!$A$6:$A$26="Diamond")*(Missions!$D$6:$D$26&lt;&gt;"One-time")*'Affiliate Projection'!H16*Missions!$E$6:$E$26*Missions!$J$6:$J$26)</f>
        <v/>
      </c>
      <c r="I9" s="15">
        <f>SUMPRODUCT((Missions!$F$6:$F$26="Discount")*(Missions!$A$6:$A$26="Bronze")*(Missions!$D$6:$D$26="One-time")*'Affiliate Projection'!I21*Missions!$E$6:$E$26*Missions!$J$6:$J$26)+SUMPRODUCT((Missions!$F$6:$F$26="Discount")*(Missions!$A$6:$A$26="Bronze")*(Missions!$D$6:$D$26&lt;&gt;"One-time")*'Affiliate Projection'!I12*Missions!$E$6:$E$26*Missions!$J$6:$J$26)+SUMPRODUCT((Missions!$F$6:$F$26="Discount")*(Missions!$A$6:$A$26="Silver")*(Missions!$D$6:$D$26="One-time")*'Affiliate Projection'!I22*Missions!$E$6:$E$26*Missions!$J$6:$J$26)+SUMPRODUCT((Missions!$F$6:$F$26="Discount")*(Missions!$A$6:$A$26="Silver")*(Missions!$D$6:$D$26&lt;&gt;"One-time")*'Affiliate Projection'!I13*Missions!$E$6:$E$26*Missions!$J$6:$J$26)+SUMPRODUCT((Missions!$F$6:$F$26="Discount")*(Missions!$A$6:$A$26="Gold")*(Missions!$D$6:$D$26="One-time")*'Affiliate Projection'!I23*Missions!$E$6:$E$26*Missions!$J$6:$J$26)+SUMPRODUCT((Missions!$F$6:$F$26="Discount")*(Missions!$A$6:$A$26="Gold")*(Missions!$D$6:$D$26&lt;&gt;"One-time")*'Affiliate Projection'!I14*Missions!$E$6:$E$26*Missions!$J$6:$J$26)+SUMPRODUCT((Missions!$F$6:$F$26="Discount")*(Missions!$A$6:$A$26="Platinum")*(Missions!$D$6:$D$26="One-time")*'Affiliate Projection'!I24*Missions!$E$6:$E$26*Missions!$J$6:$J$26)+SUMPRODUCT((Missions!$F$6:$F$26="Discount")*(Missions!$A$6:$A$26="Platinum")*(Missions!$D$6:$D$26&lt;&gt;"One-time")*'Affiliate Projection'!I15*Missions!$E$6:$E$26*Missions!$J$6:$J$26)+SUMPRODUCT((Missions!$F$6:$F$26="Discount")*(Missions!$A$6:$A$26="Diamond")*(Missions!$D$6:$D$26="One-time")*'Affiliate Projection'!I25*Missions!$E$6:$E$26*Missions!$J$6:$J$26)+SUMPRODUCT((Missions!$F$6:$F$26="Discount")*(Missions!$A$6:$A$26="Diamond")*(Missions!$D$6:$D$26&lt;&gt;"One-time")*'Affiliate Projection'!I16*Missions!$E$6:$E$26*Missions!$J$6:$J$26)</f>
        <v/>
      </c>
      <c r="J9" s="15">
        <f>SUMPRODUCT((Missions!$F$6:$F$26="Discount")*(Missions!$A$6:$A$26="Bronze")*(Missions!$D$6:$D$26="One-time")*'Affiliate Projection'!J21*Missions!$E$6:$E$26*Missions!$J$6:$J$26)+SUMPRODUCT((Missions!$F$6:$F$26="Discount")*(Missions!$A$6:$A$26="Bronze")*(Missions!$D$6:$D$26&lt;&gt;"One-time")*'Affiliate Projection'!J12*Missions!$E$6:$E$26*Missions!$J$6:$J$26)+SUMPRODUCT((Missions!$F$6:$F$26="Discount")*(Missions!$A$6:$A$26="Silver")*(Missions!$D$6:$D$26="One-time")*'Affiliate Projection'!J22*Missions!$E$6:$E$26*Missions!$J$6:$J$26)+SUMPRODUCT((Missions!$F$6:$F$26="Discount")*(Missions!$A$6:$A$26="Silver")*(Missions!$D$6:$D$26&lt;&gt;"One-time")*'Affiliate Projection'!J13*Missions!$E$6:$E$26*Missions!$J$6:$J$26)+SUMPRODUCT((Missions!$F$6:$F$26="Discount")*(Missions!$A$6:$A$26="Gold")*(Missions!$D$6:$D$26="One-time")*'Affiliate Projection'!J23*Missions!$E$6:$E$26*Missions!$J$6:$J$26)+SUMPRODUCT((Missions!$F$6:$F$26="Discount")*(Missions!$A$6:$A$26="Gold")*(Missions!$D$6:$D$26&lt;&gt;"One-time")*'Affiliate Projection'!J14*Missions!$E$6:$E$26*Missions!$J$6:$J$26)+SUMPRODUCT((Missions!$F$6:$F$26="Discount")*(Missions!$A$6:$A$26="Platinum")*(Missions!$D$6:$D$26="One-time")*'Affiliate Projection'!J24*Missions!$E$6:$E$26*Missions!$J$6:$J$26)+SUMPRODUCT((Missions!$F$6:$F$26="Discount")*(Missions!$A$6:$A$26="Platinum")*(Missions!$D$6:$D$26&lt;&gt;"One-time")*'Affiliate Projection'!J15*Missions!$E$6:$E$26*Missions!$J$6:$J$26)+SUMPRODUCT((Missions!$F$6:$F$26="Discount")*(Missions!$A$6:$A$26="Diamond")*(Missions!$D$6:$D$26="One-time")*'Affiliate Projection'!J25*Missions!$E$6:$E$26*Missions!$J$6:$J$26)+SUMPRODUCT((Missions!$F$6:$F$26="Discount")*(Missions!$A$6:$A$26="Diamond")*(Missions!$D$6:$D$26&lt;&gt;"One-time")*'Affiliate Projection'!J16*Missions!$E$6:$E$26*Missions!$J$6:$J$26)</f>
        <v/>
      </c>
      <c r="K9" s="15">
        <f>SUMPRODUCT((Missions!$F$6:$F$26="Discount")*(Missions!$A$6:$A$26="Bronze")*(Missions!$D$6:$D$26="One-time")*'Affiliate Projection'!K21*Missions!$E$6:$E$26*Missions!$J$6:$J$26)+SUMPRODUCT((Missions!$F$6:$F$26="Discount")*(Missions!$A$6:$A$26="Bronze")*(Missions!$D$6:$D$26&lt;&gt;"One-time")*'Affiliate Projection'!K12*Missions!$E$6:$E$26*Missions!$J$6:$J$26)+SUMPRODUCT((Missions!$F$6:$F$26="Discount")*(Missions!$A$6:$A$26="Silver")*(Missions!$D$6:$D$26="One-time")*'Affiliate Projection'!K22*Missions!$E$6:$E$26*Missions!$J$6:$J$26)+SUMPRODUCT((Missions!$F$6:$F$26="Discount")*(Missions!$A$6:$A$26="Silver")*(Missions!$D$6:$D$26&lt;&gt;"One-time")*'Affiliate Projection'!K13*Missions!$E$6:$E$26*Missions!$J$6:$J$26)+SUMPRODUCT((Missions!$F$6:$F$26="Discount")*(Missions!$A$6:$A$26="Gold")*(Missions!$D$6:$D$26="One-time")*'Affiliate Projection'!K23*Missions!$E$6:$E$26*Missions!$J$6:$J$26)+SUMPRODUCT((Missions!$F$6:$F$26="Discount")*(Missions!$A$6:$A$26="Gold")*(Missions!$D$6:$D$26&lt;&gt;"One-time")*'Affiliate Projection'!K14*Missions!$E$6:$E$26*Missions!$J$6:$J$26)+SUMPRODUCT((Missions!$F$6:$F$26="Discount")*(Missions!$A$6:$A$26="Platinum")*(Missions!$D$6:$D$26="One-time")*'Affiliate Projection'!K24*Missions!$E$6:$E$26*Missions!$J$6:$J$26)+SUMPRODUCT((Missions!$F$6:$F$26="Discount")*(Missions!$A$6:$A$26="Platinum")*(Missions!$D$6:$D$26&lt;&gt;"One-time")*'Affiliate Projection'!K15*Missions!$E$6:$E$26*Missions!$J$6:$J$26)+SUMPRODUCT((Missions!$F$6:$F$26="Discount")*(Missions!$A$6:$A$26="Diamond")*(Missions!$D$6:$D$26="One-time")*'Affiliate Projection'!K25*Missions!$E$6:$E$26*Missions!$J$6:$J$26)+SUMPRODUCT((Missions!$F$6:$F$26="Discount")*(Missions!$A$6:$A$26="Diamond")*(Missions!$D$6:$D$26&lt;&gt;"One-time")*'Affiliate Projection'!K16*Missions!$E$6:$E$26*Missions!$J$6:$J$26)</f>
        <v/>
      </c>
      <c r="L9" s="15">
        <f>SUMPRODUCT((Missions!$F$6:$F$26="Discount")*(Missions!$A$6:$A$26="Bronze")*(Missions!$D$6:$D$26="One-time")*'Affiliate Projection'!L21*Missions!$E$6:$E$26*Missions!$J$6:$J$26)+SUMPRODUCT((Missions!$F$6:$F$26="Discount")*(Missions!$A$6:$A$26="Bronze")*(Missions!$D$6:$D$26&lt;&gt;"One-time")*'Affiliate Projection'!L12*Missions!$E$6:$E$26*Missions!$J$6:$J$26)+SUMPRODUCT((Missions!$F$6:$F$26="Discount")*(Missions!$A$6:$A$26="Silver")*(Missions!$D$6:$D$26="One-time")*'Affiliate Projection'!L22*Missions!$E$6:$E$26*Missions!$J$6:$J$26)+SUMPRODUCT((Missions!$F$6:$F$26="Discount")*(Missions!$A$6:$A$26="Silver")*(Missions!$D$6:$D$26&lt;&gt;"One-time")*'Affiliate Projection'!L13*Missions!$E$6:$E$26*Missions!$J$6:$J$26)+SUMPRODUCT((Missions!$F$6:$F$26="Discount")*(Missions!$A$6:$A$26="Gold")*(Missions!$D$6:$D$26="One-time")*'Affiliate Projection'!L23*Missions!$E$6:$E$26*Missions!$J$6:$J$26)+SUMPRODUCT((Missions!$F$6:$F$26="Discount")*(Missions!$A$6:$A$26="Gold")*(Missions!$D$6:$D$26&lt;&gt;"One-time")*'Affiliate Projection'!L14*Missions!$E$6:$E$26*Missions!$J$6:$J$26)+SUMPRODUCT((Missions!$F$6:$F$26="Discount")*(Missions!$A$6:$A$26="Platinum")*(Missions!$D$6:$D$26="One-time")*'Affiliate Projection'!L24*Missions!$E$6:$E$26*Missions!$J$6:$J$26)+SUMPRODUCT((Missions!$F$6:$F$26="Discount")*(Missions!$A$6:$A$26="Platinum")*(Missions!$D$6:$D$26&lt;&gt;"One-time")*'Affiliate Projection'!L15*Missions!$E$6:$E$26*Missions!$J$6:$J$26)+SUMPRODUCT((Missions!$F$6:$F$26="Discount")*(Missions!$A$6:$A$26="Diamond")*(Missions!$D$6:$D$26="One-time")*'Affiliate Projection'!L25*Missions!$E$6:$E$26*Missions!$J$6:$J$26)+SUMPRODUCT((Missions!$F$6:$F$26="Discount")*(Missions!$A$6:$A$26="Diamond")*(Missions!$D$6:$D$26&lt;&gt;"One-time")*'Affiliate Projection'!L16*Missions!$E$6:$E$26*Missions!$J$6:$J$26)</f>
        <v/>
      </c>
      <c r="M9" s="15">
        <f>SUMPRODUCT((Missions!$F$6:$F$26="Discount")*(Missions!$A$6:$A$26="Bronze")*(Missions!$D$6:$D$26="One-time")*'Affiliate Projection'!M21*Missions!$E$6:$E$26*Missions!$J$6:$J$26)+SUMPRODUCT((Missions!$F$6:$F$26="Discount")*(Missions!$A$6:$A$26="Bronze")*(Missions!$D$6:$D$26&lt;&gt;"One-time")*'Affiliate Projection'!M12*Missions!$E$6:$E$26*Missions!$J$6:$J$26)+SUMPRODUCT((Missions!$F$6:$F$26="Discount")*(Missions!$A$6:$A$26="Silver")*(Missions!$D$6:$D$26="One-time")*'Affiliate Projection'!M22*Missions!$E$6:$E$26*Missions!$J$6:$J$26)+SUMPRODUCT((Missions!$F$6:$F$26="Discount")*(Missions!$A$6:$A$26="Silver")*(Missions!$D$6:$D$26&lt;&gt;"One-time")*'Affiliate Projection'!M13*Missions!$E$6:$E$26*Missions!$J$6:$J$26)+SUMPRODUCT((Missions!$F$6:$F$26="Discount")*(Missions!$A$6:$A$26="Gold")*(Missions!$D$6:$D$26="One-time")*'Affiliate Projection'!M23*Missions!$E$6:$E$26*Missions!$J$6:$J$26)+SUMPRODUCT((Missions!$F$6:$F$26="Discount")*(Missions!$A$6:$A$26="Gold")*(Missions!$D$6:$D$26&lt;&gt;"One-time")*'Affiliate Projection'!M14*Missions!$E$6:$E$26*Missions!$J$6:$J$26)+SUMPRODUCT((Missions!$F$6:$F$26="Discount")*(Missions!$A$6:$A$26="Platinum")*(Missions!$D$6:$D$26="One-time")*'Affiliate Projection'!M24*Missions!$E$6:$E$26*Missions!$J$6:$J$26)+SUMPRODUCT((Missions!$F$6:$F$26="Discount")*(Missions!$A$6:$A$26="Platinum")*(Missions!$D$6:$D$26&lt;&gt;"One-time")*'Affiliate Projection'!M15*Missions!$E$6:$E$26*Missions!$J$6:$J$26)+SUMPRODUCT((Missions!$F$6:$F$26="Discount")*(Missions!$A$6:$A$26="Diamond")*(Missions!$D$6:$D$26="One-time")*'Affiliate Projection'!M25*Missions!$E$6:$E$26*Missions!$J$6:$J$26)+SUMPRODUCT((Missions!$F$6:$F$26="Discount")*(Missions!$A$6:$A$26="Diamond")*(Missions!$D$6:$D$26&lt;&gt;"One-time")*'Affiliate Projection'!M16*Missions!$E$6:$E$26*Missions!$J$6:$J$26)</f>
        <v/>
      </c>
    </row>
    <row r="10">
      <c r="A10" s="14" t="inlineStr">
        <is>
          <t>Total CM1 Costs</t>
        </is>
      </c>
      <c r="B10" s="16">
        <f>SUM(B5:B9)</f>
        <v/>
      </c>
      <c r="C10" s="16">
        <f>SUM(C5:C9)</f>
        <v/>
      </c>
      <c r="D10" s="16">
        <f>SUM(D5:D9)</f>
        <v/>
      </c>
      <c r="E10" s="16">
        <f>SUM(E5:E9)</f>
        <v/>
      </c>
      <c r="F10" s="16">
        <f>SUM(F5:F9)</f>
        <v/>
      </c>
      <c r="G10" s="16">
        <f>SUM(G5:G9)</f>
        <v/>
      </c>
      <c r="H10" s="16">
        <f>SUM(H5:H9)</f>
        <v/>
      </c>
      <c r="I10" s="16">
        <f>SUM(I5:I9)</f>
        <v/>
      </c>
      <c r="J10" s="16">
        <f>SUM(J5:J9)</f>
        <v/>
      </c>
      <c r="K10" s="16">
        <f>SUM(K5:K9)</f>
        <v/>
      </c>
      <c r="L10" s="16">
        <f>SUM(L5:L9)</f>
        <v/>
      </c>
      <c r="M10" s="16">
        <f>SUM(M5:M9)</f>
        <v/>
      </c>
    </row>
    <row r="11" ht="18.75" customHeight="1" s="32">
      <c r="A11" s="14" t="n"/>
    </row>
    <row r="12" ht="18.75" customHeight="1" s="32">
      <c r="A12" s="1" t="inlineStr">
        <is>
          <t>--- LOYALTY PROGRAM COSTS ---</t>
        </is>
      </c>
    </row>
    <row r="13">
      <c r="A13" s="14" t="inlineStr">
        <is>
          <t>Gift Card Cost (Welcome)</t>
        </is>
      </c>
      <c r="B13" s="15">
        <f>'Affiliate Projection'!B21*'VIP Levels'!$E$14*'VIP Levels'!$F$14+'Affiliate Projection'!B22*'VIP Levels'!$E$15*'VIP Levels'!$F$15+'Affiliate Projection'!B23*'VIP Levels'!$E$16*'VIP Levels'!$F$16+'Affiliate Projection'!B24*'VIP Levels'!$E$17*'VIP Levels'!$F$17+'Affiliate Projection'!B25*'VIP Levels'!$E$18*'VIP Levels'!$F$18</f>
        <v/>
      </c>
      <c r="C13" s="15">
        <f>'Affiliate Projection'!C21*'VIP Levels'!$E$14*'VIP Levels'!$F$14+'Affiliate Projection'!C22*'VIP Levels'!$E$15*'VIP Levels'!$F$15+'Affiliate Projection'!C23*'VIP Levels'!$E$16*'VIP Levels'!$F$16+'Affiliate Projection'!C24*'VIP Levels'!$E$17*'VIP Levels'!$F$17+'Affiliate Projection'!C25*'VIP Levels'!$E$18*'VIP Levels'!$F$18</f>
        <v/>
      </c>
      <c r="D13" s="15">
        <f>'Affiliate Projection'!D21*'VIP Levels'!$E$14*'VIP Levels'!$F$14+'Affiliate Projection'!D22*'VIP Levels'!$E$15*'VIP Levels'!$F$15+'Affiliate Projection'!D23*'VIP Levels'!$E$16*'VIP Levels'!$F$16+'Affiliate Projection'!D24*'VIP Levels'!$E$17*'VIP Levels'!$F$17+'Affiliate Projection'!D25*'VIP Levels'!$E$18*'VIP Levels'!$F$18</f>
        <v/>
      </c>
      <c r="E13" s="15">
        <f>'Affiliate Projection'!E21*'VIP Levels'!$E$14*'VIP Levels'!$F$14+'Affiliate Projection'!E22*'VIP Levels'!$E$15*'VIP Levels'!$F$15+'Affiliate Projection'!E23*'VIP Levels'!$E$16*'VIP Levels'!$F$16+'Affiliate Projection'!E24*'VIP Levels'!$E$17*'VIP Levels'!$F$17+'Affiliate Projection'!E25*'VIP Levels'!$E$18*'VIP Levels'!$F$18</f>
        <v/>
      </c>
      <c r="F13" s="15">
        <f>'Affiliate Projection'!F21*'VIP Levels'!$E$14*'VIP Levels'!$F$14+'Affiliate Projection'!F22*'VIP Levels'!$E$15*'VIP Levels'!$F$15+'Affiliate Projection'!F23*'VIP Levels'!$E$16*'VIP Levels'!$F$16+'Affiliate Projection'!F24*'VIP Levels'!$E$17*'VIP Levels'!$F$17+'Affiliate Projection'!F25*'VIP Levels'!$E$18*'VIP Levels'!$F$18</f>
        <v/>
      </c>
      <c r="G13" s="15">
        <f>'Affiliate Projection'!G21*'VIP Levels'!$E$14*'VIP Levels'!$F$14+'Affiliate Projection'!G22*'VIP Levels'!$E$15*'VIP Levels'!$F$15+'Affiliate Projection'!G23*'VIP Levels'!$E$16*'VIP Levels'!$F$16+'Affiliate Projection'!G24*'VIP Levels'!$E$17*'VIP Levels'!$F$17+'Affiliate Projection'!G25*'VIP Levels'!$E$18*'VIP Levels'!$F$18</f>
        <v/>
      </c>
      <c r="H13" s="15">
        <f>'Affiliate Projection'!H21*'VIP Levels'!$E$14*'VIP Levels'!$F$14+'Affiliate Projection'!H22*'VIP Levels'!$E$15*'VIP Levels'!$F$15+'Affiliate Projection'!H23*'VIP Levels'!$E$16*'VIP Levels'!$F$16+'Affiliate Projection'!H24*'VIP Levels'!$E$17*'VIP Levels'!$F$17+'Affiliate Projection'!H25*'VIP Levels'!$E$18*'VIP Levels'!$F$18</f>
        <v/>
      </c>
      <c r="I13" s="15">
        <f>'Affiliate Projection'!I21*'VIP Levels'!$E$14*'VIP Levels'!$F$14+'Affiliate Projection'!I22*'VIP Levels'!$E$15*'VIP Levels'!$F$15+'Affiliate Projection'!I23*'VIP Levels'!$E$16*'VIP Levels'!$F$16+'Affiliate Projection'!I24*'VIP Levels'!$E$17*'VIP Levels'!$F$17+'Affiliate Projection'!I25*'VIP Levels'!$E$18*'VIP Levels'!$F$18</f>
        <v/>
      </c>
      <c r="J13" s="15">
        <f>'Affiliate Projection'!J21*'VIP Levels'!$E$14*'VIP Levels'!$F$14+'Affiliate Projection'!J22*'VIP Levels'!$E$15*'VIP Levels'!$F$15+'Affiliate Projection'!J23*'VIP Levels'!$E$16*'VIP Levels'!$F$16+'Affiliate Projection'!J24*'VIP Levels'!$E$17*'VIP Levels'!$F$17+'Affiliate Projection'!J25*'VIP Levels'!$E$18*'VIP Levels'!$F$18</f>
        <v/>
      </c>
      <c r="K13" s="15">
        <f>'Affiliate Projection'!K21*'VIP Levels'!$E$14*'VIP Levels'!$F$14+'Affiliate Projection'!K22*'VIP Levels'!$E$15*'VIP Levels'!$F$15+'Affiliate Projection'!K23*'VIP Levels'!$E$16*'VIP Levels'!$F$16+'Affiliate Projection'!K24*'VIP Levels'!$E$17*'VIP Levels'!$F$17+'Affiliate Projection'!K25*'VIP Levels'!$E$18*'VIP Levels'!$F$18</f>
        <v/>
      </c>
      <c r="L13" s="15">
        <f>'Affiliate Projection'!L21*'VIP Levels'!$E$14*'VIP Levels'!$F$14+'Affiliate Projection'!L22*'VIP Levels'!$E$15*'VIP Levels'!$F$15+'Affiliate Projection'!L23*'VIP Levels'!$E$16*'VIP Levels'!$F$16+'Affiliate Projection'!L24*'VIP Levels'!$E$17*'VIP Levels'!$F$17+'Affiliate Projection'!L25*'VIP Levels'!$E$18*'VIP Levels'!$F$18</f>
        <v/>
      </c>
      <c r="M13" s="15">
        <f>'Affiliate Projection'!M21*'VIP Levels'!$E$14*'VIP Levels'!$F$14+'Affiliate Projection'!M22*'VIP Levels'!$E$15*'VIP Levels'!$F$15+'Affiliate Projection'!M23*'VIP Levels'!$E$16*'VIP Levels'!$F$16+'Affiliate Projection'!M24*'VIP Levels'!$E$17*'VIP Levels'!$F$17+'Affiliate Projection'!M25*'VIP Levels'!$E$18*'VIP Levels'!$F$18</f>
        <v/>
      </c>
    </row>
    <row r="14">
      <c r="A14" s="14" t="inlineStr">
        <is>
          <t>Gift Card Cost (Missions)</t>
        </is>
      </c>
      <c r="B14" s="15">
        <f>SUMPRODUCT((Missions!$F$6:$F$26="Gift Card")*(Missions!$A$6:$A$26="Bronze")*(Missions!$D$6:$D$26="One-time")*'Affiliate Projection'!B21*Missions!$E$6:$E$26*Missions!$J$6:$J$26)+SUMPRODUCT((Missions!$F$6:$F$26="Gift Card")*(Missions!$A$6:$A$26="Bronze")*(Missions!$D$6:$D$26&lt;&gt;"One-time")*'Affiliate Projection'!B12*Missions!$E$6:$E$26*Missions!$J$6:$J$26)+SUMPRODUCT((Missions!$F$6:$F$26="Gift Card")*(Missions!$A$6:$A$26="Silver")*(Missions!$D$6:$D$26="One-time")*'Affiliate Projection'!B22*Missions!$E$6:$E$26*Missions!$J$6:$J$26)+SUMPRODUCT((Missions!$F$6:$F$26="Gift Card")*(Missions!$A$6:$A$26="Silver")*(Missions!$D$6:$D$26&lt;&gt;"One-time")*'Affiliate Projection'!B13*Missions!$E$6:$E$26*Missions!$J$6:$J$26)+SUMPRODUCT((Missions!$F$6:$F$26="Gift Card")*(Missions!$A$6:$A$26="Gold")*(Missions!$D$6:$D$26="One-time")*'Affiliate Projection'!B23*Missions!$E$6:$E$26*Missions!$J$6:$J$26)+SUMPRODUCT((Missions!$F$6:$F$26="Gift Card")*(Missions!$A$6:$A$26="Gold")*(Missions!$D$6:$D$26&lt;&gt;"One-time")*'Affiliate Projection'!B14*Missions!$E$6:$E$26*Missions!$J$6:$J$26)+SUMPRODUCT((Missions!$F$6:$F$26="Gift Card")*(Missions!$A$6:$A$26="Platinum")*(Missions!$D$6:$D$26="One-time")*'Affiliate Projection'!B24*Missions!$E$6:$E$26*Missions!$J$6:$J$26)+SUMPRODUCT((Missions!$F$6:$F$26="Gift Card")*(Missions!$A$6:$A$26="Platinum")*(Missions!$D$6:$D$26&lt;&gt;"One-time")*'Affiliate Projection'!B15*Missions!$E$6:$E$26*Missions!$J$6:$J$26)+SUMPRODUCT((Missions!$F$6:$F$26="Gift Card")*(Missions!$A$6:$A$26="Diamond")*(Missions!$D$6:$D$26="One-time")*'Affiliate Projection'!B25*Missions!$E$6:$E$26*Missions!$J$6:$J$26)+SUMPRODUCT((Missions!$F$6:$F$26="Gift Card")*(Missions!$A$6:$A$26="Diamond")*(Missions!$D$6:$D$26&lt;&gt;"One-time")*'Affiliate Projection'!B16*Missions!$E$6:$E$26*Missions!$J$6:$J$26)</f>
        <v/>
      </c>
      <c r="C14" s="15">
        <f>SUMPRODUCT((Missions!$F$6:$F$26="Gift Card")*(Missions!$A$6:$A$26="Bronze")*(Missions!$D$6:$D$26="One-time")*'Affiliate Projection'!C21*Missions!$E$6:$E$26*Missions!$J$6:$J$26)+SUMPRODUCT((Missions!$F$6:$F$26="Gift Card")*(Missions!$A$6:$A$26="Bronze")*(Missions!$D$6:$D$26&lt;&gt;"One-time")*'Affiliate Projection'!C12*Missions!$E$6:$E$26*Missions!$J$6:$J$26)+SUMPRODUCT((Missions!$F$6:$F$26="Gift Card")*(Missions!$A$6:$A$26="Silver")*(Missions!$D$6:$D$26="One-time")*'Affiliate Projection'!C22*Missions!$E$6:$E$26*Missions!$J$6:$J$26)+SUMPRODUCT((Missions!$F$6:$F$26="Gift Card")*(Missions!$A$6:$A$26="Silver")*(Missions!$D$6:$D$26&lt;&gt;"One-time")*'Affiliate Projection'!C13*Missions!$E$6:$E$26*Missions!$J$6:$J$26)+SUMPRODUCT((Missions!$F$6:$F$26="Gift Card")*(Missions!$A$6:$A$26="Gold")*(Missions!$D$6:$D$26="One-time")*'Affiliate Projection'!C23*Missions!$E$6:$E$26*Missions!$J$6:$J$26)+SUMPRODUCT((Missions!$F$6:$F$26="Gift Card")*(Missions!$A$6:$A$26="Gold")*(Missions!$D$6:$D$26&lt;&gt;"One-time")*'Affiliate Projection'!C14*Missions!$E$6:$E$26*Missions!$J$6:$J$26)+SUMPRODUCT((Missions!$F$6:$F$26="Gift Card")*(Missions!$A$6:$A$26="Platinum")*(Missions!$D$6:$D$26="One-time")*'Affiliate Projection'!C24*Missions!$E$6:$E$26*Missions!$J$6:$J$26)+SUMPRODUCT((Missions!$F$6:$F$26="Gift Card")*(Missions!$A$6:$A$26="Platinum")*(Missions!$D$6:$D$26&lt;&gt;"One-time")*'Affiliate Projection'!C15*Missions!$E$6:$E$26*Missions!$J$6:$J$26)+SUMPRODUCT((Missions!$F$6:$F$26="Gift Card")*(Missions!$A$6:$A$26="Diamond")*(Missions!$D$6:$D$26="One-time")*'Affiliate Projection'!C25*Missions!$E$6:$E$26*Missions!$J$6:$J$26)+SUMPRODUCT((Missions!$F$6:$F$26="Gift Card")*(Missions!$A$6:$A$26="Diamond")*(Missions!$D$6:$D$26&lt;&gt;"One-time")*'Affiliate Projection'!C16*Missions!$E$6:$E$26*Missions!$J$6:$J$26)</f>
        <v/>
      </c>
      <c r="D14" s="15">
        <f>SUMPRODUCT((Missions!$F$6:$F$26="Gift Card")*(Missions!$A$6:$A$26="Bronze")*(Missions!$D$6:$D$26="One-time")*'Affiliate Projection'!D21*Missions!$E$6:$E$26*Missions!$J$6:$J$26)+SUMPRODUCT((Missions!$F$6:$F$26="Gift Card")*(Missions!$A$6:$A$26="Bronze")*(Missions!$D$6:$D$26&lt;&gt;"One-time")*'Affiliate Projection'!D12*Missions!$E$6:$E$26*Missions!$J$6:$J$26)+SUMPRODUCT((Missions!$F$6:$F$26="Gift Card")*(Missions!$A$6:$A$26="Silver")*(Missions!$D$6:$D$26="One-time")*'Affiliate Projection'!D22*Missions!$E$6:$E$26*Missions!$J$6:$J$26)+SUMPRODUCT((Missions!$F$6:$F$26="Gift Card")*(Missions!$A$6:$A$26="Silver")*(Missions!$D$6:$D$26&lt;&gt;"One-time")*'Affiliate Projection'!D13*Missions!$E$6:$E$26*Missions!$J$6:$J$26)+SUMPRODUCT((Missions!$F$6:$F$26="Gift Card")*(Missions!$A$6:$A$26="Gold")*(Missions!$D$6:$D$26="One-time")*'Affiliate Projection'!D23*Missions!$E$6:$E$26*Missions!$J$6:$J$26)+SUMPRODUCT((Missions!$F$6:$F$26="Gift Card")*(Missions!$A$6:$A$26="Gold")*(Missions!$D$6:$D$26&lt;&gt;"One-time")*'Affiliate Projection'!D14*Missions!$E$6:$E$26*Missions!$J$6:$J$26)+SUMPRODUCT((Missions!$F$6:$F$26="Gift Card")*(Missions!$A$6:$A$26="Platinum")*(Missions!$D$6:$D$26="One-time")*'Affiliate Projection'!D24*Missions!$E$6:$E$26*Missions!$J$6:$J$26)+SUMPRODUCT((Missions!$F$6:$F$26="Gift Card")*(Missions!$A$6:$A$26="Platinum")*(Missions!$D$6:$D$26&lt;&gt;"One-time")*'Affiliate Projection'!D15*Missions!$E$6:$E$26*Missions!$J$6:$J$26)+SUMPRODUCT((Missions!$F$6:$F$26="Gift Card")*(Missions!$A$6:$A$26="Diamond")*(Missions!$D$6:$D$26="One-time")*'Affiliate Projection'!D25*Missions!$E$6:$E$26*Missions!$J$6:$J$26)+SUMPRODUCT((Missions!$F$6:$F$26="Gift Card")*(Missions!$A$6:$A$26="Diamond")*(Missions!$D$6:$D$26&lt;&gt;"One-time")*'Affiliate Projection'!D16*Missions!$E$6:$E$26*Missions!$J$6:$J$26)</f>
        <v/>
      </c>
      <c r="E14" s="15">
        <f>SUMPRODUCT((Missions!$F$6:$F$26="Gift Card")*(Missions!$A$6:$A$26="Bronze")*(Missions!$D$6:$D$26="One-time")*'Affiliate Projection'!E21*Missions!$E$6:$E$26*Missions!$J$6:$J$26)+SUMPRODUCT((Missions!$F$6:$F$26="Gift Card")*(Missions!$A$6:$A$26="Bronze")*(Missions!$D$6:$D$26&lt;&gt;"One-time")*'Affiliate Projection'!E12*Missions!$E$6:$E$26*Missions!$J$6:$J$26)+SUMPRODUCT((Missions!$F$6:$F$26="Gift Card")*(Missions!$A$6:$A$26="Silver")*(Missions!$D$6:$D$26="One-time")*'Affiliate Projection'!E22*Missions!$E$6:$E$26*Missions!$J$6:$J$26)+SUMPRODUCT((Missions!$F$6:$F$26="Gift Card")*(Missions!$A$6:$A$26="Silver")*(Missions!$D$6:$D$26&lt;&gt;"One-time")*'Affiliate Projection'!E13*Missions!$E$6:$E$26*Missions!$J$6:$J$26)+SUMPRODUCT((Missions!$F$6:$F$26="Gift Card")*(Missions!$A$6:$A$26="Gold")*(Missions!$D$6:$D$26="One-time")*'Affiliate Projection'!E23*Missions!$E$6:$E$26*Missions!$J$6:$J$26)+SUMPRODUCT((Missions!$F$6:$F$26="Gift Card")*(Missions!$A$6:$A$26="Gold")*(Missions!$D$6:$D$26&lt;&gt;"One-time")*'Affiliate Projection'!E14*Missions!$E$6:$E$26*Missions!$J$6:$J$26)+SUMPRODUCT((Missions!$F$6:$F$26="Gift Card")*(Missions!$A$6:$A$26="Platinum")*(Missions!$D$6:$D$26="One-time")*'Affiliate Projection'!E24*Missions!$E$6:$E$26*Missions!$J$6:$J$26)+SUMPRODUCT((Missions!$F$6:$F$26="Gift Card")*(Missions!$A$6:$A$26="Platinum")*(Missions!$D$6:$D$26&lt;&gt;"One-time")*'Affiliate Projection'!E15*Missions!$E$6:$E$26*Missions!$J$6:$J$26)+SUMPRODUCT((Missions!$F$6:$F$26="Gift Card")*(Missions!$A$6:$A$26="Diamond")*(Missions!$D$6:$D$26="One-time")*'Affiliate Projection'!E25*Missions!$E$6:$E$26*Missions!$J$6:$J$26)+SUMPRODUCT((Missions!$F$6:$F$26="Gift Card")*(Missions!$A$6:$A$26="Diamond")*(Missions!$D$6:$D$26&lt;&gt;"One-time")*'Affiliate Projection'!E16*Missions!$E$6:$E$26*Missions!$J$6:$J$26)</f>
        <v/>
      </c>
      <c r="F14" s="15">
        <f>SUMPRODUCT((Missions!$F$6:$F$26="Gift Card")*(Missions!$A$6:$A$26="Bronze")*(Missions!$D$6:$D$26="One-time")*'Affiliate Projection'!F21*Missions!$E$6:$E$26*Missions!$J$6:$J$26)+SUMPRODUCT((Missions!$F$6:$F$26="Gift Card")*(Missions!$A$6:$A$26="Bronze")*(Missions!$D$6:$D$26&lt;&gt;"One-time")*'Affiliate Projection'!F12*Missions!$E$6:$E$26*Missions!$J$6:$J$26)+SUMPRODUCT((Missions!$F$6:$F$26="Gift Card")*(Missions!$A$6:$A$26="Silver")*(Missions!$D$6:$D$26="One-time")*'Affiliate Projection'!F22*Missions!$E$6:$E$26*Missions!$J$6:$J$26)+SUMPRODUCT((Missions!$F$6:$F$26="Gift Card")*(Missions!$A$6:$A$26="Silver")*(Missions!$D$6:$D$26&lt;&gt;"One-time")*'Affiliate Projection'!F13*Missions!$E$6:$E$26*Missions!$J$6:$J$26)+SUMPRODUCT((Missions!$F$6:$F$26="Gift Card")*(Missions!$A$6:$A$26="Gold")*(Missions!$D$6:$D$26="One-time")*'Affiliate Projection'!F23*Missions!$E$6:$E$26*Missions!$J$6:$J$26)+SUMPRODUCT((Missions!$F$6:$F$26="Gift Card")*(Missions!$A$6:$A$26="Gold")*(Missions!$D$6:$D$26&lt;&gt;"One-time")*'Affiliate Projection'!F14*Missions!$E$6:$E$26*Missions!$J$6:$J$26)+SUMPRODUCT((Missions!$F$6:$F$26="Gift Card")*(Missions!$A$6:$A$26="Platinum")*(Missions!$D$6:$D$26="One-time")*'Affiliate Projection'!F24*Missions!$E$6:$E$26*Missions!$J$6:$J$26)+SUMPRODUCT((Missions!$F$6:$F$26="Gift Card")*(Missions!$A$6:$A$26="Platinum")*(Missions!$D$6:$D$26&lt;&gt;"One-time")*'Affiliate Projection'!F15*Missions!$E$6:$E$26*Missions!$J$6:$J$26)+SUMPRODUCT((Missions!$F$6:$F$26="Gift Card")*(Missions!$A$6:$A$26="Diamond")*(Missions!$D$6:$D$26="One-time")*'Affiliate Projection'!F25*Missions!$E$6:$E$26*Missions!$J$6:$J$26)+SUMPRODUCT((Missions!$F$6:$F$26="Gift Card")*(Missions!$A$6:$A$26="Diamond")*(Missions!$D$6:$D$26&lt;&gt;"One-time")*'Affiliate Projection'!F16*Missions!$E$6:$E$26*Missions!$J$6:$J$26)</f>
        <v/>
      </c>
      <c r="G14" s="15">
        <f>SUMPRODUCT((Missions!$F$6:$F$26="Gift Card")*(Missions!$A$6:$A$26="Bronze")*(Missions!$D$6:$D$26="One-time")*'Affiliate Projection'!G21*Missions!$E$6:$E$26*Missions!$J$6:$J$26)+SUMPRODUCT((Missions!$F$6:$F$26="Gift Card")*(Missions!$A$6:$A$26="Bronze")*(Missions!$D$6:$D$26&lt;&gt;"One-time")*'Affiliate Projection'!G12*Missions!$E$6:$E$26*Missions!$J$6:$J$26)+SUMPRODUCT((Missions!$F$6:$F$26="Gift Card")*(Missions!$A$6:$A$26="Silver")*(Missions!$D$6:$D$26="One-time")*'Affiliate Projection'!G22*Missions!$E$6:$E$26*Missions!$J$6:$J$26)+SUMPRODUCT((Missions!$F$6:$F$26="Gift Card")*(Missions!$A$6:$A$26="Silver")*(Missions!$D$6:$D$26&lt;&gt;"One-time")*'Affiliate Projection'!G13*Missions!$E$6:$E$26*Missions!$J$6:$J$26)+SUMPRODUCT((Missions!$F$6:$F$26="Gift Card")*(Missions!$A$6:$A$26="Gold")*(Missions!$D$6:$D$26="One-time")*'Affiliate Projection'!G23*Missions!$E$6:$E$26*Missions!$J$6:$J$26)+SUMPRODUCT((Missions!$F$6:$F$26="Gift Card")*(Missions!$A$6:$A$26="Gold")*(Missions!$D$6:$D$26&lt;&gt;"One-time")*'Affiliate Projection'!G14*Missions!$E$6:$E$26*Missions!$J$6:$J$26)+SUMPRODUCT((Missions!$F$6:$F$26="Gift Card")*(Missions!$A$6:$A$26="Platinum")*(Missions!$D$6:$D$26="One-time")*'Affiliate Projection'!G24*Missions!$E$6:$E$26*Missions!$J$6:$J$26)+SUMPRODUCT((Missions!$F$6:$F$26="Gift Card")*(Missions!$A$6:$A$26="Platinum")*(Missions!$D$6:$D$26&lt;&gt;"One-time")*'Affiliate Projection'!G15*Missions!$E$6:$E$26*Missions!$J$6:$J$26)+SUMPRODUCT((Missions!$F$6:$F$26="Gift Card")*(Missions!$A$6:$A$26="Diamond")*(Missions!$D$6:$D$26="One-time")*'Affiliate Projection'!G25*Missions!$E$6:$E$26*Missions!$J$6:$J$26)+SUMPRODUCT((Missions!$F$6:$F$26="Gift Card")*(Missions!$A$6:$A$26="Diamond")*(Missions!$D$6:$D$26&lt;&gt;"One-time")*'Affiliate Projection'!G16*Missions!$E$6:$E$26*Missions!$J$6:$J$26)</f>
        <v/>
      </c>
      <c r="H14" s="15">
        <f>SUMPRODUCT((Missions!$F$6:$F$26="Gift Card")*(Missions!$A$6:$A$26="Bronze")*(Missions!$D$6:$D$26="One-time")*'Affiliate Projection'!H21*Missions!$E$6:$E$26*Missions!$J$6:$J$26)+SUMPRODUCT((Missions!$F$6:$F$26="Gift Card")*(Missions!$A$6:$A$26="Bronze")*(Missions!$D$6:$D$26&lt;&gt;"One-time")*'Affiliate Projection'!H12*Missions!$E$6:$E$26*Missions!$J$6:$J$26)+SUMPRODUCT((Missions!$F$6:$F$26="Gift Card")*(Missions!$A$6:$A$26="Silver")*(Missions!$D$6:$D$26="One-time")*'Affiliate Projection'!H22*Missions!$E$6:$E$26*Missions!$J$6:$J$26)+SUMPRODUCT((Missions!$F$6:$F$26="Gift Card")*(Missions!$A$6:$A$26="Silver")*(Missions!$D$6:$D$26&lt;&gt;"One-time")*'Affiliate Projection'!H13*Missions!$E$6:$E$26*Missions!$J$6:$J$26)+SUMPRODUCT((Missions!$F$6:$F$26="Gift Card")*(Missions!$A$6:$A$26="Gold")*(Missions!$D$6:$D$26="One-time")*'Affiliate Projection'!H23*Missions!$E$6:$E$26*Missions!$J$6:$J$26)+SUMPRODUCT((Missions!$F$6:$F$26="Gift Card")*(Missions!$A$6:$A$26="Gold")*(Missions!$D$6:$D$26&lt;&gt;"One-time")*'Affiliate Projection'!H14*Missions!$E$6:$E$26*Missions!$J$6:$J$26)+SUMPRODUCT((Missions!$F$6:$F$26="Gift Card")*(Missions!$A$6:$A$26="Platinum")*(Missions!$D$6:$D$26="One-time")*'Affiliate Projection'!H24*Missions!$E$6:$E$26*Missions!$J$6:$J$26)+SUMPRODUCT((Missions!$F$6:$F$26="Gift Card")*(Missions!$A$6:$A$26="Platinum")*(Missions!$D$6:$D$26&lt;&gt;"One-time")*'Affiliate Projection'!H15*Missions!$E$6:$E$26*Missions!$J$6:$J$26)+SUMPRODUCT((Missions!$F$6:$F$26="Gift Card")*(Missions!$A$6:$A$26="Diamond")*(Missions!$D$6:$D$26="One-time")*'Affiliate Projection'!H25*Missions!$E$6:$E$26*Missions!$J$6:$J$26)+SUMPRODUCT((Missions!$F$6:$F$26="Gift Card")*(Missions!$A$6:$A$26="Diamond")*(Missions!$D$6:$D$26&lt;&gt;"One-time")*'Affiliate Projection'!H16*Missions!$E$6:$E$26*Missions!$J$6:$J$26)</f>
        <v/>
      </c>
      <c r="I14" s="15">
        <f>SUMPRODUCT((Missions!$F$6:$F$26="Gift Card")*(Missions!$A$6:$A$26="Bronze")*(Missions!$D$6:$D$26="One-time")*'Affiliate Projection'!I21*Missions!$E$6:$E$26*Missions!$J$6:$J$26)+SUMPRODUCT((Missions!$F$6:$F$26="Gift Card")*(Missions!$A$6:$A$26="Bronze")*(Missions!$D$6:$D$26&lt;&gt;"One-time")*'Affiliate Projection'!I12*Missions!$E$6:$E$26*Missions!$J$6:$J$26)+SUMPRODUCT((Missions!$F$6:$F$26="Gift Card")*(Missions!$A$6:$A$26="Silver")*(Missions!$D$6:$D$26="One-time")*'Affiliate Projection'!I22*Missions!$E$6:$E$26*Missions!$J$6:$J$26)+SUMPRODUCT((Missions!$F$6:$F$26="Gift Card")*(Missions!$A$6:$A$26="Silver")*(Missions!$D$6:$D$26&lt;&gt;"One-time")*'Affiliate Projection'!I13*Missions!$E$6:$E$26*Missions!$J$6:$J$26)+SUMPRODUCT((Missions!$F$6:$F$26="Gift Card")*(Missions!$A$6:$A$26="Gold")*(Missions!$D$6:$D$26="One-time")*'Affiliate Projection'!I23*Missions!$E$6:$E$26*Missions!$J$6:$J$26)+SUMPRODUCT((Missions!$F$6:$F$26="Gift Card")*(Missions!$A$6:$A$26="Gold")*(Missions!$D$6:$D$26&lt;&gt;"One-time")*'Affiliate Projection'!I14*Missions!$E$6:$E$26*Missions!$J$6:$J$26)+SUMPRODUCT((Missions!$F$6:$F$26="Gift Card")*(Missions!$A$6:$A$26="Platinum")*(Missions!$D$6:$D$26="One-time")*'Affiliate Projection'!I24*Missions!$E$6:$E$26*Missions!$J$6:$J$26)+SUMPRODUCT((Missions!$F$6:$F$26="Gift Card")*(Missions!$A$6:$A$26="Platinum")*(Missions!$D$6:$D$26&lt;&gt;"One-time")*'Affiliate Projection'!I15*Missions!$E$6:$E$26*Missions!$J$6:$J$26)+SUMPRODUCT((Missions!$F$6:$F$26="Gift Card")*(Missions!$A$6:$A$26="Diamond")*(Missions!$D$6:$D$26="One-time")*'Affiliate Projection'!I25*Missions!$E$6:$E$26*Missions!$J$6:$J$26)+SUMPRODUCT((Missions!$F$6:$F$26="Gift Card")*(Missions!$A$6:$A$26="Diamond")*(Missions!$D$6:$D$26&lt;&gt;"One-time")*'Affiliate Projection'!I16*Missions!$E$6:$E$26*Missions!$J$6:$J$26)</f>
        <v/>
      </c>
      <c r="J14" s="15">
        <f>SUMPRODUCT((Missions!$F$6:$F$26="Gift Card")*(Missions!$A$6:$A$26="Bronze")*(Missions!$D$6:$D$26="One-time")*'Affiliate Projection'!J21*Missions!$E$6:$E$26*Missions!$J$6:$J$26)+SUMPRODUCT((Missions!$F$6:$F$26="Gift Card")*(Missions!$A$6:$A$26="Bronze")*(Missions!$D$6:$D$26&lt;&gt;"One-time")*'Affiliate Projection'!J12*Missions!$E$6:$E$26*Missions!$J$6:$J$26)+SUMPRODUCT((Missions!$F$6:$F$26="Gift Card")*(Missions!$A$6:$A$26="Silver")*(Missions!$D$6:$D$26="One-time")*'Affiliate Projection'!J22*Missions!$E$6:$E$26*Missions!$J$6:$J$26)+SUMPRODUCT((Missions!$F$6:$F$26="Gift Card")*(Missions!$A$6:$A$26="Silver")*(Missions!$D$6:$D$26&lt;&gt;"One-time")*'Affiliate Projection'!J13*Missions!$E$6:$E$26*Missions!$J$6:$J$26)+SUMPRODUCT((Missions!$F$6:$F$26="Gift Card")*(Missions!$A$6:$A$26="Gold")*(Missions!$D$6:$D$26="One-time")*'Affiliate Projection'!J23*Missions!$E$6:$E$26*Missions!$J$6:$J$26)+SUMPRODUCT((Missions!$F$6:$F$26="Gift Card")*(Missions!$A$6:$A$26="Gold")*(Missions!$D$6:$D$26&lt;&gt;"One-time")*'Affiliate Projection'!J14*Missions!$E$6:$E$26*Missions!$J$6:$J$26)+SUMPRODUCT((Missions!$F$6:$F$26="Gift Card")*(Missions!$A$6:$A$26="Platinum")*(Missions!$D$6:$D$26="One-time")*'Affiliate Projection'!J24*Missions!$E$6:$E$26*Missions!$J$6:$J$26)+SUMPRODUCT((Missions!$F$6:$F$26="Gift Card")*(Missions!$A$6:$A$26="Platinum")*(Missions!$D$6:$D$26&lt;&gt;"One-time")*'Affiliate Projection'!J15*Missions!$E$6:$E$26*Missions!$J$6:$J$26)+SUMPRODUCT((Missions!$F$6:$F$26="Gift Card")*(Missions!$A$6:$A$26="Diamond")*(Missions!$D$6:$D$26="One-time")*'Affiliate Projection'!J25*Missions!$E$6:$E$26*Missions!$J$6:$J$26)+SUMPRODUCT((Missions!$F$6:$F$26="Gift Card")*(Missions!$A$6:$A$26="Diamond")*(Missions!$D$6:$D$26&lt;&gt;"One-time")*'Affiliate Projection'!J16*Missions!$E$6:$E$26*Missions!$J$6:$J$26)</f>
        <v/>
      </c>
      <c r="K14" s="15">
        <f>SUMPRODUCT((Missions!$F$6:$F$26="Gift Card")*(Missions!$A$6:$A$26="Bronze")*(Missions!$D$6:$D$26="One-time")*'Affiliate Projection'!K21*Missions!$E$6:$E$26*Missions!$J$6:$J$26)+SUMPRODUCT((Missions!$F$6:$F$26="Gift Card")*(Missions!$A$6:$A$26="Bronze")*(Missions!$D$6:$D$26&lt;&gt;"One-time")*'Affiliate Projection'!K12*Missions!$E$6:$E$26*Missions!$J$6:$J$26)+SUMPRODUCT((Missions!$F$6:$F$26="Gift Card")*(Missions!$A$6:$A$26="Silver")*(Missions!$D$6:$D$26="One-time")*'Affiliate Projection'!K22*Missions!$E$6:$E$26*Missions!$J$6:$J$26)+SUMPRODUCT((Missions!$F$6:$F$26="Gift Card")*(Missions!$A$6:$A$26="Silver")*(Missions!$D$6:$D$26&lt;&gt;"One-time")*'Affiliate Projection'!K13*Missions!$E$6:$E$26*Missions!$J$6:$J$26)+SUMPRODUCT((Missions!$F$6:$F$26="Gift Card")*(Missions!$A$6:$A$26="Gold")*(Missions!$D$6:$D$26="One-time")*'Affiliate Projection'!K23*Missions!$E$6:$E$26*Missions!$J$6:$J$26)+SUMPRODUCT((Missions!$F$6:$F$26="Gift Card")*(Missions!$A$6:$A$26="Gold")*(Missions!$D$6:$D$26&lt;&gt;"One-time")*'Affiliate Projection'!K14*Missions!$E$6:$E$26*Missions!$J$6:$J$26)+SUMPRODUCT((Missions!$F$6:$F$26="Gift Card")*(Missions!$A$6:$A$26="Platinum")*(Missions!$D$6:$D$26="One-time")*'Affiliate Projection'!K24*Missions!$E$6:$E$26*Missions!$J$6:$J$26)+SUMPRODUCT((Missions!$F$6:$F$26="Gift Card")*(Missions!$A$6:$A$26="Platinum")*(Missions!$D$6:$D$26&lt;&gt;"One-time")*'Affiliate Projection'!K15*Missions!$E$6:$E$26*Missions!$J$6:$J$26)+SUMPRODUCT((Missions!$F$6:$F$26="Gift Card")*(Missions!$A$6:$A$26="Diamond")*(Missions!$D$6:$D$26="One-time")*'Affiliate Projection'!K25*Missions!$E$6:$E$26*Missions!$J$6:$J$26)+SUMPRODUCT((Missions!$F$6:$F$26="Gift Card")*(Missions!$A$6:$A$26="Diamond")*(Missions!$D$6:$D$26&lt;&gt;"One-time")*'Affiliate Projection'!K16*Missions!$E$6:$E$26*Missions!$J$6:$J$26)</f>
        <v/>
      </c>
      <c r="L14" s="15">
        <f>SUMPRODUCT((Missions!$F$6:$F$26="Gift Card")*(Missions!$A$6:$A$26="Bronze")*(Missions!$D$6:$D$26="One-time")*'Affiliate Projection'!L21*Missions!$E$6:$E$26*Missions!$J$6:$J$26)+SUMPRODUCT((Missions!$F$6:$F$26="Gift Card")*(Missions!$A$6:$A$26="Bronze")*(Missions!$D$6:$D$26&lt;&gt;"One-time")*'Affiliate Projection'!L12*Missions!$E$6:$E$26*Missions!$J$6:$J$26)+SUMPRODUCT((Missions!$F$6:$F$26="Gift Card")*(Missions!$A$6:$A$26="Silver")*(Missions!$D$6:$D$26="One-time")*'Affiliate Projection'!L22*Missions!$E$6:$E$26*Missions!$J$6:$J$26)+SUMPRODUCT((Missions!$F$6:$F$26="Gift Card")*(Missions!$A$6:$A$26="Silver")*(Missions!$D$6:$D$26&lt;&gt;"One-time")*'Affiliate Projection'!L13*Missions!$E$6:$E$26*Missions!$J$6:$J$26)+SUMPRODUCT((Missions!$F$6:$F$26="Gift Card")*(Missions!$A$6:$A$26="Gold")*(Missions!$D$6:$D$26="One-time")*'Affiliate Projection'!L23*Missions!$E$6:$E$26*Missions!$J$6:$J$26)+SUMPRODUCT((Missions!$F$6:$F$26="Gift Card")*(Missions!$A$6:$A$26="Gold")*(Missions!$D$6:$D$26&lt;&gt;"One-time")*'Affiliate Projection'!L14*Missions!$E$6:$E$26*Missions!$J$6:$J$26)+SUMPRODUCT((Missions!$F$6:$F$26="Gift Card")*(Missions!$A$6:$A$26="Platinum")*(Missions!$D$6:$D$26="One-time")*'Affiliate Projection'!L24*Missions!$E$6:$E$26*Missions!$J$6:$J$26)+SUMPRODUCT((Missions!$F$6:$F$26="Gift Card")*(Missions!$A$6:$A$26="Platinum")*(Missions!$D$6:$D$26&lt;&gt;"One-time")*'Affiliate Projection'!L15*Missions!$E$6:$E$26*Missions!$J$6:$J$26)+SUMPRODUCT((Missions!$F$6:$F$26="Gift Card")*(Missions!$A$6:$A$26="Diamond")*(Missions!$D$6:$D$26="One-time")*'Affiliate Projection'!L25*Missions!$E$6:$E$26*Missions!$J$6:$J$26)+SUMPRODUCT((Missions!$F$6:$F$26="Gift Card")*(Missions!$A$6:$A$26="Diamond")*(Missions!$D$6:$D$26&lt;&gt;"One-time")*'Affiliate Projection'!L16*Missions!$E$6:$E$26*Missions!$J$6:$J$26)</f>
        <v/>
      </c>
      <c r="M14" s="15">
        <f>SUMPRODUCT((Missions!$F$6:$F$26="Gift Card")*(Missions!$A$6:$A$26="Bronze")*(Missions!$D$6:$D$26="One-time")*'Affiliate Projection'!M21*Missions!$E$6:$E$26*Missions!$J$6:$J$26)+SUMPRODUCT((Missions!$F$6:$F$26="Gift Card")*(Missions!$A$6:$A$26="Bronze")*(Missions!$D$6:$D$26&lt;&gt;"One-time")*'Affiliate Projection'!M12*Missions!$E$6:$E$26*Missions!$J$6:$J$26)+SUMPRODUCT((Missions!$F$6:$F$26="Gift Card")*(Missions!$A$6:$A$26="Silver")*(Missions!$D$6:$D$26="One-time")*'Affiliate Projection'!M22*Missions!$E$6:$E$26*Missions!$J$6:$J$26)+SUMPRODUCT((Missions!$F$6:$F$26="Gift Card")*(Missions!$A$6:$A$26="Silver")*(Missions!$D$6:$D$26&lt;&gt;"One-time")*'Affiliate Projection'!M13*Missions!$E$6:$E$26*Missions!$J$6:$J$26)+SUMPRODUCT((Missions!$F$6:$F$26="Gift Card")*(Missions!$A$6:$A$26="Gold")*(Missions!$D$6:$D$26="One-time")*'Affiliate Projection'!M23*Missions!$E$6:$E$26*Missions!$J$6:$J$26)+SUMPRODUCT((Missions!$F$6:$F$26="Gift Card")*(Missions!$A$6:$A$26="Gold")*(Missions!$D$6:$D$26&lt;&gt;"One-time")*'Affiliate Projection'!M14*Missions!$E$6:$E$26*Missions!$J$6:$J$26)+SUMPRODUCT((Missions!$F$6:$F$26="Gift Card")*(Missions!$A$6:$A$26="Platinum")*(Missions!$D$6:$D$26="One-time")*'Affiliate Projection'!M24*Missions!$E$6:$E$26*Missions!$J$6:$J$26)+SUMPRODUCT((Missions!$F$6:$F$26="Gift Card")*(Missions!$A$6:$A$26="Platinum")*(Missions!$D$6:$D$26&lt;&gt;"One-time")*'Affiliate Projection'!M15*Missions!$E$6:$E$26*Missions!$J$6:$J$26)+SUMPRODUCT((Missions!$F$6:$F$26="Gift Card")*(Missions!$A$6:$A$26="Diamond")*(Missions!$D$6:$D$26="One-time")*'Affiliate Projection'!M25*Missions!$E$6:$E$26*Missions!$J$6:$J$26)+SUMPRODUCT((Missions!$F$6:$F$26="Gift Card")*(Missions!$A$6:$A$26="Diamond")*(Missions!$D$6:$D$26&lt;&gt;"One-time")*'Affiliate Projection'!M16*Missions!$E$6:$E$26*Missions!$J$6:$J$26)</f>
        <v/>
      </c>
    </row>
    <row r="15">
      <c r="A15" s="14" t="inlineStr">
        <is>
          <t>Total Gift Card Cost</t>
        </is>
      </c>
      <c r="B15" s="15">
        <f>B13+B14</f>
        <v/>
      </c>
      <c r="C15" s="15">
        <f>C13+C14</f>
        <v/>
      </c>
      <c r="D15" s="15">
        <f>D13+D14</f>
        <v/>
      </c>
      <c r="E15" s="15">
        <f>E13+E14</f>
        <v/>
      </c>
      <c r="F15" s="15">
        <f>F13+F14</f>
        <v/>
      </c>
      <c r="G15" s="15">
        <f>G13+G14</f>
        <v/>
      </c>
      <c r="H15" s="15">
        <f>H13+H14</f>
        <v/>
      </c>
      <c r="I15" s="15">
        <f>I13+I14</f>
        <v/>
      </c>
      <c r="J15" s="15">
        <f>J13+J14</f>
        <v/>
      </c>
      <c r="K15" s="15">
        <f>K13+K14</f>
        <v/>
      </c>
      <c r="L15" s="15">
        <f>L13+L14</f>
        <v/>
      </c>
      <c r="M15" s="15">
        <f>M13+M14</f>
        <v/>
      </c>
    </row>
    <row r="16">
      <c r="A16" s="14" t="inlineStr">
        <is>
          <t>Total Loyalty Program Costs</t>
        </is>
      </c>
      <c r="B16" s="16">
        <f>B15</f>
        <v/>
      </c>
      <c r="C16" s="16">
        <f>C15</f>
        <v/>
      </c>
      <c r="D16" s="16">
        <f>D15</f>
        <v/>
      </c>
      <c r="E16" s="16">
        <f>E15</f>
        <v/>
      </c>
      <c r="F16" s="16">
        <f>F15</f>
        <v/>
      </c>
      <c r="G16" s="16">
        <f>G15</f>
        <v/>
      </c>
      <c r="H16" s="16">
        <f>H15</f>
        <v/>
      </c>
      <c r="I16" s="16">
        <f>I15</f>
        <v/>
      </c>
      <c r="J16" s="16">
        <f>J15</f>
        <v/>
      </c>
      <c r="K16" s="16">
        <f>K15</f>
        <v/>
      </c>
      <c r="L16" s="16">
        <f>L15</f>
        <v/>
      </c>
      <c r="M16" s="16">
        <f>M15</f>
        <v/>
      </c>
    </row>
    <row r="17" ht="18.75" customHeight="1" s="32">
      <c r="A17" s="14" t="n"/>
    </row>
    <row r="18" ht="18.75" customHeight="1" s="32">
      <c r="A18" s="1" t="inlineStr">
        <is>
          <t>--- MARKETING OPEX ---</t>
        </is>
      </c>
    </row>
    <row r="19">
      <c r="A19" s="14" t="inlineStr">
        <is>
          <t>Spark Ads Cost (Welcome)</t>
        </is>
      </c>
      <c r="B19" s="15">
        <f>'Affiliate Projection'!B21*'VIP Levels'!$J$14*'VIP Levels'!$K$14+'Affiliate Projection'!B22*'VIP Levels'!$J$15*'VIP Levels'!$K$15+'Affiliate Projection'!B23*'VIP Levels'!$J$16*'VIP Levels'!$K$16+'Affiliate Projection'!B24*'VIP Levels'!$J$17*'VIP Levels'!$K$17+'Affiliate Projection'!B25*'VIP Levels'!$J$18*'VIP Levels'!$K$18</f>
        <v/>
      </c>
      <c r="C19" s="15">
        <f>'Affiliate Projection'!C21*'VIP Levels'!$J$14*'VIP Levels'!$K$14+'Affiliate Projection'!C22*'VIP Levels'!$J$15*'VIP Levels'!$K$15+'Affiliate Projection'!C23*'VIP Levels'!$J$16*'VIP Levels'!$K$16+'Affiliate Projection'!C24*'VIP Levels'!$J$17*'VIP Levels'!$K$17+'Affiliate Projection'!C25*'VIP Levels'!$J$18*'VIP Levels'!$K$18</f>
        <v/>
      </c>
      <c r="D19" s="15">
        <f>'Affiliate Projection'!D21*'VIP Levels'!$J$14*'VIP Levels'!$K$14+'Affiliate Projection'!D22*'VIP Levels'!$J$15*'VIP Levels'!$K$15+'Affiliate Projection'!D23*'VIP Levels'!$J$16*'VIP Levels'!$K$16+'Affiliate Projection'!D24*'VIP Levels'!$J$17*'VIP Levels'!$K$17+'Affiliate Projection'!D25*'VIP Levels'!$J$18*'VIP Levels'!$K$18</f>
        <v/>
      </c>
      <c r="E19" s="15">
        <f>'Affiliate Projection'!E21*'VIP Levels'!$J$14*'VIP Levels'!$K$14+'Affiliate Projection'!E22*'VIP Levels'!$J$15*'VIP Levels'!$K$15+'Affiliate Projection'!E23*'VIP Levels'!$J$16*'VIP Levels'!$K$16+'Affiliate Projection'!E24*'VIP Levels'!$J$17*'VIP Levels'!$K$17+'Affiliate Projection'!E25*'VIP Levels'!$J$18*'VIP Levels'!$K$18</f>
        <v/>
      </c>
      <c r="F19" s="15">
        <f>'Affiliate Projection'!F21*'VIP Levels'!$J$14*'VIP Levels'!$K$14+'Affiliate Projection'!F22*'VIP Levels'!$J$15*'VIP Levels'!$K$15+'Affiliate Projection'!F23*'VIP Levels'!$J$16*'VIP Levels'!$K$16+'Affiliate Projection'!F24*'VIP Levels'!$J$17*'VIP Levels'!$K$17+'Affiliate Projection'!F25*'VIP Levels'!$J$18*'VIP Levels'!$K$18</f>
        <v/>
      </c>
      <c r="G19" s="15">
        <f>'Affiliate Projection'!G21*'VIP Levels'!$J$14*'VIP Levels'!$K$14+'Affiliate Projection'!G22*'VIP Levels'!$J$15*'VIP Levels'!$K$15+'Affiliate Projection'!G23*'VIP Levels'!$J$16*'VIP Levels'!$K$16+'Affiliate Projection'!G24*'VIP Levels'!$J$17*'VIP Levels'!$K$17+'Affiliate Projection'!G25*'VIP Levels'!$J$18*'VIP Levels'!$K$18</f>
        <v/>
      </c>
      <c r="H19" s="15">
        <f>'Affiliate Projection'!H21*'VIP Levels'!$J$14*'VIP Levels'!$K$14+'Affiliate Projection'!H22*'VIP Levels'!$J$15*'VIP Levels'!$K$15+'Affiliate Projection'!H23*'VIP Levels'!$J$16*'VIP Levels'!$K$16+'Affiliate Projection'!H24*'VIP Levels'!$J$17*'VIP Levels'!$K$17+'Affiliate Projection'!H25*'VIP Levels'!$J$18*'VIP Levels'!$K$18</f>
        <v/>
      </c>
      <c r="I19" s="15">
        <f>'Affiliate Projection'!I21*'VIP Levels'!$J$14*'VIP Levels'!$K$14+'Affiliate Projection'!I22*'VIP Levels'!$J$15*'VIP Levels'!$K$15+'Affiliate Projection'!I23*'VIP Levels'!$J$16*'VIP Levels'!$K$16+'Affiliate Projection'!I24*'VIP Levels'!$J$17*'VIP Levels'!$K$17+'Affiliate Projection'!I25*'VIP Levels'!$J$18*'VIP Levels'!$K$18</f>
        <v/>
      </c>
      <c r="J19" s="15">
        <f>'Affiliate Projection'!J21*'VIP Levels'!$J$14*'VIP Levels'!$K$14+'Affiliate Projection'!J22*'VIP Levels'!$J$15*'VIP Levels'!$K$15+'Affiliate Projection'!J23*'VIP Levels'!$J$16*'VIP Levels'!$K$16+'Affiliate Projection'!J24*'VIP Levels'!$J$17*'VIP Levels'!$K$17+'Affiliate Projection'!J25*'VIP Levels'!$J$18*'VIP Levels'!$K$18</f>
        <v/>
      </c>
      <c r="K19" s="15">
        <f>'Affiliate Projection'!K21*'VIP Levels'!$J$14*'VIP Levels'!$K$14+'Affiliate Projection'!K22*'VIP Levels'!$J$15*'VIP Levels'!$K$15+'Affiliate Projection'!K23*'VIP Levels'!$J$16*'VIP Levels'!$K$16+'Affiliate Projection'!K24*'VIP Levels'!$J$17*'VIP Levels'!$K$17+'Affiliate Projection'!K25*'VIP Levels'!$J$18*'VIP Levels'!$K$18</f>
        <v/>
      </c>
      <c r="L19" s="15">
        <f>'Affiliate Projection'!L21*'VIP Levels'!$J$14*'VIP Levels'!$K$14+'Affiliate Projection'!L22*'VIP Levels'!$J$15*'VIP Levels'!$K$15+'Affiliate Projection'!L23*'VIP Levels'!$J$16*'VIP Levels'!$K$16+'Affiliate Projection'!L24*'VIP Levels'!$J$17*'VIP Levels'!$K$17+'Affiliate Projection'!L25*'VIP Levels'!$J$18*'VIP Levels'!$K$18</f>
        <v/>
      </c>
      <c r="M19" s="15">
        <f>'Affiliate Projection'!M21*'VIP Levels'!$J$14*'VIP Levels'!$K$14+'Affiliate Projection'!M22*'VIP Levels'!$J$15*'VIP Levels'!$K$15+'Affiliate Projection'!M23*'VIP Levels'!$J$16*'VIP Levels'!$K$16+'Affiliate Projection'!M24*'VIP Levels'!$J$17*'VIP Levels'!$K$17+'Affiliate Projection'!M25*'VIP Levels'!$J$18*'VIP Levels'!$K$18</f>
        <v/>
      </c>
    </row>
    <row r="20">
      <c r="A20" s="14" t="inlineStr">
        <is>
          <t>Spark Ads Cost (Missions)</t>
        </is>
      </c>
      <c r="B20" s="15">
        <f>SUMPRODUCT((Missions!$F$6:$F$26="Spark Ads")*(Missions!$A$6:$A$26="Bronze")*(Missions!$D$6:$D$26="One-time")*'Affiliate Projection'!B21*Missions!$E$6:$E$26*Missions!$J$6:$J$26)+SUMPRODUCT((Missions!$F$6:$F$26="Spark Ads")*(Missions!$A$6:$A$26="Bronze")*(Missions!$D$6:$D$26&lt;&gt;"One-time")*'Affiliate Projection'!B12*Missions!$E$6:$E$26*Missions!$J$6:$J$26)+SUMPRODUCT((Missions!$F$6:$F$26="Spark Ads")*(Missions!$A$6:$A$26="Silver")*(Missions!$D$6:$D$26="One-time")*'Affiliate Projection'!B22*Missions!$E$6:$E$26*Missions!$J$6:$J$26)+SUMPRODUCT((Missions!$F$6:$F$26="Spark Ads")*(Missions!$A$6:$A$26="Silver")*(Missions!$D$6:$D$26&lt;&gt;"One-time")*'Affiliate Projection'!B13*Missions!$E$6:$E$26*Missions!$J$6:$J$26)+SUMPRODUCT((Missions!$F$6:$F$26="Spark Ads")*(Missions!$A$6:$A$26="Gold")*(Missions!$D$6:$D$26="One-time")*'Affiliate Projection'!B23*Missions!$E$6:$E$26*Missions!$J$6:$J$26)+SUMPRODUCT((Missions!$F$6:$F$26="Spark Ads")*(Missions!$A$6:$A$26="Gold")*(Missions!$D$6:$D$26&lt;&gt;"One-time")*'Affiliate Projection'!B14*Missions!$E$6:$E$26*Missions!$J$6:$J$26)+SUMPRODUCT((Missions!$F$6:$F$26="Spark Ads")*(Missions!$A$6:$A$26="Platinum")*(Missions!$D$6:$D$26="One-time")*'Affiliate Projection'!B24*Missions!$E$6:$E$26*Missions!$J$6:$J$26)+SUMPRODUCT((Missions!$F$6:$F$26="Spark Ads")*(Missions!$A$6:$A$26="Platinum")*(Missions!$D$6:$D$26&lt;&gt;"One-time")*'Affiliate Projection'!B15*Missions!$E$6:$E$26*Missions!$J$6:$J$26)+SUMPRODUCT((Missions!$F$6:$F$26="Spark Ads")*(Missions!$A$6:$A$26="Diamond")*(Missions!$D$6:$D$26="One-time")*'Affiliate Projection'!B25*Missions!$E$6:$E$26*Missions!$J$6:$J$26)+SUMPRODUCT((Missions!$F$6:$F$26="Spark Ads")*(Missions!$A$6:$A$26="Diamond")*(Missions!$D$6:$D$26&lt;&gt;"One-time")*'Affiliate Projection'!B16*Missions!$E$6:$E$26*Missions!$J$6:$J$26)</f>
        <v/>
      </c>
      <c r="C20" s="15">
        <f>SUMPRODUCT((Missions!$F$6:$F$26="Spark Ads")*(Missions!$A$6:$A$26="Bronze")*(Missions!$D$6:$D$26="One-time")*'Affiliate Projection'!C21*Missions!$E$6:$E$26*Missions!$J$6:$J$26)+SUMPRODUCT((Missions!$F$6:$F$26="Spark Ads")*(Missions!$A$6:$A$26="Bronze")*(Missions!$D$6:$D$26&lt;&gt;"One-time")*'Affiliate Projection'!C12*Missions!$E$6:$E$26*Missions!$J$6:$J$26)+SUMPRODUCT((Missions!$F$6:$F$26="Spark Ads")*(Missions!$A$6:$A$26="Silver")*(Missions!$D$6:$D$26="One-time")*'Affiliate Projection'!C22*Missions!$E$6:$E$26*Missions!$J$6:$J$26)+SUMPRODUCT((Missions!$F$6:$F$26="Spark Ads")*(Missions!$A$6:$A$26="Silver")*(Missions!$D$6:$D$26&lt;&gt;"One-time")*'Affiliate Projection'!C13*Missions!$E$6:$E$26*Missions!$J$6:$J$26)+SUMPRODUCT((Missions!$F$6:$F$26="Spark Ads")*(Missions!$A$6:$A$26="Gold")*(Missions!$D$6:$D$26="One-time")*'Affiliate Projection'!C23*Missions!$E$6:$E$26*Missions!$J$6:$J$26)+SUMPRODUCT((Missions!$F$6:$F$26="Spark Ads")*(Missions!$A$6:$A$26="Gold")*(Missions!$D$6:$D$26&lt;&gt;"One-time")*'Affiliate Projection'!C14*Missions!$E$6:$E$26*Missions!$J$6:$J$26)+SUMPRODUCT((Missions!$F$6:$F$26="Spark Ads")*(Missions!$A$6:$A$26="Platinum")*(Missions!$D$6:$D$26="One-time")*'Affiliate Projection'!C24*Missions!$E$6:$E$26*Missions!$J$6:$J$26)+SUMPRODUCT((Missions!$F$6:$F$26="Spark Ads")*(Missions!$A$6:$A$26="Platinum")*(Missions!$D$6:$D$26&lt;&gt;"One-time")*'Affiliate Projection'!C15*Missions!$E$6:$E$26*Missions!$J$6:$J$26)+SUMPRODUCT((Missions!$F$6:$F$26="Spark Ads")*(Missions!$A$6:$A$26="Diamond")*(Missions!$D$6:$D$26="One-time")*'Affiliate Projection'!C25*Missions!$E$6:$E$26*Missions!$J$6:$J$26)+SUMPRODUCT((Missions!$F$6:$F$26="Spark Ads")*(Missions!$A$6:$A$26="Diamond")*(Missions!$D$6:$D$26&lt;&gt;"One-time")*'Affiliate Projection'!C16*Missions!$E$6:$E$26*Missions!$J$6:$J$26)</f>
        <v/>
      </c>
      <c r="D20" s="15">
        <f>SUMPRODUCT((Missions!$F$6:$F$26="Spark Ads")*(Missions!$A$6:$A$26="Bronze")*(Missions!$D$6:$D$26="One-time")*'Affiliate Projection'!D21*Missions!$E$6:$E$26*Missions!$J$6:$J$26)+SUMPRODUCT((Missions!$F$6:$F$26="Spark Ads")*(Missions!$A$6:$A$26="Bronze")*(Missions!$D$6:$D$26&lt;&gt;"One-time")*'Affiliate Projection'!D12*Missions!$E$6:$E$26*Missions!$J$6:$J$26)+SUMPRODUCT((Missions!$F$6:$F$26="Spark Ads")*(Missions!$A$6:$A$26="Silver")*(Missions!$D$6:$D$26="One-time")*'Affiliate Projection'!D22*Missions!$E$6:$E$26*Missions!$J$6:$J$26)+SUMPRODUCT((Missions!$F$6:$F$26="Spark Ads")*(Missions!$A$6:$A$26="Silver")*(Missions!$D$6:$D$26&lt;&gt;"One-time")*'Affiliate Projection'!D13*Missions!$E$6:$E$26*Missions!$J$6:$J$26)+SUMPRODUCT((Missions!$F$6:$F$26="Spark Ads")*(Missions!$A$6:$A$26="Gold")*(Missions!$D$6:$D$26="One-time")*'Affiliate Projection'!D23*Missions!$E$6:$E$26*Missions!$J$6:$J$26)+SUMPRODUCT((Missions!$F$6:$F$26="Spark Ads")*(Missions!$A$6:$A$26="Gold")*(Missions!$D$6:$D$26&lt;&gt;"One-time")*'Affiliate Projection'!D14*Missions!$E$6:$E$26*Missions!$J$6:$J$26)+SUMPRODUCT((Missions!$F$6:$F$26="Spark Ads")*(Missions!$A$6:$A$26="Platinum")*(Missions!$D$6:$D$26="One-time")*'Affiliate Projection'!D24*Missions!$E$6:$E$26*Missions!$J$6:$J$26)+SUMPRODUCT((Missions!$F$6:$F$26="Spark Ads")*(Missions!$A$6:$A$26="Platinum")*(Missions!$D$6:$D$26&lt;&gt;"One-time")*'Affiliate Projection'!D15*Missions!$E$6:$E$26*Missions!$J$6:$J$26)+SUMPRODUCT((Missions!$F$6:$F$26="Spark Ads")*(Missions!$A$6:$A$26="Diamond")*(Missions!$D$6:$D$26="One-time")*'Affiliate Projection'!D25*Missions!$E$6:$E$26*Missions!$J$6:$J$26)+SUMPRODUCT((Missions!$F$6:$F$26="Spark Ads")*(Missions!$A$6:$A$26="Diamond")*(Missions!$D$6:$D$26&lt;&gt;"One-time")*'Affiliate Projection'!D16*Missions!$E$6:$E$26*Missions!$J$6:$J$26)</f>
        <v/>
      </c>
      <c r="E20" s="15">
        <f>SUMPRODUCT((Missions!$F$6:$F$26="Spark Ads")*(Missions!$A$6:$A$26="Bronze")*(Missions!$D$6:$D$26="One-time")*'Affiliate Projection'!E21*Missions!$E$6:$E$26*Missions!$J$6:$J$26)+SUMPRODUCT((Missions!$F$6:$F$26="Spark Ads")*(Missions!$A$6:$A$26="Bronze")*(Missions!$D$6:$D$26&lt;&gt;"One-time")*'Affiliate Projection'!E12*Missions!$E$6:$E$26*Missions!$J$6:$J$26)+SUMPRODUCT((Missions!$F$6:$F$26="Spark Ads")*(Missions!$A$6:$A$26="Silver")*(Missions!$D$6:$D$26="One-time")*'Affiliate Projection'!E22*Missions!$E$6:$E$26*Missions!$J$6:$J$26)+SUMPRODUCT((Missions!$F$6:$F$26="Spark Ads")*(Missions!$A$6:$A$26="Silver")*(Missions!$D$6:$D$26&lt;&gt;"One-time")*'Affiliate Projection'!E13*Missions!$E$6:$E$26*Missions!$J$6:$J$26)+SUMPRODUCT((Missions!$F$6:$F$26="Spark Ads")*(Missions!$A$6:$A$26="Gold")*(Missions!$D$6:$D$26="One-time")*'Affiliate Projection'!E23*Missions!$E$6:$E$26*Missions!$J$6:$J$26)+SUMPRODUCT((Missions!$F$6:$F$26="Spark Ads")*(Missions!$A$6:$A$26="Gold")*(Missions!$D$6:$D$26&lt;&gt;"One-time")*'Affiliate Projection'!E14*Missions!$E$6:$E$26*Missions!$J$6:$J$26)+SUMPRODUCT((Missions!$F$6:$F$26="Spark Ads")*(Missions!$A$6:$A$26="Platinum")*(Missions!$D$6:$D$26="One-time")*'Affiliate Projection'!E24*Missions!$E$6:$E$26*Missions!$J$6:$J$26)+SUMPRODUCT((Missions!$F$6:$F$26="Spark Ads")*(Missions!$A$6:$A$26="Platinum")*(Missions!$D$6:$D$26&lt;&gt;"One-time")*'Affiliate Projection'!E15*Missions!$E$6:$E$26*Missions!$J$6:$J$26)+SUMPRODUCT((Missions!$F$6:$F$26="Spark Ads")*(Missions!$A$6:$A$26="Diamond")*(Missions!$D$6:$D$26="One-time")*'Affiliate Projection'!E25*Missions!$E$6:$E$26*Missions!$J$6:$J$26)+SUMPRODUCT((Missions!$F$6:$F$26="Spark Ads")*(Missions!$A$6:$A$26="Diamond")*(Missions!$D$6:$D$26&lt;&gt;"One-time")*'Affiliate Projection'!E16*Missions!$E$6:$E$26*Missions!$J$6:$J$26)</f>
        <v/>
      </c>
      <c r="F20" s="15">
        <f>SUMPRODUCT((Missions!$F$6:$F$26="Spark Ads")*(Missions!$A$6:$A$26="Bronze")*(Missions!$D$6:$D$26="One-time")*'Affiliate Projection'!F21*Missions!$E$6:$E$26*Missions!$J$6:$J$26)+SUMPRODUCT((Missions!$F$6:$F$26="Spark Ads")*(Missions!$A$6:$A$26="Bronze")*(Missions!$D$6:$D$26&lt;&gt;"One-time")*'Affiliate Projection'!F12*Missions!$E$6:$E$26*Missions!$J$6:$J$26)+SUMPRODUCT((Missions!$F$6:$F$26="Spark Ads")*(Missions!$A$6:$A$26="Silver")*(Missions!$D$6:$D$26="One-time")*'Affiliate Projection'!F22*Missions!$E$6:$E$26*Missions!$J$6:$J$26)+SUMPRODUCT((Missions!$F$6:$F$26="Spark Ads")*(Missions!$A$6:$A$26="Silver")*(Missions!$D$6:$D$26&lt;&gt;"One-time")*'Affiliate Projection'!F13*Missions!$E$6:$E$26*Missions!$J$6:$J$26)+SUMPRODUCT((Missions!$F$6:$F$26="Spark Ads")*(Missions!$A$6:$A$26="Gold")*(Missions!$D$6:$D$26="One-time")*'Affiliate Projection'!F23*Missions!$E$6:$E$26*Missions!$J$6:$J$26)+SUMPRODUCT((Missions!$F$6:$F$26="Spark Ads")*(Missions!$A$6:$A$26="Gold")*(Missions!$D$6:$D$26&lt;&gt;"One-time")*'Affiliate Projection'!F14*Missions!$E$6:$E$26*Missions!$J$6:$J$26)+SUMPRODUCT((Missions!$F$6:$F$26="Spark Ads")*(Missions!$A$6:$A$26="Platinum")*(Missions!$D$6:$D$26="One-time")*'Affiliate Projection'!F24*Missions!$E$6:$E$26*Missions!$J$6:$J$26)+SUMPRODUCT((Missions!$F$6:$F$26="Spark Ads")*(Missions!$A$6:$A$26="Platinum")*(Missions!$D$6:$D$26&lt;&gt;"One-time")*'Affiliate Projection'!F15*Missions!$E$6:$E$26*Missions!$J$6:$J$26)+SUMPRODUCT((Missions!$F$6:$F$26="Spark Ads")*(Missions!$A$6:$A$26="Diamond")*(Missions!$D$6:$D$26="One-time")*'Affiliate Projection'!F25*Missions!$E$6:$E$26*Missions!$J$6:$J$26)+SUMPRODUCT((Missions!$F$6:$F$26="Spark Ads")*(Missions!$A$6:$A$26="Diamond")*(Missions!$D$6:$D$26&lt;&gt;"One-time")*'Affiliate Projection'!F16*Missions!$E$6:$E$26*Missions!$J$6:$J$26)</f>
        <v/>
      </c>
      <c r="G20" s="15">
        <f>SUMPRODUCT((Missions!$F$6:$F$26="Spark Ads")*(Missions!$A$6:$A$26="Bronze")*(Missions!$D$6:$D$26="One-time")*'Affiliate Projection'!G21*Missions!$E$6:$E$26*Missions!$J$6:$J$26)+SUMPRODUCT((Missions!$F$6:$F$26="Spark Ads")*(Missions!$A$6:$A$26="Bronze")*(Missions!$D$6:$D$26&lt;&gt;"One-time")*'Affiliate Projection'!G12*Missions!$E$6:$E$26*Missions!$J$6:$J$26)+SUMPRODUCT((Missions!$F$6:$F$26="Spark Ads")*(Missions!$A$6:$A$26="Silver")*(Missions!$D$6:$D$26="One-time")*'Affiliate Projection'!G22*Missions!$E$6:$E$26*Missions!$J$6:$J$26)+SUMPRODUCT((Missions!$F$6:$F$26="Spark Ads")*(Missions!$A$6:$A$26="Silver")*(Missions!$D$6:$D$26&lt;&gt;"One-time")*'Affiliate Projection'!G13*Missions!$E$6:$E$26*Missions!$J$6:$J$26)+SUMPRODUCT((Missions!$F$6:$F$26="Spark Ads")*(Missions!$A$6:$A$26="Gold")*(Missions!$D$6:$D$26="One-time")*'Affiliate Projection'!G23*Missions!$E$6:$E$26*Missions!$J$6:$J$26)+SUMPRODUCT((Missions!$F$6:$F$26="Spark Ads")*(Missions!$A$6:$A$26="Gold")*(Missions!$D$6:$D$26&lt;&gt;"One-time")*'Affiliate Projection'!G14*Missions!$E$6:$E$26*Missions!$J$6:$J$26)+SUMPRODUCT((Missions!$F$6:$F$26="Spark Ads")*(Missions!$A$6:$A$26="Platinum")*(Missions!$D$6:$D$26="One-time")*'Affiliate Projection'!G24*Missions!$E$6:$E$26*Missions!$J$6:$J$26)+SUMPRODUCT((Missions!$F$6:$F$26="Spark Ads")*(Missions!$A$6:$A$26="Platinum")*(Missions!$D$6:$D$26&lt;&gt;"One-time")*'Affiliate Projection'!G15*Missions!$E$6:$E$26*Missions!$J$6:$J$26)+SUMPRODUCT((Missions!$F$6:$F$26="Spark Ads")*(Missions!$A$6:$A$26="Diamond")*(Missions!$D$6:$D$26="One-time")*'Affiliate Projection'!G25*Missions!$E$6:$E$26*Missions!$J$6:$J$26)+SUMPRODUCT((Missions!$F$6:$F$26="Spark Ads")*(Missions!$A$6:$A$26="Diamond")*(Missions!$D$6:$D$26&lt;&gt;"One-time")*'Affiliate Projection'!G16*Missions!$E$6:$E$26*Missions!$J$6:$J$26)</f>
        <v/>
      </c>
      <c r="H20" s="15">
        <f>SUMPRODUCT((Missions!$F$6:$F$26="Spark Ads")*(Missions!$A$6:$A$26="Bronze")*(Missions!$D$6:$D$26="One-time")*'Affiliate Projection'!H21*Missions!$E$6:$E$26*Missions!$J$6:$J$26)+SUMPRODUCT((Missions!$F$6:$F$26="Spark Ads")*(Missions!$A$6:$A$26="Bronze")*(Missions!$D$6:$D$26&lt;&gt;"One-time")*'Affiliate Projection'!H12*Missions!$E$6:$E$26*Missions!$J$6:$J$26)+SUMPRODUCT((Missions!$F$6:$F$26="Spark Ads")*(Missions!$A$6:$A$26="Silver")*(Missions!$D$6:$D$26="One-time")*'Affiliate Projection'!H22*Missions!$E$6:$E$26*Missions!$J$6:$J$26)+SUMPRODUCT((Missions!$F$6:$F$26="Spark Ads")*(Missions!$A$6:$A$26="Silver")*(Missions!$D$6:$D$26&lt;&gt;"One-time")*'Affiliate Projection'!H13*Missions!$E$6:$E$26*Missions!$J$6:$J$26)+SUMPRODUCT((Missions!$F$6:$F$26="Spark Ads")*(Missions!$A$6:$A$26="Gold")*(Missions!$D$6:$D$26="One-time")*'Affiliate Projection'!H23*Missions!$E$6:$E$26*Missions!$J$6:$J$26)+SUMPRODUCT((Missions!$F$6:$F$26="Spark Ads")*(Missions!$A$6:$A$26="Gold")*(Missions!$D$6:$D$26&lt;&gt;"One-time")*'Affiliate Projection'!H14*Missions!$E$6:$E$26*Missions!$J$6:$J$26)+SUMPRODUCT((Missions!$F$6:$F$26="Spark Ads")*(Missions!$A$6:$A$26="Platinum")*(Missions!$D$6:$D$26="One-time")*'Affiliate Projection'!H24*Missions!$E$6:$E$26*Missions!$J$6:$J$26)+SUMPRODUCT((Missions!$F$6:$F$26="Spark Ads")*(Missions!$A$6:$A$26="Platinum")*(Missions!$D$6:$D$26&lt;&gt;"One-time")*'Affiliate Projection'!H15*Missions!$E$6:$E$26*Missions!$J$6:$J$26)+SUMPRODUCT((Missions!$F$6:$F$26="Spark Ads")*(Missions!$A$6:$A$26="Diamond")*(Missions!$D$6:$D$26="One-time")*'Affiliate Projection'!H25*Missions!$E$6:$E$26*Missions!$J$6:$J$26)+SUMPRODUCT((Missions!$F$6:$F$26="Spark Ads")*(Missions!$A$6:$A$26="Diamond")*(Missions!$D$6:$D$26&lt;&gt;"One-time")*'Affiliate Projection'!H16*Missions!$E$6:$E$26*Missions!$J$6:$J$26)</f>
        <v/>
      </c>
      <c r="I20" s="15">
        <f>SUMPRODUCT((Missions!$F$6:$F$26="Spark Ads")*(Missions!$A$6:$A$26="Bronze")*(Missions!$D$6:$D$26="One-time")*'Affiliate Projection'!I21*Missions!$E$6:$E$26*Missions!$J$6:$J$26)+SUMPRODUCT((Missions!$F$6:$F$26="Spark Ads")*(Missions!$A$6:$A$26="Bronze")*(Missions!$D$6:$D$26&lt;&gt;"One-time")*'Affiliate Projection'!I12*Missions!$E$6:$E$26*Missions!$J$6:$J$26)+SUMPRODUCT((Missions!$F$6:$F$26="Spark Ads")*(Missions!$A$6:$A$26="Silver")*(Missions!$D$6:$D$26="One-time")*'Affiliate Projection'!I22*Missions!$E$6:$E$26*Missions!$J$6:$J$26)+SUMPRODUCT((Missions!$F$6:$F$26="Spark Ads")*(Missions!$A$6:$A$26="Silver")*(Missions!$D$6:$D$26&lt;&gt;"One-time")*'Affiliate Projection'!I13*Missions!$E$6:$E$26*Missions!$J$6:$J$26)+SUMPRODUCT((Missions!$F$6:$F$26="Spark Ads")*(Missions!$A$6:$A$26="Gold")*(Missions!$D$6:$D$26="One-time")*'Affiliate Projection'!I23*Missions!$E$6:$E$26*Missions!$J$6:$J$26)+SUMPRODUCT((Missions!$F$6:$F$26="Spark Ads")*(Missions!$A$6:$A$26="Gold")*(Missions!$D$6:$D$26&lt;&gt;"One-time")*'Affiliate Projection'!I14*Missions!$E$6:$E$26*Missions!$J$6:$J$26)+SUMPRODUCT((Missions!$F$6:$F$26="Spark Ads")*(Missions!$A$6:$A$26="Platinum")*(Missions!$D$6:$D$26="One-time")*'Affiliate Projection'!I24*Missions!$E$6:$E$26*Missions!$J$6:$J$26)+SUMPRODUCT((Missions!$F$6:$F$26="Spark Ads")*(Missions!$A$6:$A$26="Platinum")*(Missions!$D$6:$D$26&lt;&gt;"One-time")*'Affiliate Projection'!I15*Missions!$E$6:$E$26*Missions!$J$6:$J$26)+SUMPRODUCT((Missions!$F$6:$F$26="Spark Ads")*(Missions!$A$6:$A$26="Diamond")*(Missions!$D$6:$D$26="One-time")*'Affiliate Projection'!I25*Missions!$E$6:$E$26*Missions!$J$6:$J$26)+SUMPRODUCT((Missions!$F$6:$F$26="Spark Ads")*(Missions!$A$6:$A$26="Diamond")*(Missions!$D$6:$D$26&lt;&gt;"One-time")*'Affiliate Projection'!I16*Missions!$E$6:$E$26*Missions!$J$6:$J$26)</f>
        <v/>
      </c>
      <c r="J20" s="15">
        <f>SUMPRODUCT((Missions!$F$6:$F$26="Spark Ads")*(Missions!$A$6:$A$26="Bronze")*(Missions!$D$6:$D$26="One-time")*'Affiliate Projection'!J21*Missions!$E$6:$E$26*Missions!$J$6:$J$26)+SUMPRODUCT((Missions!$F$6:$F$26="Spark Ads")*(Missions!$A$6:$A$26="Bronze")*(Missions!$D$6:$D$26&lt;&gt;"One-time")*'Affiliate Projection'!J12*Missions!$E$6:$E$26*Missions!$J$6:$J$26)+SUMPRODUCT((Missions!$F$6:$F$26="Spark Ads")*(Missions!$A$6:$A$26="Silver")*(Missions!$D$6:$D$26="One-time")*'Affiliate Projection'!J22*Missions!$E$6:$E$26*Missions!$J$6:$J$26)+SUMPRODUCT((Missions!$F$6:$F$26="Spark Ads")*(Missions!$A$6:$A$26="Silver")*(Missions!$D$6:$D$26&lt;&gt;"One-time")*'Affiliate Projection'!J13*Missions!$E$6:$E$26*Missions!$J$6:$J$26)+SUMPRODUCT((Missions!$F$6:$F$26="Spark Ads")*(Missions!$A$6:$A$26="Gold")*(Missions!$D$6:$D$26="One-time")*'Affiliate Projection'!J23*Missions!$E$6:$E$26*Missions!$J$6:$J$26)+SUMPRODUCT((Missions!$F$6:$F$26="Spark Ads")*(Missions!$A$6:$A$26="Gold")*(Missions!$D$6:$D$26&lt;&gt;"One-time")*'Affiliate Projection'!J14*Missions!$E$6:$E$26*Missions!$J$6:$J$26)+SUMPRODUCT((Missions!$F$6:$F$26="Spark Ads")*(Missions!$A$6:$A$26="Platinum")*(Missions!$D$6:$D$26="One-time")*'Affiliate Projection'!J24*Missions!$E$6:$E$26*Missions!$J$6:$J$26)+SUMPRODUCT((Missions!$F$6:$F$26="Spark Ads")*(Missions!$A$6:$A$26="Platinum")*(Missions!$D$6:$D$26&lt;&gt;"One-time")*'Affiliate Projection'!J15*Missions!$E$6:$E$26*Missions!$J$6:$J$26)+SUMPRODUCT((Missions!$F$6:$F$26="Spark Ads")*(Missions!$A$6:$A$26="Diamond")*(Missions!$D$6:$D$26="One-time")*'Affiliate Projection'!J25*Missions!$E$6:$E$26*Missions!$J$6:$J$26)+SUMPRODUCT((Missions!$F$6:$F$26="Spark Ads")*(Missions!$A$6:$A$26="Diamond")*(Missions!$D$6:$D$26&lt;&gt;"One-time")*'Affiliate Projection'!J16*Missions!$E$6:$E$26*Missions!$J$6:$J$26)</f>
        <v/>
      </c>
      <c r="K20" s="15">
        <f>SUMPRODUCT((Missions!$F$6:$F$26="Spark Ads")*(Missions!$A$6:$A$26="Bronze")*(Missions!$D$6:$D$26="One-time")*'Affiliate Projection'!K21*Missions!$E$6:$E$26*Missions!$J$6:$J$26)+SUMPRODUCT((Missions!$F$6:$F$26="Spark Ads")*(Missions!$A$6:$A$26="Bronze")*(Missions!$D$6:$D$26&lt;&gt;"One-time")*'Affiliate Projection'!K12*Missions!$E$6:$E$26*Missions!$J$6:$J$26)+SUMPRODUCT((Missions!$F$6:$F$26="Spark Ads")*(Missions!$A$6:$A$26="Silver")*(Missions!$D$6:$D$26="One-time")*'Affiliate Projection'!K22*Missions!$E$6:$E$26*Missions!$J$6:$J$26)+SUMPRODUCT((Missions!$F$6:$F$26="Spark Ads")*(Missions!$A$6:$A$26="Silver")*(Missions!$D$6:$D$26&lt;&gt;"One-time")*'Affiliate Projection'!K13*Missions!$E$6:$E$26*Missions!$J$6:$J$26)+SUMPRODUCT((Missions!$F$6:$F$26="Spark Ads")*(Missions!$A$6:$A$26="Gold")*(Missions!$D$6:$D$26="One-time")*'Affiliate Projection'!K23*Missions!$E$6:$E$26*Missions!$J$6:$J$26)+SUMPRODUCT((Missions!$F$6:$F$26="Spark Ads")*(Missions!$A$6:$A$26="Gold")*(Missions!$D$6:$D$26&lt;&gt;"One-time")*'Affiliate Projection'!K14*Missions!$E$6:$E$26*Missions!$J$6:$J$26)+SUMPRODUCT((Missions!$F$6:$F$26="Spark Ads")*(Missions!$A$6:$A$26="Platinum")*(Missions!$D$6:$D$26="One-time")*'Affiliate Projection'!K24*Missions!$E$6:$E$26*Missions!$J$6:$J$26)+SUMPRODUCT((Missions!$F$6:$F$26="Spark Ads")*(Missions!$A$6:$A$26="Platinum")*(Missions!$D$6:$D$26&lt;&gt;"One-time")*'Affiliate Projection'!K15*Missions!$E$6:$E$26*Missions!$J$6:$J$26)+SUMPRODUCT((Missions!$F$6:$F$26="Spark Ads")*(Missions!$A$6:$A$26="Diamond")*(Missions!$D$6:$D$26="One-time")*'Affiliate Projection'!K25*Missions!$E$6:$E$26*Missions!$J$6:$J$26)+SUMPRODUCT((Missions!$F$6:$F$26="Spark Ads")*(Missions!$A$6:$A$26="Diamond")*(Missions!$D$6:$D$26&lt;&gt;"One-time")*'Affiliate Projection'!K16*Missions!$E$6:$E$26*Missions!$J$6:$J$26)</f>
        <v/>
      </c>
      <c r="L20" s="15">
        <f>SUMPRODUCT((Missions!$F$6:$F$26="Spark Ads")*(Missions!$A$6:$A$26="Bronze")*(Missions!$D$6:$D$26="One-time")*'Affiliate Projection'!L21*Missions!$E$6:$E$26*Missions!$J$6:$J$26)+SUMPRODUCT((Missions!$F$6:$F$26="Spark Ads")*(Missions!$A$6:$A$26="Bronze")*(Missions!$D$6:$D$26&lt;&gt;"One-time")*'Affiliate Projection'!L12*Missions!$E$6:$E$26*Missions!$J$6:$J$26)+SUMPRODUCT((Missions!$F$6:$F$26="Spark Ads")*(Missions!$A$6:$A$26="Silver")*(Missions!$D$6:$D$26="One-time")*'Affiliate Projection'!L22*Missions!$E$6:$E$26*Missions!$J$6:$J$26)+SUMPRODUCT((Missions!$F$6:$F$26="Spark Ads")*(Missions!$A$6:$A$26="Silver")*(Missions!$D$6:$D$26&lt;&gt;"One-time")*'Affiliate Projection'!L13*Missions!$E$6:$E$26*Missions!$J$6:$J$26)+SUMPRODUCT((Missions!$F$6:$F$26="Spark Ads")*(Missions!$A$6:$A$26="Gold")*(Missions!$D$6:$D$26="One-time")*'Affiliate Projection'!L23*Missions!$E$6:$E$26*Missions!$J$6:$J$26)+SUMPRODUCT((Missions!$F$6:$F$26="Spark Ads")*(Missions!$A$6:$A$26="Gold")*(Missions!$D$6:$D$26&lt;&gt;"One-time")*'Affiliate Projection'!L14*Missions!$E$6:$E$26*Missions!$J$6:$J$26)+SUMPRODUCT((Missions!$F$6:$F$26="Spark Ads")*(Missions!$A$6:$A$26="Platinum")*(Missions!$D$6:$D$26="One-time")*'Affiliate Projection'!L24*Missions!$E$6:$E$26*Missions!$J$6:$J$26)+SUMPRODUCT((Missions!$F$6:$F$26="Spark Ads")*(Missions!$A$6:$A$26="Platinum")*(Missions!$D$6:$D$26&lt;&gt;"One-time")*'Affiliate Projection'!L15*Missions!$E$6:$E$26*Missions!$J$6:$J$26)+SUMPRODUCT((Missions!$F$6:$F$26="Spark Ads")*(Missions!$A$6:$A$26="Diamond")*(Missions!$D$6:$D$26="One-time")*'Affiliate Projection'!L25*Missions!$E$6:$E$26*Missions!$J$6:$J$26)+SUMPRODUCT((Missions!$F$6:$F$26="Spark Ads")*(Missions!$A$6:$A$26="Diamond")*(Missions!$D$6:$D$26&lt;&gt;"One-time")*'Affiliate Projection'!L16*Missions!$E$6:$E$26*Missions!$J$6:$J$26)</f>
        <v/>
      </c>
      <c r="M20" s="15">
        <f>SUMPRODUCT((Missions!$F$6:$F$26="Spark Ads")*(Missions!$A$6:$A$26="Bronze")*(Missions!$D$6:$D$26="One-time")*'Affiliate Projection'!M21*Missions!$E$6:$E$26*Missions!$J$6:$J$26)+SUMPRODUCT((Missions!$F$6:$F$26="Spark Ads")*(Missions!$A$6:$A$26="Bronze")*(Missions!$D$6:$D$26&lt;&gt;"One-time")*'Affiliate Projection'!M12*Missions!$E$6:$E$26*Missions!$J$6:$J$26)+SUMPRODUCT((Missions!$F$6:$F$26="Spark Ads")*(Missions!$A$6:$A$26="Silver")*(Missions!$D$6:$D$26="One-time")*'Affiliate Projection'!M22*Missions!$E$6:$E$26*Missions!$J$6:$J$26)+SUMPRODUCT((Missions!$F$6:$F$26="Spark Ads")*(Missions!$A$6:$A$26="Silver")*(Missions!$D$6:$D$26&lt;&gt;"One-time")*'Affiliate Projection'!M13*Missions!$E$6:$E$26*Missions!$J$6:$J$26)+SUMPRODUCT((Missions!$F$6:$F$26="Spark Ads")*(Missions!$A$6:$A$26="Gold")*(Missions!$D$6:$D$26="One-time")*'Affiliate Projection'!M23*Missions!$E$6:$E$26*Missions!$J$6:$J$26)+SUMPRODUCT((Missions!$F$6:$F$26="Spark Ads")*(Missions!$A$6:$A$26="Gold")*(Missions!$D$6:$D$26&lt;&gt;"One-time")*'Affiliate Projection'!M14*Missions!$E$6:$E$26*Missions!$J$6:$J$26)+SUMPRODUCT((Missions!$F$6:$F$26="Spark Ads")*(Missions!$A$6:$A$26="Platinum")*(Missions!$D$6:$D$26="One-time")*'Affiliate Projection'!M24*Missions!$E$6:$E$26*Missions!$J$6:$J$26)+SUMPRODUCT((Missions!$F$6:$F$26="Spark Ads")*(Missions!$A$6:$A$26="Platinum")*(Missions!$D$6:$D$26&lt;&gt;"One-time")*'Affiliate Projection'!M15*Missions!$E$6:$E$26*Missions!$J$6:$J$26)+SUMPRODUCT((Missions!$F$6:$F$26="Spark Ads")*(Missions!$A$6:$A$26="Diamond")*(Missions!$D$6:$D$26="One-time")*'Affiliate Projection'!M25*Missions!$E$6:$E$26*Missions!$J$6:$J$26)+SUMPRODUCT((Missions!$F$6:$F$26="Spark Ads")*(Missions!$A$6:$A$26="Diamond")*(Missions!$D$6:$D$26&lt;&gt;"One-time")*'Affiliate Projection'!M16*Missions!$E$6:$E$26*Missions!$J$6:$J$26)</f>
        <v/>
      </c>
    </row>
    <row r="21">
      <c r="A21" s="14" t="inlineStr">
        <is>
          <t>Physical Gift Cost</t>
        </is>
      </c>
      <c r="B21" s="15">
        <f>'Affiliate Projection'!B21*'VIP Levels'!$L$14*'VIP Levels'!$M$14+'Affiliate Projection'!B22*'VIP Levels'!$L$15*'VIP Levels'!$M$15+'Affiliate Projection'!B23*'VIP Levels'!$L$16*'VIP Levels'!$M$16+'Affiliate Projection'!B24*'VIP Levels'!$L$17*'VIP Levels'!$M$17+'Affiliate Projection'!B25*'VIP Levels'!$L$18*'VIP Levels'!$M$18</f>
        <v/>
      </c>
      <c r="C21" s="15">
        <f>'Affiliate Projection'!C21*'VIP Levels'!$L$14*'VIP Levels'!$M$14+'Affiliate Projection'!C22*'VIP Levels'!$L$15*'VIP Levels'!$M$15+'Affiliate Projection'!C23*'VIP Levels'!$L$16*'VIP Levels'!$M$16+'Affiliate Projection'!C24*'VIP Levels'!$L$17*'VIP Levels'!$M$17+'Affiliate Projection'!C25*'VIP Levels'!$L$18*'VIP Levels'!$M$18</f>
        <v/>
      </c>
      <c r="D21" s="15">
        <f>'Affiliate Projection'!D21*'VIP Levels'!$L$14*'VIP Levels'!$M$14+'Affiliate Projection'!D22*'VIP Levels'!$L$15*'VIP Levels'!$M$15+'Affiliate Projection'!D23*'VIP Levels'!$L$16*'VIP Levels'!$M$16+'Affiliate Projection'!D24*'VIP Levels'!$L$17*'VIP Levels'!$M$17+'Affiliate Projection'!D25*'VIP Levels'!$L$18*'VIP Levels'!$M$18</f>
        <v/>
      </c>
      <c r="E21" s="15">
        <f>'Affiliate Projection'!E21*'VIP Levels'!$L$14*'VIP Levels'!$M$14+'Affiliate Projection'!E22*'VIP Levels'!$L$15*'VIP Levels'!$M$15+'Affiliate Projection'!E23*'VIP Levels'!$L$16*'VIP Levels'!$M$16+'Affiliate Projection'!E24*'VIP Levels'!$L$17*'VIP Levels'!$M$17+'Affiliate Projection'!E25*'VIP Levels'!$L$18*'VIP Levels'!$M$18</f>
        <v/>
      </c>
      <c r="F21" s="15">
        <f>'Affiliate Projection'!F21*'VIP Levels'!$L$14*'VIP Levels'!$M$14+'Affiliate Projection'!F22*'VIP Levels'!$L$15*'VIP Levels'!$M$15+'Affiliate Projection'!F23*'VIP Levels'!$L$16*'VIP Levels'!$M$16+'Affiliate Projection'!F24*'VIP Levels'!$L$17*'VIP Levels'!$M$17+'Affiliate Projection'!F25*'VIP Levels'!$L$18*'VIP Levels'!$M$18</f>
        <v/>
      </c>
      <c r="G21" s="15">
        <f>'Affiliate Projection'!G21*'VIP Levels'!$L$14*'VIP Levels'!$M$14+'Affiliate Projection'!G22*'VIP Levels'!$L$15*'VIP Levels'!$M$15+'Affiliate Projection'!G23*'VIP Levels'!$L$16*'VIP Levels'!$M$16+'Affiliate Projection'!G24*'VIP Levels'!$L$17*'VIP Levels'!$M$17+'Affiliate Projection'!G25*'VIP Levels'!$L$18*'VIP Levels'!$M$18</f>
        <v/>
      </c>
      <c r="H21" s="15">
        <f>'Affiliate Projection'!H21*'VIP Levels'!$L$14*'VIP Levels'!$M$14+'Affiliate Projection'!H22*'VIP Levels'!$L$15*'VIP Levels'!$M$15+'Affiliate Projection'!H23*'VIP Levels'!$L$16*'VIP Levels'!$M$16+'Affiliate Projection'!H24*'VIP Levels'!$L$17*'VIP Levels'!$M$17+'Affiliate Projection'!H25*'VIP Levels'!$L$18*'VIP Levels'!$M$18</f>
        <v/>
      </c>
      <c r="I21" s="15">
        <f>'Affiliate Projection'!I21*'VIP Levels'!$L$14*'VIP Levels'!$M$14+'Affiliate Projection'!I22*'VIP Levels'!$L$15*'VIP Levels'!$M$15+'Affiliate Projection'!I23*'VIP Levels'!$L$16*'VIP Levels'!$M$16+'Affiliate Projection'!I24*'VIP Levels'!$L$17*'VIP Levels'!$M$17+'Affiliate Projection'!I25*'VIP Levels'!$L$18*'VIP Levels'!$M$18</f>
        <v/>
      </c>
      <c r="J21" s="15">
        <f>'Affiliate Projection'!J21*'VIP Levels'!$L$14*'VIP Levels'!$M$14+'Affiliate Projection'!J22*'VIP Levels'!$L$15*'VIP Levels'!$M$15+'Affiliate Projection'!J23*'VIP Levels'!$L$16*'VIP Levels'!$M$16+'Affiliate Projection'!J24*'VIP Levels'!$L$17*'VIP Levels'!$M$17+'Affiliate Projection'!J25*'VIP Levels'!$L$18*'VIP Levels'!$M$18</f>
        <v/>
      </c>
      <c r="K21" s="15">
        <f>'Affiliate Projection'!K21*'VIP Levels'!$L$14*'VIP Levels'!$M$14+'Affiliate Projection'!K22*'VIP Levels'!$L$15*'VIP Levels'!$M$15+'Affiliate Projection'!K23*'VIP Levels'!$L$16*'VIP Levels'!$M$16+'Affiliate Projection'!K24*'VIP Levels'!$L$17*'VIP Levels'!$M$17+'Affiliate Projection'!K25*'VIP Levels'!$L$18*'VIP Levels'!$M$18</f>
        <v/>
      </c>
      <c r="L21" s="15">
        <f>'Affiliate Projection'!L21*'VIP Levels'!$L$14*'VIP Levels'!$M$14+'Affiliate Projection'!L22*'VIP Levels'!$L$15*'VIP Levels'!$M$15+'Affiliate Projection'!L23*'VIP Levels'!$L$16*'VIP Levels'!$M$16+'Affiliate Projection'!L24*'VIP Levels'!$L$17*'VIP Levels'!$M$17+'Affiliate Projection'!L25*'VIP Levels'!$L$18*'VIP Levels'!$M$18</f>
        <v/>
      </c>
      <c r="M21" s="15">
        <f>'Affiliate Projection'!M21*'VIP Levels'!$L$14*'VIP Levels'!$M$14+'Affiliate Projection'!M22*'VIP Levels'!$L$15*'VIP Levels'!$M$15+'Affiliate Projection'!M23*'VIP Levels'!$L$16*'VIP Levels'!$M$16+'Affiliate Projection'!M24*'VIP Levels'!$L$17*'VIP Levels'!$M$17+'Affiliate Projection'!M25*'VIP Levels'!$L$18*'VIP Levels'!$M$18</f>
        <v/>
      </c>
    </row>
    <row r="22">
      <c r="A22" s="14" t="inlineStr">
        <is>
          <t>Experience Cost</t>
        </is>
      </c>
      <c r="B22" s="15">
        <f>'Affiliate Projection'!B21*'VIP Levels'!$N$14*'VIP Levels'!$O$14+'Affiliate Projection'!B22*'VIP Levels'!$N$15*'VIP Levels'!$O$15+'Affiliate Projection'!B23*'VIP Levels'!$N$16*'VIP Levels'!$O$16+'Affiliate Projection'!B24*'VIP Levels'!$N$17*'VIP Levels'!$O$17+'Affiliate Projection'!B25*'VIP Levels'!$N$18*'VIP Levels'!$O$18</f>
        <v/>
      </c>
      <c r="C22" s="15">
        <f>'Affiliate Projection'!C21*'VIP Levels'!$N$14*'VIP Levels'!$O$14+'Affiliate Projection'!C22*'VIP Levels'!$N$15*'VIP Levels'!$O$15+'Affiliate Projection'!C23*'VIP Levels'!$N$16*'VIP Levels'!$O$16+'Affiliate Projection'!C24*'VIP Levels'!$N$17*'VIP Levels'!$O$17+'Affiliate Projection'!C25*'VIP Levels'!$N$18*'VIP Levels'!$O$18</f>
        <v/>
      </c>
      <c r="D22" s="15">
        <f>'Affiliate Projection'!D21*'VIP Levels'!$N$14*'VIP Levels'!$O$14+'Affiliate Projection'!D22*'VIP Levels'!$N$15*'VIP Levels'!$O$15+'Affiliate Projection'!D23*'VIP Levels'!$N$16*'VIP Levels'!$O$16+'Affiliate Projection'!D24*'VIP Levels'!$N$17*'VIP Levels'!$O$17+'Affiliate Projection'!D25*'VIP Levels'!$N$18*'VIP Levels'!$O$18</f>
        <v/>
      </c>
      <c r="E22" s="15">
        <f>'Affiliate Projection'!E21*'VIP Levels'!$N$14*'VIP Levels'!$O$14+'Affiliate Projection'!E22*'VIP Levels'!$N$15*'VIP Levels'!$O$15+'Affiliate Projection'!E23*'VIP Levels'!$N$16*'VIP Levels'!$O$16+'Affiliate Projection'!E24*'VIP Levels'!$N$17*'VIP Levels'!$O$17+'Affiliate Projection'!E25*'VIP Levels'!$N$18*'VIP Levels'!$O$18</f>
        <v/>
      </c>
      <c r="F22" s="15">
        <f>'Affiliate Projection'!F21*'VIP Levels'!$N$14*'VIP Levels'!$O$14+'Affiliate Projection'!F22*'VIP Levels'!$N$15*'VIP Levels'!$O$15+'Affiliate Projection'!F23*'VIP Levels'!$N$16*'VIP Levels'!$O$16+'Affiliate Projection'!F24*'VIP Levels'!$N$17*'VIP Levels'!$O$17+'Affiliate Projection'!F25*'VIP Levels'!$N$18*'VIP Levels'!$O$18</f>
        <v/>
      </c>
      <c r="G22" s="15">
        <f>'Affiliate Projection'!G21*'VIP Levels'!$N$14*'VIP Levels'!$O$14+'Affiliate Projection'!G22*'VIP Levels'!$N$15*'VIP Levels'!$O$15+'Affiliate Projection'!G23*'VIP Levels'!$N$16*'VIP Levels'!$O$16+'Affiliate Projection'!G24*'VIP Levels'!$N$17*'VIP Levels'!$O$17+'Affiliate Projection'!G25*'VIP Levels'!$N$18*'VIP Levels'!$O$18</f>
        <v/>
      </c>
      <c r="H22" s="15">
        <f>'Affiliate Projection'!H21*'VIP Levels'!$N$14*'VIP Levels'!$O$14+'Affiliate Projection'!H22*'VIP Levels'!$N$15*'VIP Levels'!$O$15+'Affiliate Projection'!H23*'VIP Levels'!$N$16*'VIP Levels'!$O$16+'Affiliate Projection'!H24*'VIP Levels'!$N$17*'VIP Levels'!$O$17+'Affiliate Projection'!H25*'VIP Levels'!$N$18*'VIP Levels'!$O$18</f>
        <v/>
      </c>
      <c r="I22" s="15">
        <f>'Affiliate Projection'!I21*'VIP Levels'!$N$14*'VIP Levels'!$O$14+'Affiliate Projection'!I22*'VIP Levels'!$N$15*'VIP Levels'!$O$15+'Affiliate Projection'!I23*'VIP Levels'!$N$16*'VIP Levels'!$O$16+'Affiliate Projection'!I24*'VIP Levels'!$N$17*'VIP Levels'!$O$17+'Affiliate Projection'!I25*'VIP Levels'!$N$18*'VIP Levels'!$O$18</f>
        <v/>
      </c>
      <c r="J22" s="15">
        <f>'Affiliate Projection'!J21*'VIP Levels'!$N$14*'VIP Levels'!$O$14+'Affiliate Projection'!J22*'VIP Levels'!$N$15*'VIP Levels'!$O$15+'Affiliate Projection'!J23*'VIP Levels'!$N$16*'VIP Levels'!$O$16+'Affiliate Projection'!J24*'VIP Levels'!$N$17*'VIP Levels'!$O$17+'Affiliate Projection'!J25*'VIP Levels'!$N$18*'VIP Levels'!$O$18</f>
        <v/>
      </c>
      <c r="K22" s="15">
        <f>'Affiliate Projection'!K21*'VIP Levels'!$N$14*'VIP Levels'!$O$14+'Affiliate Projection'!K22*'VIP Levels'!$N$15*'VIP Levels'!$O$15+'Affiliate Projection'!K23*'VIP Levels'!$N$16*'VIP Levels'!$O$16+'Affiliate Projection'!K24*'VIP Levels'!$N$17*'VIP Levels'!$O$17+'Affiliate Projection'!K25*'VIP Levels'!$N$18*'VIP Levels'!$O$18</f>
        <v/>
      </c>
      <c r="L22" s="15">
        <f>'Affiliate Projection'!L21*'VIP Levels'!$N$14*'VIP Levels'!$O$14+'Affiliate Projection'!L22*'VIP Levels'!$N$15*'VIP Levels'!$O$15+'Affiliate Projection'!L23*'VIP Levels'!$N$16*'VIP Levels'!$O$16+'Affiliate Projection'!L24*'VIP Levels'!$N$17*'VIP Levels'!$O$17+'Affiliate Projection'!L25*'VIP Levels'!$N$18*'VIP Levels'!$O$18</f>
        <v/>
      </c>
      <c r="M22" s="15">
        <f>'Affiliate Projection'!M21*'VIP Levels'!$N$14*'VIP Levels'!$O$14+'Affiliate Projection'!M22*'VIP Levels'!$N$15*'VIP Levels'!$O$15+'Affiliate Projection'!M23*'VIP Levels'!$N$16*'VIP Levels'!$O$16+'Affiliate Projection'!M24*'VIP Levels'!$N$17*'VIP Levels'!$O$17+'Affiliate Projection'!M25*'VIP Levels'!$N$18*'VIP Levels'!$O$18</f>
        <v/>
      </c>
    </row>
    <row r="23">
      <c r="A23" s="14" t="inlineStr">
        <is>
          <t>Sample Cost</t>
        </is>
      </c>
      <c r="B23" s="15">
        <f>'Affiliate Projection'!B4*Inputs!$B$28</f>
        <v/>
      </c>
      <c r="C23" s="15">
        <f>'Affiliate Projection'!C4*Inputs!$B$28</f>
        <v/>
      </c>
      <c r="D23" s="15">
        <f>'Affiliate Projection'!D4*Inputs!$B$28</f>
        <v/>
      </c>
      <c r="E23" s="15">
        <f>'Affiliate Projection'!E4*Inputs!$B$28</f>
        <v/>
      </c>
      <c r="F23" s="15">
        <f>'Affiliate Projection'!F4*Inputs!$B$28</f>
        <v/>
      </c>
      <c r="G23" s="15">
        <f>'Affiliate Projection'!G4*Inputs!$B$28</f>
        <v/>
      </c>
      <c r="H23" s="15">
        <f>'Affiliate Projection'!H4*Inputs!$B$28</f>
        <v/>
      </c>
      <c r="I23" s="15">
        <f>'Affiliate Projection'!I4*Inputs!$B$28</f>
        <v/>
      </c>
      <c r="J23" s="15">
        <f>'Affiliate Projection'!J4*Inputs!$B$28</f>
        <v/>
      </c>
      <c r="K23" s="15">
        <f>'Affiliate Projection'!K4*Inputs!$B$28</f>
        <v/>
      </c>
      <c r="L23" s="15">
        <f>'Affiliate Projection'!L4*Inputs!$B$28</f>
        <v/>
      </c>
      <c r="M23" s="15">
        <f>'Affiliate Projection'!M4*Inputs!$B$28</f>
        <v/>
      </c>
    </row>
    <row r="24">
      <c r="A24" s="14" t="inlineStr">
        <is>
          <t>Total Marketing OpEx</t>
        </is>
      </c>
      <c r="B24" s="16">
        <f>SUM(B19:B23)</f>
        <v/>
      </c>
      <c r="C24" s="16">
        <f>SUM(C19:C23)</f>
        <v/>
      </c>
      <c r="D24" s="16">
        <f>SUM(D19:D23)</f>
        <v/>
      </c>
      <c r="E24" s="16">
        <f>SUM(E19:E23)</f>
        <v/>
      </c>
      <c r="F24" s="16">
        <f>SUM(F19:F23)</f>
        <v/>
      </c>
      <c r="G24" s="16">
        <f>SUM(G19:G23)</f>
        <v/>
      </c>
      <c r="H24" s="16">
        <f>SUM(H19:H23)</f>
        <v/>
      </c>
      <c r="I24" s="16">
        <f>SUM(I19:I23)</f>
        <v/>
      </c>
      <c r="J24" s="16">
        <f>SUM(J19:J23)</f>
        <v/>
      </c>
      <c r="K24" s="16">
        <f>SUM(K19:K23)</f>
        <v/>
      </c>
      <c r="L24" s="16">
        <f>SUM(L19:L23)</f>
        <v/>
      </c>
      <c r="M24" s="16">
        <f>SUM(M19:M23)</f>
        <v/>
      </c>
    </row>
    <row r="25" ht="18.75" customHeight="1" s="32">
      <c r="A25" s="14" t="n"/>
    </row>
    <row r="26" ht="18.75" customHeight="1" s="32">
      <c r="A26" s="1" t="inlineStr">
        <is>
          <t>--- TOTALS ---</t>
        </is>
      </c>
    </row>
    <row r="27">
      <c r="A27" s="14" t="inlineStr">
        <is>
          <t>Total Program Cost</t>
        </is>
      </c>
      <c r="B27" s="16">
        <f>B10+B16+B24</f>
        <v/>
      </c>
      <c r="C27" s="16">
        <f>C10+C16+C24</f>
        <v/>
      </c>
      <c r="D27" s="16">
        <f>D10+D16+D24</f>
        <v/>
      </c>
      <c r="E27" s="16">
        <f>E10+E16+E24</f>
        <v/>
      </c>
      <c r="F27" s="16">
        <f>F10+F16+F24</f>
        <v/>
      </c>
      <c r="G27" s="16">
        <f>G10+G16+G24</f>
        <v/>
      </c>
      <c r="H27" s="16">
        <f>H10+H16+H24</f>
        <v/>
      </c>
      <c r="I27" s="16">
        <f>I10+I16+I24</f>
        <v/>
      </c>
      <c r="J27" s="16">
        <f>J10+J16+J24</f>
        <v/>
      </c>
      <c r="K27" s="16">
        <f>K10+K16+K24</f>
        <v/>
      </c>
      <c r="L27" s="16">
        <f>L10+L16+L24</f>
        <v/>
      </c>
      <c r="M27" s="16">
        <f>M10+M16+M24</f>
        <v/>
      </c>
    </row>
    <row r="28"/>
    <row r="29"/>
  </sheetData>
  <mergeCells count="1"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selection activeCell="E9" sqref="E9"/>
    </sheetView>
  </sheetViews>
  <sheetFormatPr baseColWidth="8" defaultRowHeight="15"/>
  <cols>
    <col width="32" customWidth="1" style="32" min="1" max="1"/>
    <col width="15" customWidth="1" style="32" min="2" max="2"/>
    <col width="10" customWidth="1" style="32" min="3" max="14"/>
  </cols>
  <sheetData>
    <row r="1" ht="21" customHeight="1" s="32">
      <c r="A1" s="31" t="inlineStr">
        <is>
          <t>SUMMARY DASHBOARD</t>
        </is>
      </c>
    </row>
    <row r="3" ht="18.75" customHeight="1" s="32">
      <c r="A3" s="1" t="inlineStr">
        <is>
          <t>12-MONTH TOTALS</t>
        </is>
      </c>
    </row>
    <row r="4" ht="15.75" customHeight="1" s="32">
      <c r="A4" s="2" t="inlineStr">
        <is>
          <t>Metric</t>
        </is>
      </c>
      <c r="B4" s="2" t="inlineStr">
        <is>
          <t>Value</t>
        </is>
      </c>
    </row>
    <row r="5">
      <c r="A5" s="3" t="inlineStr">
        <is>
          <t>Total Samples Sent</t>
        </is>
      </c>
      <c r="B5" s="13">
        <f>SUM('Affiliate Projection'!B4:M4)</f>
        <v/>
      </c>
    </row>
    <row r="6">
      <c r="A6" s="3" t="inlineStr">
        <is>
          <t>Total New Affiliates</t>
        </is>
      </c>
      <c r="B6" s="13">
        <f>SUM('Affiliate Projection'!B7:M7)</f>
        <v/>
      </c>
    </row>
    <row r="7">
      <c r="A7" s="3" t="inlineStr">
        <is>
          <t>Active Affiliates (Month 12)</t>
        </is>
      </c>
      <c r="B7" s="13">
        <f>'Affiliate Projection'!M9</f>
        <v/>
      </c>
    </row>
    <row r="8">
      <c r="A8" s="3" t="inlineStr">
        <is>
          <t>Total Sales</t>
        </is>
      </c>
      <c r="B8" s="13">
        <f>SUM('Affiliate Projection'!B10:M10)</f>
        <v/>
      </c>
    </row>
    <row r="9">
      <c r="A9" s="3" t="n"/>
    </row>
    <row r="10">
      <c r="A10" s="3" t="inlineStr">
        <is>
          <t>Gross Revenue</t>
        </is>
      </c>
      <c r="B10" s="15">
        <f>SUM(Revenue!B6:M6)</f>
        <v/>
      </c>
    </row>
    <row r="11">
      <c r="A11" s="3" t="inlineStr">
        <is>
          <t>Net Revenue</t>
        </is>
      </c>
      <c r="B11" s="15">
        <f>SUM(Revenue!B11:M11)</f>
        <v/>
      </c>
    </row>
    <row r="12">
      <c r="A12" s="3" t="n"/>
    </row>
    <row r="13">
      <c r="A13" s="3" t="inlineStr">
        <is>
          <t>Total CM1 Costs</t>
        </is>
      </c>
      <c r="B13" s="15">
        <f>SUM(Costs!B9:M9)</f>
        <v/>
      </c>
    </row>
    <row r="14">
      <c r="A14" s="3" t="inlineStr">
        <is>
          <t>Total Loyalty Program Costs</t>
        </is>
      </c>
      <c r="B14" s="15">
        <f>SUM(Costs!B15:M15)</f>
        <v/>
      </c>
    </row>
    <row r="15">
      <c r="A15" s="3" t="inlineStr">
        <is>
          <t>Total Marketing OpEx</t>
        </is>
      </c>
      <c r="B15" s="15">
        <f>SUM(Costs!B23:M23)</f>
        <v/>
      </c>
    </row>
    <row r="16">
      <c r="A16" s="3" t="inlineStr">
        <is>
          <t>Total Program Cost</t>
        </is>
      </c>
      <c r="B16" s="15">
        <f>SUM(Costs!B26:M26)</f>
        <v/>
      </c>
    </row>
    <row r="19" ht="18.75" customHeight="1" s="32">
      <c r="A19" s="1" t="inlineStr">
        <is>
          <t>KEY RATIOS</t>
        </is>
      </c>
    </row>
    <row r="20" ht="15.75" customHeight="1" s="32">
      <c r="A20" s="2" t="inlineStr">
        <is>
          <t>Metric</t>
        </is>
      </c>
      <c r="B20" s="2" t="inlineStr">
        <is>
          <t>Value</t>
        </is>
      </c>
    </row>
    <row r="21">
      <c r="A21" s="3" t="inlineStr">
        <is>
          <t>CM1 as % of Net Revenue</t>
        </is>
      </c>
      <c r="B21" s="11">
        <f>IF(B11&gt;0,B13/B11,0)</f>
        <v/>
      </c>
    </row>
    <row r="22">
      <c r="A22" s="3" t="inlineStr">
        <is>
          <t>Total Cost as % of Net Revenue</t>
        </is>
      </c>
      <c r="B22" s="11">
        <f>IF(B11&gt;0,B16/B11,0)</f>
        <v/>
      </c>
    </row>
    <row r="23">
      <c r="A23" s="3" t="inlineStr">
        <is>
          <t>Cost per Affiliate (12-mo avg)</t>
        </is>
      </c>
      <c r="B23" s="12">
        <f>IF(B6&gt;0,B16/B6,0)</f>
        <v/>
      </c>
    </row>
    <row r="24">
      <c r="A24" s="3" t="inlineStr">
        <is>
          <t>Revenue per Affiliate (12-mo avg)</t>
        </is>
      </c>
      <c r="B24" s="12">
        <f>IF(B6&gt;0,B11/B6,0)</f>
        <v/>
      </c>
    </row>
    <row r="25">
      <c r="A25" s="3" t="inlineStr">
        <is>
          <t>Sample-to-Affiliate Conversion</t>
        </is>
      </c>
      <c r="B25" s="11">
        <f>IF(B5&gt;0,B6/B5,0)</f>
        <v/>
      </c>
    </row>
    <row r="26">
      <c r="A26" s="3" t="inlineStr">
        <is>
          <t>Weighted Avg Commission Rate</t>
        </is>
      </c>
      <c r="B26" s="11">
        <f>SUMPRODUCT('VIP Levels'!$D$5:$D$9,Inputs!$M$35:$M$39)</f>
        <v/>
      </c>
    </row>
    <row r="29" ht="18.75" customHeight="1" s="32">
      <c r="A29" s="1" t="inlineStr">
        <is>
          <t>MONTHLY TREND</t>
        </is>
      </c>
    </row>
    <row r="30" ht="15.75" customHeight="1" s="32">
      <c r="A30" s="2" t="inlineStr">
        <is>
          <t>Metric</t>
        </is>
      </c>
      <c r="B30" s="2" t="inlineStr">
        <is>
          <t>M1</t>
        </is>
      </c>
      <c r="C30" s="2" t="inlineStr">
        <is>
          <t>M2</t>
        </is>
      </c>
      <c r="D30" s="2" t="inlineStr">
        <is>
          <t>M3</t>
        </is>
      </c>
      <c r="E30" s="2" t="inlineStr">
        <is>
          <t>M4</t>
        </is>
      </c>
      <c r="F30" s="2" t="inlineStr">
        <is>
          <t>M5</t>
        </is>
      </c>
      <c r="G30" s="2" t="inlineStr">
        <is>
          <t>M6</t>
        </is>
      </c>
      <c r="H30" s="2" t="inlineStr">
        <is>
          <t>M7</t>
        </is>
      </c>
      <c r="I30" s="2" t="inlineStr">
        <is>
          <t>M8</t>
        </is>
      </c>
      <c r="J30" s="2" t="inlineStr">
        <is>
          <t>M9</t>
        </is>
      </c>
      <c r="K30" s="2" t="inlineStr">
        <is>
          <t>M10</t>
        </is>
      </c>
      <c r="L30" s="2" t="inlineStr">
        <is>
          <t>M11</t>
        </is>
      </c>
      <c r="M30" s="2" t="inlineStr">
        <is>
          <t>M12</t>
        </is>
      </c>
      <c r="N30" s="2" t="inlineStr">
        <is>
          <t>Total</t>
        </is>
      </c>
    </row>
    <row r="31">
      <c r="A31" s="3" t="inlineStr">
        <is>
          <t>Active Affiliates</t>
        </is>
      </c>
      <c r="B31" s="13">
        <f>'Affiliate Projection'!B9</f>
        <v/>
      </c>
      <c r="C31" s="13">
        <f>'Affiliate Projection'!C9</f>
        <v/>
      </c>
      <c r="D31" s="13">
        <f>'Affiliate Projection'!D9</f>
        <v/>
      </c>
      <c r="E31" s="13">
        <f>'Affiliate Projection'!E9</f>
        <v/>
      </c>
      <c r="F31" s="13">
        <f>'Affiliate Projection'!F9</f>
        <v/>
      </c>
      <c r="G31" s="13">
        <f>'Affiliate Projection'!G9</f>
        <v/>
      </c>
      <c r="H31" s="13">
        <f>'Affiliate Projection'!H9</f>
        <v/>
      </c>
      <c r="I31" s="13">
        <f>'Affiliate Projection'!I9</f>
        <v/>
      </c>
      <c r="J31" s="13">
        <f>'Affiliate Projection'!J9</f>
        <v/>
      </c>
      <c r="K31" s="13">
        <f>'Affiliate Projection'!K9</f>
        <v/>
      </c>
      <c r="L31" s="13">
        <f>'Affiliate Projection'!L9</f>
        <v/>
      </c>
      <c r="M31" s="13">
        <f>'Affiliate Projection'!M9</f>
        <v/>
      </c>
      <c r="N31" s="13">
        <f>M31</f>
        <v/>
      </c>
    </row>
    <row r="32">
      <c r="A32" s="3" t="inlineStr">
        <is>
          <t>Total Sales</t>
        </is>
      </c>
      <c r="B32" s="13">
        <f>'Affiliate Projection'!B10</f>
        <v/>
      </c>
      <c r="C32" s="13">
        <f>'Affiliate Projection'!C10</f>
        <v/>
      </c>
      <c r="D32" s="13">
        <f>'Affiliate Projection'!D10</f>
        <v/>
      </c>
      <c r="E32" s="13">
        <f>'Affiliate Projection'!E10</f>
        <v/>
      </c>
      <c r="F32" s="13">
        <f>'Affiliate Projection'!F10</f>
        <v/>
      </c>
      <c r="G32" s="13">
        <f>'Affiliate Projection'!G10</f>
        <v/>
      </c>
      <c r="H32" s="13">
        <f>'Affiliate Projection'!H10</f>
        <v/>
      </c>
      <c r="I32" s="13">
        <f>'Affiliate Projection'!I10</f>
        <v/>
      </c>
      <c r="J32" s="13">
        <f>'Affiliate Projection'!J10</f>
        <v/>
      </c>
      <c r="K32" s="13">
        <f>'Affiliate Projection'!K10</f>
        <v/>
      </c>
      <c r="L32" s="13">
        <f>'Affiliate Projection'!L10</f>
        <v/>
      </c>
      <c r="M32" s="13">
        <f>'Affiliate Projection'!M10</f>
        <v/>
      </c>
      <c r="N32" s="13">
        <f>SUM(B32:M32)</f>
        <v/>
      </c>
    </row>
    <row r="33">
      <c r="A33" s="3" t="inlineStr">
        <is>
          <t>Net Revenue</t>
        </is>
      </c>
      <c r="B33" s="15">
        <f>Revenue!B11</f>
        <v/>
      </c>
      <c r="C33" s="15">
        <f>Revenue!C11</f>
        <v/>
      </c>
      <c r="D33" s="15">
        <f>Revenue!D11</f>
        <v/>
      </c>
      <c r="E33" s="15">
        <f>Revenue!E11</f>
        <v/>
      </c>
      <c r="F33" s="15">
        <f>Revenue!F11</f>
        <v/>
      </c>
      <c r="G33" s="15">
        <f>Revenue!G11</f>
        <v/>
      </c>
      <c r="H33" s="15">
        <f>Revenue!H11</f>
        <v/>
      </c>
      <c r="I33" s="15">
        <f>Revenue!I11</f>
        <v/>
      </c>
      <c r="J33" s="15">
        <f>Revenue!J11</f>
        <v/>
      </c>
      <c r="K33" s="15">
        <f>Revenue!K11</f>
        <v/>
      </c>
      <c r="L33" s="15">
        <f>Revenue!L11</f>
        <v/>
      </c>
      <c r="M33" s="15">
        <f>Revenue!M11</f>
        <v/>
      </c>
      <c r="N33" s="15">
        <f>SUM(B33:M33)</f>
        <v/>
      </c>
    </row>
    <row r="34">
      <c r="A34" s="3" t="inlineStr">
        <is>
          <t>Total Program Cost</t>
        </is>
      </c>
      <c r="B34" s="15">
        <f>Costs!B26</f>
        <v/>
      </c>
      <c r="C34" s="15">
        <f>Costs!C26</f>
        <v/>
      </c>
      <c r="D34" s="15">
        <f>Costs!D26</f>
        <v/>
      </c>
      <c r="E34" s="15">
        <f>Costs!E26</f>
        <v/>
      </c>
      <c r="F34" s="15">
        <f>Costs!F26</f>
        <v/>
      </c>
      <c r="G34" s="15">
        <f>Costs!G26</f>
        <v/>
      </c>
      <c r="H34" s="15">
        <f>Costs!H26</f>
        <v/>
      </c>
      <c r="I34" s="15">
        <f>Costs!I26</f>
        <v/>
      </c>
      <c r="J34" s="15">
        <f>Costs!J26</f>
        <v/>
      </c>
      <c r="K34" s="15">
        <f>Costs!K26</f>
        <v/>
      </c>
      <c r="L34" s="15">
        <f>Costs!L26</f>
        <v/>
      </c>
      <c r="M34" s="15">
        <f>Costs!M26</f>
        <v/>
      </c>
      <c r="N34" s="15">
        <f>SUM(B34:M34)</f>
        <v/>
      </c>
    </row>
    <row r="35">
      <c r="A35" s="3" t="inlineStr">
        <is>
          <t>Cost as % of Revenue</t>
        </is>
      </c>
      <c r="B35" s="11">
        <f>IF(B33&gt;0,B34/B33,0)</f>
        <v/>
      </c>
      <c r="C35" s="11">
        <f>IF(C33&gt;0,C34/C33,0)</f>
        <v/>
      </c>
      <c r="D35" s="11">
        <f>IF(D33&gt;0,D34/D33,0)</f>
        <v/>
      </c>
      <c r="E35" s="11">
        <f>IF(E33&gt;0,E34/E33,0)</f>
        <v/>
      </c>
      <c r="F35" s="11">
        <f>IF(F33&gt;0,F34/F33,0)</f>
        <v/>
      </c>
      <c r="G35" s="11">
        <f>IF(G33&gt;0,G34/G33,0)</f>
        <v/>
      </c>
      <c r="H35" s="11">
        <f>IF(H33&gt;0,H34/H33,0)</f>
        <v/>
      </c>
      <c r="I35" s="11">
        <f>IF(I33&gt;0,I34/I33,0)</f>
        <v/>
      </c>
      <c r="J35" s="11">
        <f>IF(J33&gt;0,J34/J33,0)</f>
        <v/>
      </c>
      <c r="K35" s="11">
        <f>IF(K33&gt;0,K34/K33,0)</f>
        <v/>
      </c>
      <c r="L35" s="11">
        <f>IF(L33&gt;0,L34/L33,0)</f>
        <v/>
      </c>
      <c r="M35" s="11">
        <f>IF(M33&gt;0,M34/M33,0)</f>
        <v/>
      </c>
      <c r="N35" s="11">
        <f>IF(N33&gt;0,N34/N33,0)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2025-12-13T15:56:41Z</dcterms:created>
  <dcterms:modified xmlns:dcterms="http://purl.org/dc/terms/" xmlns:xsi="http://www.w3.org/2001/XMLSchema-instance" xsi:type="dcterms:W3CDTF">2025-12-18T19:54:52Z</dcterms:modified>
  <cp:lastModifiedBy>Jorge Naupari</cp:lastModifiedBy>
</cp:coreProperties>
</file>