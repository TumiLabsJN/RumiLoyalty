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VIP Levels" sheetId="2" state="visible" r:id="rId2"/>
    <sheet name="Missions" sheetId="3" state="visible" r:id="rId3"/>
    <sheet name="Affiliate Projection" sheetId="4" state="visible" r:id="rId4"/>
    <sheet name="Reward Triggers" sheetId="5" state="visible" r:id="rId5"/>
    <sheet name="Revenue" sheetId="6" state="visible" r:id="rId6"/>
    <sheet name="Costs" sheetId="7" state="visible" r:id="rId7"/>
    <sheet name="Summary" sheetId="8" state="visible" r:id="rId8"/>
  </sheets>
  <definedNames>
    <definedName name="SamplesMonth1">'Inputs'!$B$5</definedName>
    <definedName name="SamplesMonth2Plus">'Inputs'!$B$6</definedName>
    <definedName name="ConversionRate">'Inputs'!$B$7</definedName>
    <definedName name="FlywheelAffiliates">'Inputs'!$B$8</definedName>
    <definedName name="TimeToFirstSale">'Inputs'!$B$9</definedName>
    <definedName name="AttritionRate">'Inputs'!$B$10</definedName>
    <definedName name="SalesPerAffiliate">'Inputs'!$B$14</definedName>
    <definedName name="GrossAOV">'Inputs'!$B$15</definedName>
    <definedName name="RollingWindow">'Inputs'!$B$16</definedName>
    <definedName name="DiscountRedemptionRate">'Inputs'!$B$21</definedName>
    <definedName name="MissionCompletionRate">'Inputs'!$B$22</definedName>
    <definedName name="CostPerSample">'Inputs'!$B$27</definedName>
    <definedName name="VIPLevels">'VIP Levels'!$B$5:$D$9</definedName>
    <definedName name="WelcomeRewards">'VIP Levels'!$A$14:$N$18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4472C4"/>
      <sz val="14"/>
    </font>
    <font>
      <b val="1"/>
      <color rgb="00FFFFFF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1" applyAlignment="1" pivotButton="0" quotePrefix="0" xfId="0">
      <alignment horizontal="center"/>
    </xf>
    <xf numFmtId="0" fontId="4" fillId="0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LOYALTY PROGRAM FINANCIAL MODEL - INPUTS DASHBOARD</t>
        </is>
      </c>
    </row>
    <row r="3">
      <c r="A3" s="2" t="inlineStr">
        <is>
          <t>ACQUISITION INPUTS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</row>
    <row r="5">
      <c r="A5" s="4" t="inlineStr">
        <is>
          <t>Samples Sent - Month 1</t>
        </is>
      </c>
      <c r="B5" s="5" t="n">
        <v>150</v>
      </c>
      <c r="C5" s="4" t="inlineStr">
        <is>
          <t>samples</t>
        </is>
      </c>
      <c r="D5" s="4" t="inlineStr">
        <is>
          <t>Initial month sample distribution</t>
        </is>
      </c>
    </row>
    <row r="6">
      <c r="A6" s="4" t="inlineStr">
        <is>
          <t>Samples Sent - Month 2+</t>
        </is>
      </c>
      <c r="B6" s="5" t="n">
        <v>100</v>
      </c>
      <c r="C6" s="4" t="inlineStr">
        <is>
          <t>samples</t>
        </is>
      </c>
      <c r="D6" s="4" t="inlineStr">
        <is>
          <t>Ongoing monthly sample distribution</t>
        </is>
      </c>
    </row>
    <row r="7">
      <c r="A7" s="4" t="inlineStr">
        <is>
          <t>Sample-to-Affiliate Conversion Rate</t>
        </is>
      </c>
      <c r="B7" s="6" t="n">
        <v>0.2</v>
      </c>
      <c r="C7" s="4" t="inlineStr">
        <is>
          <t>%</t>
        </is>
      </c>
      <c r="D7" s="4" t="inlineStr">
        <is>
          <t>Percentage of samples that convert to affiliates</t>
        </is>
      </c>
    </row>
    <row r="8">
      <c r="A8" s="4" t="inlineStr">
        <is>
          <t>Flywheel Affiliates per Month</t>
        </is>
      </c>
      <c r="B8" s="5" t="n">
        <v>10</v>
      </c>
      <c r="C8" s="4" t="inlineStr">
        <is>
          <t>affiliates</t>
        </is>
      </c>
      <c r="D8" s="4" t="inlineStr">
        <is>
          <t>Organic inbound affiliates monthly</t>
        </is>
      </c>
    </row>
    <row r="9">
      <c r="A9" s="4" t="inlineStr">
        <is>
          <t>Time to First Sale</t>
        </is>
      </c>
      <c r="B9" s="5" t="n">
        <v>14</v>
      </c>
      <c r="C9" s="4" t="inlineStr">
        <is>
          <t>days</t>
        </is>
      </c>
      <c r="D9" s="4" t="inlineStr">
        <is>
          <t>Lag between conversion and first sale</t>
        </is>
      </c>
    </row>
    <row r="10">
      <c r="A10" s="4" t="inlineStr">
        <is>
          <t>Affiliate Attrition Rate</t>
        </is>
      </c>
      <c r="B10" s="6" t="n">
        <v>0.05</v>
      </c>
      <c r="C10" s="4" t="inlineStr">
        <is>
          <t>%</t>
        </is>
      </c>
      <c r="D10" s="4" t="inlineStr">
        <is>
          <t>Monthly churn rate of affiliates</t>
        </is>
      </c>
    </row>
    <row r="12">
      <c r="A12" s="2" t="inlineStr">
        <is>
          <t>PERFORMANCE INPUTS</t>
        </is>
      </c>
    </row>
    <row r="13">
      <c r="A13" s="3" t="inlineStr">
        <is>
          <t>Parameter</t>
        </is>
      </c>
      <c r="B13" s="3" t="inlineStr">
        <is>
          <t>Value</t>
        </is>
      </c>
      <c r="C13" s="3" t="inlineStr">
        <is>
          <t>Unit</t>
        </is>
      </c>
      <c r="D13" s="3" t="inlineStr">
        <is>
          <t>Description</t>
        </is>
      </c>
    </row>
    <row r="14">
      <c r="A14" s="4" t="inlineStr">
        <is>
          <t>Average Sales per Affiliate per Month</t>
        </is>
      </c>
      <c r="B14" s="5" t="n">
        <v>5</v>
      </c>
      <c r="C14" s="4" t="inlineStr">
        <is>
          <t>sales</t>
        </is>
      </c>
      <c r="D14" s="4" t="inlineStr">
        <is>
          <t>Monthly sales velocity per active affiliate</t>
        </is>
      </c>
    </row>
    <row r="15">
      <c r="A15" s="4" t="inlineStr">
        <is>
          <t>Gross AOV</t>
        </is>
      </c>
      <c r="B15" s="7" t="n">
        <v>100</v>
      </c>
      <c r="C15" s="4" t="inlineStr">
        <is>
          <t>$</t>
        </is>
      </c>
      <c r="D15" s="4" t="inlineStr">
        <is>
          <t>Average order value before discounts</t>
        </is>
      </c>
    </row>
    <row r="16">
      <c r="A16" s="4" t="inlineStr">
        <is>
          <t>Rolling Window Duration</t>
        </is>
      </c>
      <c r="B16" s="5" t="n">
        <v>30</v>
      </c>
      <c r="C16" s="4" t="inlineStr">
        <is>
          <t>days</t>
        </is>
      </c>
      <c r="D16" s="4" t="inlineStr">
        <is>
          <t>Time period for VIP level qualification</t>
        </is>
      </c>
    </row>
    <row r="19">
      <c r="A19" s="2" t="inlineStr">
        <is>
          <t>REDEMPTION &amp; BEHAVIOR INPUTS</t>
        </is>
      </c>
    </row>
    <row r="20">
      <c r="A20" s="3" t="inlineStr">
        <is>
          <t>Parameter</t>
        </is>
      </c>
      <c r="B20" s="3" t="inlineStr">
        <is>
          <t>Value</t>
        </is>
      </c>
      <c r="C20" s="3" t="inlineStr">
        <is>
          <t>Unit</t>
        </is>
      </c>
      <c r="D20" s="3" t="inlineStr">
        <is>
          <t>Description</t>
        </is>
      </c>
    </row>
    <row r="21">
      <c r="A21" s="4" t="inlineStr">
        <is>
          <t>Discount Redemption Rate</t>
        </is>
      </c>
      <c r="B21" s="6" t="n">
        <v>0.3</v>
      </c>
      <c r="C21" s="4" t="inlineStr">
        <is>
          <t>%</t>
        </is>
      </c>
      <c r="D21" s="4" t="inlineStr">
        <is>
          <t>Percentage of discount coupons redeemed</t>
        </is>
      </c>
    </row>
    <row r="22">
      <c r="A22" s="4" t="inlineStr">
        <is>
          <t>Mission Completion Rate (Default)</t>
        </is>
      </c>
      <c r="B22" s="6" t="n">
        <v>0.25</v>
      </c>
      <c r="C22" s="4" t="inlineStr">
        <is>
          <t>%</t>
        </is>
      </c>
      <c r="D22" s="4" t="inlineStr">
        <is>
          <t>Default completion rate for missions</t>
        </is>
      </c>
    </row>
    <row r="25">
      <c r="A25" s="2" t="inlineStr">
        <is>
          <t>COST INPUTS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Unit</t>
        </is>
      </c>
      <c r="D26" s="3" t="inlineStr">
        <is>
          <t>Description</t>
        </is>
      </c>
    </row>
    <row r="27">
      <c r="A27" s="4" t="inlineStr">
        <is>
          <t>Cost per Sample</t>
        </is>
      </c>
      <c r="B27" s="7" t="n">
        <v>15</v>
      </c>
      <c r="C27" s="4" t="inlineStr">
        <is>
          <t>$</t>
        </is>
      </c>
      <c r="D27" s="4" t="inlineStr">
        <is>
          <t>Cost of each sample sent (product + shipping)</t>
        </is>
      </c>
    </row>
    <row r="30">
      <c r="A30" s="2" t="inlineStr">
        <is>
          <t>LEGEND</t>
        </is>
      </c>
    </row>
    <row r="31">
      <c r="A31" t="inlineStr">
        <is>
          <t>Yellow cells</t>
        </is>
      </c>
      <c r="B31" s="8">
        <f> Editable inputs</f>
        <v/>
      </c>
    </row>
    <row r="32">
      <c r="A32" t="inlineStr">
        <is>
          <t>Green cells</t>
        </is>
      </c>
      <c r="B32" s="9">
        <f> Calculated values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VIP LEVEL CONFIGURATION</t>
        </is>
      </c>
    </row>
    <row r="3">
      <c r="A3" s="2" t="inlineStr">
        <is>
          <t>LEVEL THRESHOLDS &amp; COMMISSION</t>
        </is>
      </c>
    </row>
    <row r="4">
      <c r="A4" s="3" t="inlineStr">
        <is>
          <t>Level</t>
        </is>
      </c>
      <c r="B4" s="3" t="inlineStr">
        <is>
          <t>Name</t>
        </is>
      </c>
      <c r="C4" s="3" t="inlineStr">
        <is>
          <t>Sales Threshold</t>
        </is>
      </c>
      <c r="D4" s="3" t="inlineStr">
        <is>
          <t>Base Commission %</t>
        </is>
      </c>
    </row>
    <row r="5">
      <c r="A5" s="4" t="n">
        <v>1</v>
      </c>
      <c r="B5" s="5" t="inlineStr">
        <is>
          <t>Bronze</t>
        </is>
      </c>
      <c r="C5" s="5" t="n">
        <v>0</v>
      </c>
      <c r="D5" s="6" t="n">
        <v>0.1</v>
      </c>
    </row>
    <row r="6">
      <c r="A6" s="4" t="n">
        <v>2</v>
      </c>
      <c r="B6" s="5" t="inlineStr">
        <is>
          <t>Silver</t>
        </is>
      </c>
      <c r="C6" s="5" t="n">
        <v>5</v>
      </c>
      <c r="D6" s="6" t="n">
        <v>0.12</v>
      </c>
    </row>
    <row r="7">
      <c r="A7" s="4" t="n">
        <v>3</v>
      </c>
      <c r="B7" s="5" t="inlineStr">
        <is>
          <t>Gold</t>
        </is>
      </c>
      <c r="C7" s="5" t="n">
        <v>20</v>
      </c>
      <c r="D7" s="6" t="n">
        <v>0.18</v>
      </c>
    </row>
    <row r="8">
      <c r="A8" s="4" t="n">
        <v>4</v>
      </c>
      <c r="B8" s="5" t="inlineStr">
        <is>
          <t>Platinum</t>
        </is>
      </c>
      <c r="C8" s="5" t="n">
        <v>50</v>
      </c>
      <c r="D8" s="6" t="n">
        <v>0.22</v>
      </c>
    </row>
    <row r="9">
      <c r="A9" s="4" t="n">
        <v>5</v>
      </c>
      <c r="B9" s="5" t="inlineStr">
        <is>
          <t>Diamond</t>
        </is>
      </c>
      <c r="C9" s="5" t="n">
        <v>100</v>
      </c>
      <c r="D9" s="6" t="n">
        <v>0.25</v>
      </c>
    </row>
    <row r="12">
      <c r="A12" s="2" t="inlineStr">
        <is>
          <t>WELCOME REWARDS (Per Level)</t>
        </is>
      </c>
    </row>
    <row r="13">
      <c r="A13" s="3" t="inlineStr">
        <is>
          <t>Level</t>
        </is>
      </c>
      <c r="B13" s="3" t="inlineStr">
        <is>
          <t>Comm Boost Qty</t>
        </is>
      </c>
      <c r="C13" s="3" t="inlineStr">
        <is>
          <t>Comm Boost %</t>
        </is>
      </c>
      <c r="D13" s="3" t="inlineStr">
        <is>
          <t>Comm Boost Days</t>
        </is>
      </c>
      <c r="E13" s="3" t="inlineStr">
        <is>
          <t>Gift Card Qty</t>
        </is>
      </c>
      <c r="F13" s="3" t="inlineStr">
        <is>
          <t>Gift Card $</t>
        </is>
      </c>
      <c r="G13" s="3" t="inlineStr">
        <is>
          <t>Discount Qty</t>
        </is>
      </c>
      <c r="H13" s="3" t="inlineStr">
        <is>
          <t>Discount %</t>
        </is>
      </c>
      <c r="I13" s="3" t="inlineStr">
        <is>
          <t>Spark Ads Qty</t>
        </is>
      </c>
      <c r="J13" s="3" t="inlineStr">
        <is>
          <t>Spark Ads $</t>
        </is>
      </c>
      <c r="K13" s="3" t="inlineStr">
        <is>
          <t>Physical Gift Qty</t>
        </is>
      </c>
      <c r="L13" s="3" t="inlineStr">
        <is>
          <t>Physical Gift $</t>
        </is>
      </c>
      <c r="M13" s="3" t="inlineStr">
        <is>
          <t>Experience Qty</t>
        </is>
      </c>
      <c r="N13" s="3" t="inlineStr">
        <is>
          <t>Experience $</t>
        </is>
      </c>
    </row>
    <row r="14">
      <c r="A14" s="4" t="inlineStr">
        <is>
          <t>Bronze</t>
        </is>
      </c>
      <c r="B14" s="5" t="n">
        <v>1</v>
      </c>
      <c r="C14" s="6" t="n">
        <v>0.1</v>
      </c>
      <c r="D14" s="5" t="n">
        <v>30</v>
      </c>
      <c r="E14" s="5" t="n">
        <v>0</v>
      </c>
      <c r="F14" s="10" t="n">
        <v>0</v>
      </c>
      <c r="G14" s="5" t="n">
        <v>2</v>
      </c>
      <c r="H14" s="6" t="n">
        <v>0.15</v>
      </c>
      <c r="I14" s="5" t="n">
        <v>0</v>
      </c>
      <c r="J14" s="10" t="n">
        <v>0</v>
      </c>
      <c r="K14" s="5" t="n">
        <v>0</v>
      </c>
      <c r="L14" s="10" t="n">
        <v>0</v>
      </c>
      <c r="M14" s="5" t="n">
        <v>0</v>
      </c>
      <c r="N14" s="10" t="n">
        <v>0</v>
      </c>
    </row>
    <row r="15">
      <c r="A15" s="4" t="inlineStr">
        <is>
          <t>Silver</t>
        </is>
      </c>
      <c r="B15" s="5" t="n">
        <v>2</v>
      </c>
      <c r="C15" s="6" t="n">
        <v>0.15</v>
      </c>
      <c r="D15" s="5" t="n">
        <v>30</v>
      </c>
      <c r="E15" s="5" t="n">
        <v>1</v>
      </c>
      <c r="F15" s="10" t="n">
        <v>50</v>
      </c>
      <c r="G15" s="5" t="n">
        <v>2</v>
      </c>
      <c r="H15" s="6" t="n">
        <v>0.15</v>
      </c>
      <c r="I15" s="5" t="n">
        <v>1</v>
      </c>
      <c r="J15" s="10" t="n">
        <v>25</v>
      </c>
      <c r="K15" s="5" t="n">
        <v>0</v>
      </c>
      <c r="L15" s="10" t="n">
        <v>0</v>
      </c>
      <c r="M15" s="5" t="n">
        <v>0</v>
      </c>
      <c r="N15" s="10" t="n">
        <v>0</v>
      </c>
    </row>
    <row r="16">
      <c r="A16" s="4" t="inlineStr">
        <is>
          <t>Gold</t>
        </is>
      </c>
      <c r="B16" s="5" t="n">
        <v>1</v>
      </c>
      <c r="C16" s="6" t="n">
        <v>0.2</v>
      </c>
      <c r="D16" s="5" t="n">
        <v>30</v>
      </c>
      <c r="E16" s="5" t="n">
        <v>1</v>
      </c>
      <c r="F16" s="10" t="n">
        <v>100</v>
      </c>
      <c r="G16" s="5" t="n">
        <v>2</v>
      </c>
      <c r="H16" s="6" t="n">
        <v>0.2</v>
      </c>
      <c r="I16" s="5" t="n">
        <v>1</v>
      </c>
      <c r="J16" s="10" t="n">
        <v>50</v>
      </c>
      <c r="K16" s="5" t="n">
        <v>1</v>
      </c>
      <c r="L16" s="10" t="n">
        <v>50</v>
      </c>
      <c r="M16" s="5" t="n">
        <v>0</v>
      </c>
      <c r="N16" s="10" t="n">
        <v>0</v>
      </c>
    </row>
    <row r="17">
      <c r="A17" s="4" t="inlineStr">
        <is>
          <t>Platinum</t>
        </is>
      </c>
      <c r="B17" s="5" t="n">
        <v>2</v>
      </c>
      <c r="C17" s="6" t="n">
        <v>0.25</v>
      </c>
      <c r="D17" s="5" t="n">
        <v>45</v>
      </c>
      <c r="E17" s="5" t="n">
        <v>2</v>
      </c>
      <c r="F17" s="10" t="n">
        <v>150</v>
      </c>
      <c r="G17" s="5" t="n">
        <v>3</v>
      </c>
      <c r="H17" s="6" t="n">
        <v>0.25</v>
      </c>
      <c r="I17" s="5" t="n">
        <v>2</v>
      </c>
      <c r="J17" s="10" t="n">
        <v>75</v>
      </c>
      <c r="K17" s="5" t="n">
        <v>1</v>
      </c>
      <c r="L17" s="10" t="n">
        <v>75</v>
      </c>
      <c r="M17" s="5" t="n">
        <v>1</v>
      </c>
      <c r="N17" s="10" t="n">
        <v>100</v>
      </c>
    </row>
    <row r="18">
      <c r="A18" s="4" t="inlineStr">
        <is>
          <t>Diamond</t>
        </is>
      </c>
      <c r="B18" s="5" t="n">
        <v>3</v>
      </c>
      <c r="C18" s="6" t="n">
        <v>0.3</v>
      </c>
      <c r="D18" s="5" t="n">
        <v>60</v>
      </c>
      <c r="E18" s="5" t="n">
        <v>2</v>
      </c>
      <c r="F18" s="10" t="n">
        <v>200</v>
      </c>
      <c r="G18" s="5" t="n">
        <v>3</v>
      </c>
      <c r="H18" s="6" t="n">
        <v>0.3</v>
      </c>
      <c r="I18" s="5" t="n">
        <v>2</v>
      </c>
      <c r="J18" s="10" t="n">
        <v>100</v>
      </c>
      <c r="K18" s="5" t="n">
        <v>1</v>
      </c>
      <c r="L18" s="10" t="n">
        <v>100</v>
      </c>
      <c r="M18" s="5" t="n">
        <v>1</v>
      </c>
      <c r="N18" s="10" t="n">
        <v>200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MISSION CONFIGURATION</t>
        </is>
      </c>
    </row>
    <row r="3">
      <c r="A3" s="2" t="inlineStr">
        <is>
          <t>MISSIONS BY VIP LEVEL</t>
        </is>
      </c>
    </row>
    <row r="4">
      <c r="A4" s="3" t="inlineStr">
        <is>
          <t>VIP Level</t>
        </is>
      </c>
      <c r="B4" s="3" t="inlineStr">
        <is>
          <t>Mission Type</t>
        </is>
      </c>
      <c r="C4" s="3" t="inlineStr">
        <is>
          <t>Target</t>
        </is>
      </c>
      <c r="D4" s="3" t="inlineStr">
        <is>
          <t>Repeatability</t>
        </is>
      </c>
      <c r="E4" s="3" t="inlineStr">
        <is>
          <t>Completion Rate</t>
        </is>
      </c>
      <c r="F4" s="3" t="inlineStr">
        <is>
          <t>Reward Type</t>
        </is>
      </c>
      <c r="G4" s="3" t="inlineStr">
        <is>
          <t>Reward Value</t>
        </is>
      </c>
      <c r="H4" s="3" t="inlineStr">
        <is>
          <t>Reward Duration (days)</t>
        </is>
      </c>
      <c r="I4" s="3" t="inlineStr">
        <is>
          <t>Active?</t>
        </is>
      </c>
    </row>
    <row r="5">
      <c r="A5" s="5" t="inlineStr">
        <is>
          <t>Bronze</t>
        </is>
      </c>
      <c r="B5" s="5" t="inlineStr">
        <is>
          <t>Videos</t>
        </is>
      </c>
      <c r="C5" s="5" t="n">
        <v>5</v>
      </c>
      <c r="D5" s="5" t="inlineStr">
        <is>
          <t>Monthly</t>
        </is>
      </c>
      <c r="E5" s="6" t="n">
        <v>0.25</v>
      </c>
      <c r="F5" s="5" t="inlineStr">
        <is>
          <t>Gift Card</t>
        </is>
      </c>
      <c r="G5" s="10" t="n">
        <v>50</v>
      </c>
      <c r="H5" s="5" t="n">
        <v>0</v>
      </c>
      <c r="I5" s="5" t="inlineStr">
        <is>
          <t>Yes</t>
        </is>
      </c>
    </row>
    <row r="6">
      <c r="A6" s="5" t="inlineStr">
        <is>
          <t>Bronze</t>
        </is>
      </c>
      <c r="B6" s="5" t="inlineStr">
        <is>
          <t>Likes</t>
        </is>
      </c>
      <c r="C6" s="5" t="n">
        <v>100</v>
      </c>
      <c r="D6" s="5" t="inlineStr">
        <is>
          <t>Monthly</t>
        </is>
      </c>
      <c r="E6" s="6" t="n">
        <v>0.2</v>
      </c>
      <c r="F6" s="5" t="inlineStr">
        <is>
          <t>Gift Card</t>
        </is>
      </c>
      <c r="G6" s="10" t="n">
        <v>50</v>
      </c>
      <c r="H6" s="5" t="n">
        <v>0</v>
      </c>
      <c r="I6" s="5" t="inlineStr">
        <is>
          <t>Yes</t>
        </is>
      </c>
    </row>
    <row r="7">
      <c r="A7" s="5" t="inlineStr">
        <is>
          <t>Silver</t>
        </is>
      </c>
      <c r="B7" s="5" t="inlineStr">
        <is>
          <t>Videos</t>
        </is>
      </c>
      <c r="C7" s="5" t="n">
        <v>10</v>
      </c>
      <c r="D7" s="5" t="inlineStr">
        <is>
          <t>Monthly</t>
        </is>
      </c>
      <c r="E7" s="6" t="n">
        <v>0.2</v>
      </c>
      <c r="F7" s="5" t="inlineStr">
        <is>
          <t>Commission Boost</t>
        </is>
      </c>
      <c r="G7" s="6" t="n">
        <v>0.2</v>
      </c>
      <c r="H7" s="5" t="n">
        <v>30</v>
      </c>
      <c r="I7" s="5" t="inlineStr">
        <is>
          <t>Yes</t>
        </is>
      </c>
    </row>
    <row r="8">
      <c r="A8" s="5" t="inlineStr">
        <is>
          <t>Silver</t>
        </is>
      </c>
      <c r="B8" s="5" t="inlineStr">
        <is>
          <t>Likes</t>
        </is>
      </c>
      <c r="C8" s="5" t="n">
        <v>100</v>
      </c>
      <c r="D8" s="5" t="inlineStr">
        <is>
          <t>Monthly</t>
        </is>
      </c>
      <c r="E8" s="6" t="n">
        <v>0.15</v>
      </c>
      <c r="F8" s="5" t="inlineStr">
        <is>
          <t>Gift Card</t>
        </is>
      </c>
      <c r="G8" s="10" t="n">
        <v>50</v>
      </c>
      <c r="H8" s="5" t="n">
        <v>0</v>
      </c>
      <c r="I8" s="5" t="inlineStr">
        <is>
          <t>Yes</t>
        </is>
      </c>
    </row>
    <row r="9">
      <c r="A9" s="5" t="inlineStr">
        <is>
          <t>Gold</t>
        </is>
      </c>
      <c r="B9" s="5" t="inlineStr">
        <is>
          <t>Sales</t>
        </is>
      </c>
      <c r="C9" s="5" t="n">
        <v>100</v>
      </c>
      <c r="D9" s="5" t="inlineStr">
        <is>
          <t>One-time</t>
        </is>
      </c>
      <c r="E9" s="6" t="n">
        <v>0.1</v>
      </c>
      <c r="F9" s="5" t="inlineStr">
        <is>
          <t>Commission Boost</t>
        </is>
      </c>
      <c r="G9" s="6" t="n">
        <v>0.3</v>
      </c>
      <c r="H9" s="5" t="n">
        <v>45</v>
      </c>
      <c r="I9" s="5" t="inlineStr">
        <is>
          <t>Yes</t>
        </is>
      </c>
    </row>
    <row r="10">
      <c r="A10" s="5" t="inlineStr">
        <is>
          <t>Gold</t>
        </is>
      </c>
      <c r="B10" s="5" t="inlineStr">
        <is>
          <t>Views</t>
        </is>
      </c>
      <c r="C10" s="5" t="n">
        <v>1000</v>
      </c>
      <c r="D10" s="5" t="inlineStr">
        <is>
          <t>Monthly</t>
        </is>
      </c>
      <c r="E10" s="6" t="n">
        <v>0.15</v>
      </c>
      <c r="F10" s="5" t="inlineStr">
        <is>
          <t>Spark Ads</t>
        </is>
      </c>
      <c r="G10" s="10" t="n">
        <v>50</v>
      </c>
      <c r="H10" s="5" t="n">
        <v>0</v>
      </c>
      <c r="I10" s="5" t="inlineStr">
        <is>
          <t>Yes</t>
        </is>
      </c>
    </row>
    <row r="11">
      <c r="A11" s="5" t="inlineStr">
        <is>
          <t>Platinum</t>
        </is>
      </c>
      <c r="B11" s="5" t="inlineStr">
        <is>
          <t>Sales</t>
        </is>
      </c>
      <c r="C11" s="5" t="n">
        <v>200</v>
      </c>
      <c r="D11" s="5" t="inlineStr">
        <is>
          <t>One-time</t>
        </is>
      </c>
      <c r="E11" s="6" t="n">
        <v>0.08</v>
      </c>
      <c r="F11" s="5" t="inlineStr">
        <is>
          <t>Gift Card</t>
        </is>
      </c>
      <c r="G11" s="10" t="n">
        <v>200</v>
      </c>
      <c r="H11" s="5" t="n">
        <v>0</v>
      </c>
      <c r="I11" s="5" t="inlineStr">
        <is>
          <t>Yes</t>
        </is>
      </c>
    </row>
    <row r="12">
      <c r="A12" s="5" t="inlineStr">
        <is>
          <t>Platinum</t>
        </is>
      </c>
      <c r="B12" s="5" t="inlineStr">
        <is>
          <t>Videos</t>
        </is>
      </c>
      <c r="C12" s="5" t="n">
        <v>20</v>
      </c>
      <c r="D12" s="5" t="inlineStr">
        <is>
          <t>Monthly</t>
        </is>
      </c>
      <c r="E12" s="6" t="n">
        <v>0.12</v>
      </c>
      <c r="F12" s="5" t="inlineStr">
        <is>
          <t>Commission Boost</t>
        </is>
      </c>
      <c r="G12" s="6" t="n">
        <v>0.25</v>
      </c>
      <c r="H12" s="5" t="n">
        <v>30</v>
      </c>
      <c r="I12" s="5" t="inlineStr">
        <is>
          <t>Yes</t>
        </is>
      </c>
    </row>
    <row r="13">
      <c r="A13" s="5" t="inlineStr">
        <is>
          <t>Diamond</t>
        </is>
      </c>
      <c r="B13" s="5" t="inlineStr">
        <is>
          <t>Sales</t>
        </is>
      </c>
      <c r="C13" s="5" t="n">
        <v>500</v>
      </c>
      <c r="D13" s="5" t="inlineStr">
        <is>
          <t>One-time</t>
        </is>
      </c>
      <c r="E13" s="6" t="n">
        <v>0.05</v>
      </c>
      <c r="F13" s="5" t="inlineStr">
        <is>
          <t>Experience</t>
        </is>
      </c>
      <c r="G13" s="10" t="n">
        <v>500</v>
      </c>
      <c r="H13" s="5" t="n">
        <v>0</v>
      </c>
      <c r="I13" s="5" t="inlineStr">
        <is>
          <t>Yes</t>
        </is>
      </c>
    </row>
    <row r="14">
      <c r="A14" s="5" t="inlineStr">
        <is>
          <t>Diamond</t>
        </is>
      </c>
      <c r="B14" s="5" t="inlineStr">
        <is>
          <t>Views</t>
        </is>
      </c>
      <c r="C14" s="5" t="n">
        <v>5000</v>
      </c>
      <c r="D14" s="5" t="inlineStr">
        <is>
          <t>Monthly</t>
        </is>
      </c>
      <c r="E14" s="6" t="n">
        <v>0.1</v>
      </c>
      <c r="F14" s="5" t="inlineStr">
        <is>
          <t>Spark Ads</t>
        </is>
      </c>
      <c r="G14" s="10" t="n">
        <v>100</v>
      </c>
      <c r="H14" s="5" t="n">
        <v>0</v>
      </c>
      <c r="I14" s="5" t="inlineStr">
        <is>
          <t>Yes</t>
        </is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6">
      <c r="A26" t="inlineStr">
        <is>
          <t>Mission Types: Videos, Likes, Sales, Views</t>
        </is>
      </c>
    </row>
    <row r="27">
      <c r="A27" t="inlineStr">
        <is>
          <t>Repeatability Options: One-time, Weekly, Monthly</t>
        </is>
      </c>
    </row>
    <row r="28">
      <c r="A28" t="inlineStr">
        <is>
          <t>Reward Types: Gift Card, Commission Boost, Spark Ads, Discount, Experience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AFFILIATE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11" t="inlineStr">
        <is>
          <t>Samples Sent</t>
        </is>
      </c>
      <c r="B4" s="12">
        <f>Inputs!$B$5</f>
        <v/>
      </c>
      <c r="C4" s="12">
        <f>Inputs!$B$6</f>
        <v/>
      </c>
      <c r="D4" s="12">
        <f>Inputs!$B$6</f>
        <v/>
      </c>
      <c r="E4" s="12">
        <f>Inputs!$B$6</f>
        <v/>
      </c>
      <c r="F4" s="12">
        <f>Inputs!$B$6</f>
        <v/>
      </c>
      <c r="G4" s="12">
        <f>Inputs!$B$6</f>
        <v/>
      </c>
      <c r="H4" s="12">
        <f>Inputs!$B$6</f>
        <v/>
      </c>
      <c r="I4" s="12">
        <f>Inputs!$B$6</f>
        <v/>
      </c>
      <c r="J4" s="12">
        <f>Inputs!$B$6</f>
        <v/>
      </c>
      <c r="K4" s="12">
        <f>Inputs!$B$6</f>
        <v/>
      </c>
      <c r="L4" s="12">
        <f>Inputs!$B$6</f>
        <v/>
      </c>
      <c r="M4" s="12">
        <f>Inputs!$B$6</f>
        <v/>
      </c>
    </row>
    <row r="5">
      <c r="A5" s="11" t="inlineStr">
        <is>
          <t>New Affiliates (from Samples)</t>
        </is>
      </c>
      <c r="B5" s="12">
        <f>ROUND(B4*Inputs!$B$7,0)</f>
        <v/>
      </c>
      <c r="C5" s="12">
        <f>ROUND(C4*Inputs!$B$7,0)</f>
        <v/>
      </c>
      <c r="D5" s="12">
        <f>ROUND(D4*Inputs!$B$7,0)</f>
        <v/>
      </c>
      <c r="E5" s="12">
        <f>ROUND(E4*Inputs!$B$7,0)</f>
        <v/>
      </c>
      <c r="F5" s="12">
        <f>ROUND(F4*Inputs!$B$7,0)</f>
        <v/>
      </c>
      <c r="G5" s="12">
        <f>ROUND(G4*Inputs!$B$7,0)</f>
        <v/>
      </c>
      <c r="H5" s="12">
        <f>ROUND(H4*Inputs!$B$7,0)</f>
        <v/>
      </c>
      <c r="I5" s="12">
        <f>ROUND(I4*Inputs!$B$7,0)</f>
        <v/>
      </c>
      <c r="J5" s="12">
        <f>ROUND(J4*Inputs!$B$7,0)</f>
        <v/>
      </c>
      <c r="K5" s="12">
        <f>ROUND(K4*Inputs!$B$7,0)</f>
        <v/>
      </c>
      <c r="L5" s="12">
        <f>ROUND(L4*Inputs!$B$7,0)</f>
        <v/>
      </c>
      <c r="M5" s="12">
        <f>ROUND(M4*Inputs!$B$7,0)</f>
        <v/>
      </c>
    </row>
    <row r="6">
      <c r="A6" s="11" t="inlineStr">
        <is>
          <t>Flywheel Affiliates</t>
        </is>
      </c>
      <c r="B6" s="12">
        <f>Inputs!$B$8</f>
        <v/>
      </c>
      <c r="C6" s="12">
        <f>Inputs!$B$8</f>
        <v/>
      </c>
      <c r="D6" s="12">
        <f>Inputs!$B$8</f>
        <v/>
      </c>
      <c r="E6" s="12">
        <f>Inputs!$B$8</f>
        <v/>
      </c>
      <c r="F6" s="12">
        <f>Inputs!$B$8</f>
        <v/>
      </c>
      <c r="G6" s="12">
        <f>Inputs!$B$8</f>
        <v/>
      </c>
      <c r="H6" s="12">
        <f>Inputs!$B$8</f>
        <v/>
      </c>
      <c r="I6" s="12">
        <f>Inputs!$B$8</f>
        <v/>
      </c>
      <c r="J6" s="12">
        <f>Inputs!$B$8</f>
        <v/>
      </c>
      <c r="K6" s="12">
        <f>Inputs!$B$8</f>
        <v/>
      </c>
      <c r="L6" s="12">
        <f>Inputs!$B$8</f>
        <v/>
      </c>
      <c r="M6" s="12">
        <f>Inputs!$B$8</f>
        <v/>
      </c>
    </row>
    <row r="7">
      <c r="A7" s="11" t="inlineStr">
        <is>
          <t>Total New Affiliates</t>
        </is>
      </c>
      <c r="B7" s="12">
        <f>B5+B6</f>
        <v/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</row>
    <row r="8">
      <c r="A8" s="11" t="inlineStr">
        <is>
          <t>Churned Affiliates</t>
        </is>
      </c>
      <c r="B8" s="12" t="n">
        <v>0</v>
      </c>
      <c r="C8" s="12">
        <f>ROUND(B9*Inputs!$B$10,0)</f>
        <v/>
      </c>
      <c r="D8" s="12">
        <f>ROUND(C9*Inputs!$B$10,0)</f>
        <v/>
      </c>
      <c r="E8" s="12">
        <f>ROUND(D9*Inputs!$B$10,0)</f>
        <v/>
      </c>
      <c r="F8" s="12">
        <f>ROUND(E9*Inputs!$B$10,0)</f>
        <v/>
      </c>
      <c r="G8" s="12">
        <f>ROUND(F9*Inputs!$B$10,0)</f>
        <v/>
      </c>
      <c r="H8" s="12">
        <f>ROUND(G9*Inputs!$B$10,0)</f>
        <v/>
      </c>
      <c r="I8" s="12">
        <f>ROUND(H9*Inputs!$B$10,0)</f>
        <v/>
      </c>
      <c r="J8" s="12">
        <f>ROUND(I9*Inputs!$B$10,0)</f>
        <v/>
      </c>
      <c r="K8" s="12">
        <f>ROUND(J9*Inputs!$B$10,0)</f>
        <v/>
      </c>
      <c r="L8" s="12">
        <f>ROUND(K9*Inputs!$B$10,0)</f>
        <v/>
      </c>
      <c r="M8" s="12">
        <f>ROUND(L9*Inputs!$B$10,0)</f>
        <v/>
      </c>
    </row>
    <row r="9">
      <c r="A9" s="11" t="inlineStr">
        <is>
          <t>Active Affiliates (End of Month)</t>
        </is>
      </c>
      <c r="B9" s="12">
        <f>B7-B8</f>
        <v/>
      </c>
      <c r="C9" s="12">
        <f>B9+C7-C8</f>
        <v/>
      </c>
      <c r="D9" s="12">
        <f>C9+D7-D8</f>
        <v/>
      </c>
      <c r="E9" s="12">
        <f>D9+E7-E8</f>
        <v/>
      </c>
      <c r="F9" s="12">
        <f>E9+F7-F8</f>
        <v/>
      </c>
      <c r="G9" s="12">
        <f>F9+G7-G8</f>
        <v/>
      </c>
      <c r="H9" s="12">
        <f>G9+H7-H8</f>
        <v/>
      </c>
      <c r="I9" s="12">
        <f>H9+I7-I8</f>
        <v/>
      </c>
      <c r="J9" s="12">
        <f>I9+J7-J8</f>
        <v/>
      </c>
      <c r="K9" s="12">
        <f>J9+K7-K8</f>
        <v/>
      </c>
      <c r="L9" s="12">
        <f>K9+L7-L8</f>
        <v/>
      </c>
      <c r="M9" s="12">
        <f>L9+M7-M8</f>
        <v/>
      </c>
    </row>
    <row r="10">
      <c r="A10" s="11" t="inlineStr">
        <is>
          <t>Total Sales</t>
        </is>
      </c>
      <c r="B10" s="12">
        <f>ROUND(B9*Inputs!$B$14,0)</f>
        <v/>
      </c>
      <c r="C10" s="12">
        <f>ROUND(C9*Inputs!$B$14,0)</f>
        <v/>
      </c>
      <c r="D10" s="12">
        <f>ROUND(D9*Inputs!$B$14,0)</f>
        <v/>
      </c>
      <c r="E10" s="12">
        <f>ROUND(E9*Inputs!$B$14,0)</f>
        <v/>
      </c>
      <c r="F10" s="12">
        <f>ROUND(F9*Inputs!$B$14,0)</f>
        <v/>
      </c>
      <c r="G10" s="12">
        <f>ROUND(G9*Inputs!$B$14,0)</f>
        <v/>
      </c>
      <c r="H10" s="12">
        <f>ROUND(H9*Inputs!$B$14,0)</f>
        <v/>
      </c>
      <c r="I10" s="12">
        <f>ROUND(I9*Inputs!$B$14,0)</f>
        <v/>
      </c>
      <c r="J10" s="12">
        <f>ROUND(J9*Inputs!$B$14,0)</f>
        <v/>
      </c>
      <c r="K10" s="12">
        <f>ROUND(K9*Inputs!$B$14,0)</f>
        <v/>
      </c>
      <c r="L10" s="12">
        <f>ROUND(L9*Inputs!$B$14,0)</f>
        <v/>
      </c>
      <c r="M10" s="12">
        <f>ROUND(M9*Inputs!$B$14,0)</f>
        <v/>
      </c>
    </row>
    <row r="11">
      <c r="A11" s="11" t="inlineStr">
        <is>
          <t>Affiliates at Bronze</t>
        </is>
      </c>
      <c r="B11" s="12">
        <f>B9</f>
        <v/>
      </c>
      <c r="C11" s="12">
        <f>ROUND(C9*0.5,0)</f>
        <v/>
      </c>
      <c r="D11" s="12">
        <f>ROUND(D9*0.5,0)</f>
        <v/>
      </c>
      <c r="E11" s="12">
        <f>ROUND(E9*0.5,0)</f>
        <v/>
      </c>
      <c r="F11" s="12">
        <f>ROUND(F9*0.5,0)</f>
        <v/>
      </c>
      <c r="G11" s="12">
        <f>ROUND(G9*0.5,0)</f>
        <v/>
      </c>
      <c r="H11" s="12">
        <f>ROUND(H9*0.5,0)</f>
        <v/>
      </c>
      <c r="I11" s="12">
        <f>ROUND(I9*0.5,0)</f>
        <v/>
      </c>
      <c r="J11" s="12">
        <f>ROUND(J9*0.5,0)</f>
        <v/>
      </c>
      <c r="K11" s="12">
        <f>ROUND(K9*0.5,0)</f>
        <v/>
      </c>
      <c r="L11" s="12">
        <f>ROUND(L9*0.5,0)</f>
        <v/>
      </c>
      <c r="M11" s="12">
        <f>ROUND(M9*0.5,0)</f>
        <v/>
      </c>
    </row>
    <row r="12">
      <c r="A12" s="11" t="inlineStr">
        <is>
          <t>Affiliates at Silver</t>
        </is>
      </c>
      <c r="B12" s="12" t="n">
        <v>0</v>
      </c>
      <c r="C12" s="12">
        <f>ROUND(C9*0.25,0)</f>
        <v/>
      </c>
      <c r="D12" s="12">
        <f>ROUND(D9*0.25,0)</f>
        <v/>
      </c>
      <c r="E12" s="12">
        <f>ROUND(E9*0.25,0)</f>
        <v/>
      </c>
      <c r="F12" s="12">
        <f>ROUND(F9*0.25,0)</f>
        <v/>
      </c>
      <c r="G12" s="12">
        <f>ROUND(G9*0.25,0)</f>
        <v/>
      </c>
      <c r="H12" s="12">
        <f>ROUND(H9*0.25,0)</f>
        <v/>
      </c>
      <c r="I12" s="12">
        <f>ROUND(I9*0.25,0)</f>
        <v/>
      </c>
      <c r="J12" s="12">
        <f>ROUND(J9*0.25,0)</f>
        <v/>
      </c>
      <c r="K12" s="12">
        <f>ROUND(K9*0.25,0)</f>
        <v/>
      </c>
      <c r="L12" s="12">
        <f>ROUND(L9*0.25,0)</f>
        <v/>
      </c>
      <c r="M12" s="12">
        <f>ROUND(M9*0.25,0)</f>
        <v/>
      </c>
    </row>
    <row r="13">
      <c r="A13" s="11" t="inlineStr">
        <is>
          <t>Affiliates at Gold</t>
        </is>
      </c>
      <c r="B13" s="12" t="n">
        <v>0</v>
      </c>
      <c r="C13" s="12">
        <f>ROUND(C9*0.15,0)</f>
        <v/>
      </c>
      <c r="D13" s="12">
        <f>ROUND(D9*0.15,0)</f>
        <v/>
      </c>
      <c r="E13" s="12">
        <f>ROUND(E9*0.15,0)</f>
        <v/>
      </c>
      <c r="F13" s="12">
        <f>ROUND(F9*0.15,0)</f>
        <v/>
      </c>
      <c r="G13" s="12">
        <f>ROUND(G9*0.15,0)</f>
        <v/>
      </c>
      <c r="H13" s="12">
        <f>ROUND(H9*0.15,0)</f>
        <v/>
      </c>
      <c r="I13" s="12">
        <f>ROUND(I9*0.15,0)</f>
        <v/>
      </c>
      <c r="J13" s="12">
        <f>ROUND(J9*0.15,0)</f>
        <v/>
      </c>
      <c r="K13" s="12">
        <f>ROUND(K9*0.15,0)</f>
        <v/>
      </c>
      <c r="L13" s="12">
        <f>ROUND(L9*0.15,0)</f>
        <v/>
      </c>
      <c r="M13" s="12">
        <f>ROUND(M9*0.15,0)</f>
        <v/>
      </c>
    </row>
    <row r="14">
      <c r="A14" s="11" t="inlineStr">
        <is>
          <t>Affiliates at Platinum</t>
        </is>
      </c>
      <c r="B14" s="12" t="n">
        <v>0</v>
      </c>
      <c r="C14" s="12">
        <f>ROUND(C9*0.07,0)</f>
        <v/>
      </c>
      <c r="D14" s="12">
        <f>ROUND(D9*0.07,0)</f>
        <v/>
      </c>
      <c r="E14" s="12">
        <f>ROUND(E9*0.07,0)</f>
        <v/>
      </c>
      <c r="F14" s="12">
        <f>ROUND(F9*0.07,0)</f>
        <v/>
      </c>
      <c r="G14" s="12">
        <f>ROUND(G9*0.07,0)</f>
        <v/>
      </c>
      <c r="H14" s="12">
        <f>ROUND(H9*0.07,0)</f>
        <v/>
      </c>
      <c r="I14" s="12">
        <f>ROUND(I9*0.07,0)</f>
        <v/>
      </c>
      <c r="J14" s="12">
        <f>ROUND(J9*0.07,0)</f>
        <v/>
      </c>
      <c r="K14" s="12">
        <f>ROUND(K9*0.07,0)</f>
        <v/>
      </c>
      <c r="L14" s="12">
        <f>ROUND(L9*0.07,0)</f>
        <v/>
      </c>
      <c r="M14" s="12">
        <f>ROUND(M9*0.07,0)</f>
        <v/>
      </c>
    </row>
    <row r="15">
      <c r="A15" s="11" t="inlineStr">
        <is>
          <t>Affiliates at Diamond</t>
        </is>
      </c>
      <c r="B15" s="12" t="n">
        <v>0</v>
      </c>
      <c r="C15" s="12">
        <f>ROUND(C9*0.03,0)</f>
        <v/>
      </c>
      <c r="D15" s="12">
        <f>ROUND(D9*0.03,0)</f>
        <v/>
      </c>
      <c r="E15" s="12">
        <f>ROUND(E9*0.03,0)</f>
        <v/>
      </c>
      <c r="F15" s="12">
        <f>ROUND(F9*0.03,0)</f>
        <v/>
      </c>
      <c r="G15" s="12">
        <f>ROUND(G9*0.03,0)</f>
        <v/>
      </c>
      <c r="H15" s="12">
        <f>ROUND(H9*0.03,0)</f>
        <v/>
      </c>
      <c r="I15" s="12">
        <f>ROUND(I9*0.03,0)</f>
        <v/>
      </c>
      <c r="J15" s="12">
        <f>ROUND(J9*0.03,0)</f>
        <v/>
      </c>
      <c r="K15" s="12">
        <f>ROUND(K9*0.03,0)</f>
        <v/>
      </c>
      <c r="L15" s="12">
        <f>ROUND(L9*0.03,0)</f>
        <v/>
      </c>
      <c r="M15" s="12">
        <f>ROUND(M9*0.03,0)</f>
        <v/>
      </c>
    </row>
    <row r="16">
      <c r="A16" s="11" t="inlineStr">
        <is>
          <t>Level-Up Events</t>
        </is>
      </c>
      <c r="B16" s="12">
        <f>B7</f>
        <v/>
      </c>
      <c r="C16" s="12">
        <f>C7+ROUND(B9*0.1,0)</f>
        <v/>
      </c>
      <c r="D16" s="12">
        <f>D7+ROUND(C9*0.1,0)</f>
        <v/>
      </c>
      <c r="E16" s="12">
        <f>E7+ROUND(D9*0.1,0)</f>
        <v/>
      </c>
      <c r="F16" s="12">
        <f>F7+ROUND(E9*0.1,0)</f>
        <v/>
      </c>
      <c r="G16" s="12">
        <f>G7+ROUND(F9*0.1,0)</f>
        <v/>
      </c>
      <c r="H16" s="12">
        <f>H7+ROUND(G9*0.1,0)</f>
        <v/>
      </c>
      <c r="I16" s="12">
        <f>I7+ROUND(H9*0.1,0)</f>
        <v/>
      </c>
      <c r="J16" s="12">
        <f>J7+ROUND(I9*0.1,0)</f>
        <v/>
      </c>
      <c r="K16" s="12">
        <f>K7+ROUND(J9*0.1,0)</f>
        <v/>
      </c>
      <c r="L16" s="12">
        <f>L7+ROUND(K9*0.1,0)</f>
        <v/>
      </c>
      <c r="M16" s="12">
        <f>M7+ROUND(L9*0.1,0)</f>
        <v/>
      </c>
    </row>
    <row r="17">
      <c r="A17" s="11" t="inlineStr">
        <is>
          <t>Demotion Events</t>
        </is>
      </c>
      <c r="B17" s="12" t="n">
        <v>0</v>
      </c>
      <c r="C17" s="12">
        <f>ROUND(B9*0.05,0)</f>
        <v/>
      </c>
      <c r="D17" s="12">
        <f>ROUND(C9*0.05,0)</f>
        <v/>
      </c>
      <c r="E17" s="12">
        <f>ROUND(D9*0.05,0)</f>
        <v/>
      </c>
      <c r="F17" s="12">
        <f>ROUND(E9*0.05,0)</f>
        <v/>
      </c>
      <c r="G17" s="12">
        <f>ROUND(F9*0.05,0)</f>
        <v/>
      </c>
      <c r="H17" s="12">
        <f>ROUND(G9*0.05,0)</f>
        <v/>
      </c>
      <c r="I17" s="12">
        <f>ROUND(H9*0.05,0)</f>
        <v/>
      </c>
      <c r="J17" s="12">
        <f>ROUND(I9*0.05,0)</f>
        <v/>
      </c>
      <c r="K17" s="12">
        <f>ROUND(J9*0.05,0)</f>
        <v/>
      </c>
      <c r="L17" s="12">
        <f>ROUND(K9*0.05,0)</f>
        <v/>
      </c>
      <c r="M17" s="12">
        <f>ROUND(L9*0.05,0)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REWARD TRIGGERS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2" t="inlineStr">
        <is>
          <t>--- WELCOME REWARDS ---</t>
        </is>
      </c>
    </row>
    <row r="5">
      <c r="A5" s="11" t="inlineStr">
        <is>
          <t>Commission Boosts Triggered</t>
        </is>
      </c>
      <c r="B5" s="12">
        <f>'Affiliate Projection'!B16*2</f>
        <v/>
      </c>
      <c r="C5" s="12">
        <f>'Affiliate Projection'!C16*2</f>
        <v/>
      </c>
      <c r="D5" s="12">
        <f>'Affiliate Projection'!D16*2</f>
        <v/>
      </c>
      <c r="E5" s="12">
        <f>'Affiliate Projection'!E16*2</f>
        <v/>
      </c>
      <c r="F5" s="12">
        <f>'Affiliate Projection'!F16*2</f>
        <v/>
      </c>
      <c r="G5" s="12">
        <f>'Affiliate Projection'!G16*2</f>
        <v/>
      </c>
      <c r="H5" s="12">
        <f>'Affiliate Projection'!H16*2</f>
        <v/>
      </c>
      <c r="I5" s="12">
        <f>'Affiliate Projection'!I16*2</f>
        <v/>
      </c>
      <c r="J5" s="12">
        <f>'Affiliate Projection'!J16*2</f>
        <v/>
      </c>
      <c r="K5" s="12">
        <f>'Affiliate Projection'!K16*2</f>
        <v/>
      </c>
      <c r="L5" s="12">
        <f>'Affiliate Projection'!L16*2</f>
        <v/>
      </c>
      <c r="M5" s="12">
        <f>'Affiliate Projection'!M16*2</f>
        <v/>
      </c>
    </row>
    <row r="6">
      <c r="A6" s="11" t="inlineStr">
        <is>
          <t>Gift Cards Triggered (One-time)</t>
        </is>
      </c>
      <c r="B6" s="12">
        <f>ROUND('Affiliate Projection'!B7*0.3,0)</f>
        <v/>
      </c>
      <c r="C6" s="12">
        <f>ROUND('Affiliate Projection'!C7*0.3,0)</f>
        <v/>
      </c>
      <c r="D6" s="12">
        <f>ROUND('Affiliate Projection'!D7*0.3,0)</f>
        <v/>
      </c>
      <c r="E6" s="12">
        <f>ROUND('Affiliate Projection'!E7*0.3,0)</f>
        <v/>
      </c>
      <c r="F6" s="12">
        <f>ROUND('Affiliate Projection'!F7*0.3,0)</f>
        <v/>
      </c>
      <c r="G6" s="12">
        <f>ROUND('Affiliate Projection'!G7*0.3,0)</f>
        <v/>
      </c>
      <c r="H6" s="12">
        <f>ROUND('Affiliate Projection'!H7*0.3,0)</f>
        <v/>
      </c>
      <c r="I6" s="12">
        <f>ROUND('Affiliate Projection'!I7*0.3,0)</f>
        <v/>
      </c>
      <c r="J6" s="12">
        <f>ROUND('Affiliate Projection'!J7*0.3,0)</f>
        <v/>
      </c>
      <c r="K6" s="12">
        <f>ROUND('Affiliate Projection'!K7*0.3,0)</f>
        <v/>
      </c>
      <c r="L6" s="12">
        <f>ROUND('Affiliate Projection'!L7*0.3,0)</f>
        <v/>
      </c>
      <c r="M6" s="12">
        <f>ROUND('Affiliate Projection'!M7*0.3,0)</f>
        <v/>
      </c>
    </row>
    <row r="7">
      <c r="A7" s="11" t="inlineStr">
        <is>
          <t>Discount Coupons Triggered</t>
        </is>
      </c>
      <c r="B7" s="12">
        <f>'Affiliate Projection'!B16*2</f>
        <v/>
      </c>
      <c r="C7" s="12">
        <f>'Affiliate Projection'!C16*2</f>
        <v/>
      </c>
      <c r="D7" s="12">
        <f>'Affiliate Projection'!D16*2</f>
        <v/>
      </c>
      <c r="E7" s="12">
        <f>'Affiliate Projection'!E16*2</f>
        <v/>
      </c>
      <c r="F7" s="12">
        <f>'Affiliate Projection'!F16*2</f>
        <v/>
      </c>
      <c r="G7" s="12">
        <f>'Affiliate Projection'!G16*2</f>
        <v/>
      </c>
      <c r="H7" s="12">
        <f>'Affiliate Projection'!H16*2</f>
        <v/>
      </c>
      <c r="I7" s="12">
        <f>'Affiliate Projection'!I16*2</f>
        <v/>
      </c>
      <c r="J7" s="12">
        <f>'Affiliate Projection'!J16*2</f>
        <v/>
      </c>
      <c r="K7" s="12">
        <f>'Affiliate Projection'!K16*2</f>
        <v/>
      </c>
      <c r="L7" s="12">
        <f>'Affiliate Projection'!L16*2</f>
        <v/>
      </c>
      <c r="M7" s="12">
        <f>'Affiliate Projection'!M16*2</f>
        <v/>
      </c>
    </row>
    <row r="8">
      <c r="A8" s="11" t="inlineStr">
        <is>
          <t>Spark Ads Triggered</t>
        </is>
      </c>
      <c r="B8" s="12">
        <f>ROUND('Affiliate Projection'!B16*0.5,0)</f>
        <v/>
      </c>
      <c r="C8" s="12">
        <f>ROUND('Affiliate Projection'!C16*0.5,0)</f>
        <v/>
      </c>
      <c r="D8" s="12">
        <f>ROUND('Affiliate Projection'!D16*0.5,0)</f>
        <v/>
      </c>
      <c r="E8" s="12">
        <f>ROUND('Affiliate Projection'!E16*0.5,0)</f>
        <v/>
      </c>
      <c r="F8" s="12">
        <f>ROUND('Affiliate Projection'!F16*0.5,0)</f>
        <v/>
      </c>
      <c r="G8" s="12">
        <f>ROUND('Affiliate Projection'!G16*0.5,0)</f>
        <v/>
      </c>
      <c r="H8" s="12">
        <f>ROUND('Affiliate Projection'!H16*0.5,0)</f>
        <v/>
      </c>
      <c r="I8" s="12">
        <f>ROUND('Affiliate Projection'!I16*0.5,0)</f>
        <v/>
      </c>
      <c r="J8" s="12">
        <f>ROUND('Affiliate Projection'!J16*0.5,0)</f>
        <v/>
      </c>
      <c r="K8" s="12">
        <f>ROUND('Affiliate Projection'!K16*0.5,0)</f>
        <v/>
      </c>
      <c r="L8" s="12">
        <f>ROUND('Affiliate Projection'!L16*0.5,0)</f>
        <v/>
      </c>
      <c r="M8" s="12">
        <f>ROUND('Affiliate Projection'!M16*0.5,0)</f>
        <v/>
      </c>
    </row>
    <row r="9">
      <c r="A9" s="11" t="inlineStr">
        <is>
          <t>Physical Gifts Triggered (One-time)</t>
        </is>
      </c>
      <c r="B9" s="12">
        <f>ROUND('Affiliate Projection'!B7*0.1,0)</f>
        <v/>
      </c>
      <c r="C9" s="12">
        <f>ROUND('Affiliate Projection'!C7*0.1,0)</f>
        <v/>
      </c>
      <c r="D9" s="12">
        <f>ROUND('Affiliate Projection'!D7*0.1,0)</f>
        <v/>
      </c>
      <c r="E9" s="12">
        <f>ROUND('Affiliate Projection'!E7*0.1,0)</f>
        <v/>
      </c>
      <c r="F9" s="12">
        <f>ROUND('Affiliate Projection'!F7*0.1,0)</f>
        <v/>
      </c>
      <c r="G9" s="12">
        <f>ROUND('Affiliate Projection'!G7*0.1,0)</f>
        <v/>
      </c>
      <c r="H9" s="12">
        <f>ROUND('Affiliate Projection'!H7*0.1,0)</f>
        <v/>
      </c>
      <c r="I9" s="12">
        <f>ROUND('Affiliate Projection'!I7*0.1,0)</f>
        <v/>
      </c>
      <c r="J9" s="12">
        <f>ROUND('Affiliate Projection'!J7*0.1,0)</f>
        <v/>
      </c>
      <c r="K9" s="12">
        <f>ROUND('Affiliate Projection'!K7*0.1,0)</f>
        <v/>
      </c>
      <c r="L9" s="12">
        <f>ROUND('Affiliate Projection'!L7*0.1,0)</f>
        <v/>
      </c>
      <c r="M9" s="12">
        <f>ROUND('Affiliate Projection'!M7*0.1,0)</f>
        <v/>
      </c>
    </row>
    <row r="10">
      <c r="A10" s="11" t="inlineStr">
        <is>
          <t>Experiences Triggered (One-time)</t>
        </is>
      </c>
      <c r="B10" s="12">
        <f>ROUND('Affiliate Projection'!B7*0.03,0)</f>
        <v/>
      </c>
      <c r="C10" s="12">
        <f>ROUND('Affiliate Projection'!C7*0.03,0)</f>
        <v/>
      </c>
      <c r="D10" s="12">
        <f>ROUND('Affiliate Projection'!D7*0.03,0)</f>
        <v/>
      </c>
      <c r="E10" s="12">
        <f>ROUND('Affiliate Projection'!E7*0.03,0)</f>
        <v/>
      </c>
      <c r="F10" s="12">
        <f>ROUND('Affiliate Projection'!F7*0.03,0)</f>
        <v/>
      </c>
      <c r="G10" s="12">
        <f>ROUND('Affiliate Projection'!G7*0.03,0)</f>
        <v/>
      </c>
      <c r="H10" s="12">
        <f>ROUND('Affiliate Projection'!H7*0.03,0)</f>
        <v/>
      </c>
      <c r="I10" s="12">
        <f>ROUND('Affiliate Projection'!I7*0.03,0)</f>
        <v/>
      </c>
      <c r="J10" s="12">
        <f>ROUND('Affiliate Projection'!J7*0.03,0)</f>
        <v/>
      </c>
      <c r="K10" s="12">
        <f>ROUND('Affiliate Projection'!K7*0.03,0)</f>
        <v/>
      </c>
      <c r="L10" s="12">
        <f>ROUND('Affiliate Projection'!L7*0.03,0)</f>
        <v/>
      </c>
      <c r="M10" s="12">
        <f>ROUND('Affiliate Projection'!M7*0.03,0)</f>
        <v/>
      </c>
    </row>
    <row r="11">
      <c r="A11" s="11" t="inlineStr"/>
    </row>
    <row r="12">
      <c r="A12" s="2" t="inlineStr">
        <is>
          <t>--- MISSION REWARDS ---</t>
        </is>
      </c>
    </row>
    <row r="13">
      <c r="A13" s="11" t="inlineStr">
        <is>
          <t>Mission Completions (Bronze)</t>
        </is>
      </c>
      <c r="B13" s="12">
        <f>ROUND('Affiliate Projection'!B11*Inputs!$B$22*2,0)</f>
        <v/>
      </c>
      <c r="C13" s="12">
        <f>ROUND('Affiliate Projection'!C11*Inputs!$B$22*2,0)</f>
        <v/>
      </c>
      <c r="D13" s="12">
        <f>ROUND('Affiliate Projection'!D11*Inputs!$B$22*2,0)</f>
        <v/>
      </c>
      <c r="E13" s="12">
        <f>ROUND('Affiliate Projection'!E11*Inputs!$B$22*2,0)</f>
        <v/>
      </c>
      <c r="F13" s="12">
        <f>ROUND('Affiliate Projection'!F11*Inputs!$B$22*2,0)</f>
        <v/>
      </c>
      <c r="G13" s="12">
        <f>ROUND('Affiliate Projection'!G11*Inputs!$B$22*2,0)</f>
        <v/>
      </c>
      <c r="H13" s="12">
        <f>ROUND('Affiliate Projection'!H11*Inputs!$B$22*2,0)</f>
        <v/>
      </c>
      <c r="I13" s="12">
        <f>ROUND('Affiliate Projection'!I11*Inputs!$B$22*2,0)</f>
        <v/>
      </c>
      <c r="J13" s="12">
        <f>ROUND('Affiliate Projection'!J11*Inputs!$B$22*2,0)</f>
        <v/>
      </c>
      <c r="K13" s="12">
        <f>ROUND('Affiliate Projection'!K11*Inputs!$B$22*2,0)</f>
        <v/>
      </c>
      <c r="L13" s="12">
        <f>ROUND('Affiliate Projection'!L11*Inputs!$B$22*2,0)</f>
        <v/>
      </c>
      <c r="M13" s="12">
        <f>ROUND('Affiliate Projection'!M11*Inputs!$B$22*2,0)</f>
        <v/>
      </c>
    </row>
    <row r="14">
      <c r="A14" s="11" t="inlineStr">
        <is>
          <t>Mission Completions (Silver)</t>
        </is>
      </c>
      <c r="B14" s="12">
        <f>ROUND('Affiliate Projection'!B12*Inputs!$B$22*2,0)</f>
        <v/>
      </c>
      <c r="C14" s="12">
        <f>ROUND('Affiliate Projection'!C12*Inputs!$B$22*2,0)</f>
        <v/>
      </c>
      <c r="D14" s="12">
        <f>ROUND('Affiliate Projection'!D12*Inputs!$B$22*2,0)</f>
        <v/>
      </c>
      <c r="E14" s="12">
        <f>ROUND('Affiliate Projection'!E12*Inputs!$B$22*2,0)</f>
        <v/>
      </c>
      <c r="F14" s="12">
        <f>ROUND('Affiliate Projection'!F12*Inputs!$B$22*2,0)</f>
        <v/>
      </c>
      <c r="G14" s="12">
        <f>ROUND('Affiliate Projection'!G12*Inputs!$B$22*2,0)</f>
        <v/>
      </c>
      <c r="H14" s="12">
        <f>ROUND('Affiliate Projection'!H12*Inputs!$B$22*2,0)</f>
        <v/>
      </c>
      <c r="I14" s="12">
        <f>ROUND('Affiliate Projection'!I12*Inputs!$B$22*2,0)</f>
        <v/>
      </c>
      <c r="J14" s="12">
        <f>ROUND('Affiliate Projection'!J12*Inputs!$B$22*2,0)</f>
        <v/>
      </c>
      <c r="K14" s="12">
        <f>ROUND('Affiliate Projection'!K12*Inputs!$B$22*2,0)</f>
        <v/>
      </c>
      <c r="L14" s="12">
        <f>ROUND('Affiliate Projection'!L12*Inputs!$B$22*2,0)</f>
        <v/>
      </c>
      <c r="M14" s="12">
        <f>ROUND('Affiliate Projection'!M12*Inputs!$B$22*2,0)</f>
        <v/>
      </c>
    </row>
    <row r="15">
      <c r="A15" s="11" t="inlineStr">
        <is>
          <t>Mission Completions (Gold)</t>
        </is>
      </c>
      <c r="B15" s="12">
        <f>ROUND('Affiliate Projection'!B13*Inputs!$B$22*2,0)</f>
        <v/>
      </c>
      <c r="C15" s="12">
        <f>ROUND('Affiliate Projection'!C13*Inputs!$B$22*2,0)</f>
        <v/>
      </c>
      <c r="D15" s="12">
        <f>ROUND('Affiliate Projection'!D13*Inputs!$B$22*2,0)</f>
        <v/>
      </c>
      <c r="E15" s="12">
        <f>ROUND('Affiliate Projection'!E13*Inputs!$B$22*2,0)</f>
        <v/>
      </c>
      <c r="F15" s="12">
        <f>ROUND('Affiliate Projection'!F13*Inputs!$B$22*2,0)</f>
        <v/>
      </c>
      <c r="G15" s="12">
        <f>ROUND('Affiliate Projection'!G13*Inputs!$B$22*2,0)</f>
        <v/>
      </c>
      <c r="H15" s="12">
        <f>ROUND('Affiliate Projection'!H13*Inputs!$B$22*2,0)</f>
        <v/>
      </c>
      <c r="I15" s="12">
        <f>ROUND('Affiliate Projection'!I13*Inputs!$B$22*2,0)</f>
        <v/>
      </c>
      <c r="J15" s="12">
        <f>ROUND('Affiliate Projection'!J13*Inputs!$B$22*2,0)</f>
        <v/>
      </c>
      <c r="K15" s="12">
        <f>ROUND('Affiliate Projection'!K13*Inputs!$B$22*2,0)</f>
        <v/>
      </c>
      <c r="L15" s="12">
        <f>ROUND('Affiliate Projection'!L13*Inputs!$B$22*2,0)</f>
        <v/>
      </c>
      <c r="M15" s="12">
        <f>ROUND('Affiliate Projection'!M13*Inputs!$B$22*2,0)</f>
        <v/>
      </c>
    </row>
    <row r="16">
      <c r="A16" s="11" t="inlineStr">
        <is>
          <t>Mission Completions (Platinum)</t>
        </is>
      </c>
      <c r="B16" s="12">
        <f>ROUND('Affiliate Projection'!B14*Inputs!$B$22*2,0)</f>
        <v/>
      </c>
      <c r="C16" s="12">
        <f>ROUND('Affiliate Projection'!C14*Inputs!$B$22*2,0)</f>
        <v/>
      </c>
      <c r="D16" s="12">
        <f>ROUND('Affiliate Projection'!D14*Inputs!$B$22*2,0)</f>
        <v/>
      </c>
      <c r="E16" s="12">
        <f>ROUND('Affiliate Projection'!E14*Inputs!$B$22*2,0)</f>
        <v/>
      </c>
      <c r="F16" s="12">
        <f>ROUND('Affiliate Projection'!F14*Inputs!$B$22*2,0)</f>
        <v/>
      </c>
      <c r="G16" s="12">
        <f>ROUND('Affiliate Projection'!G14*Inputs!$B$22*2,0)</f>
        <v/>
      </c>
      <c r="H16" s="12">
        <f>ROUND('Affiliate Projection'!H14*Inputs!$B$22*2,0)</f>
        <v/>
      </c>
      <c r="I16" s="12">
        <f>ROUND('Affiliate Projection'!I14*Inputs!$B$22*2,0)</f>
        <v/>
      </c>
      <c r="J16" s="12">
        <f>ROUND('Affiliate Projection'!J14*Inputs!$B$22*2,0)</f>
        <v/>
      </c>
      <c r="K16" s="12">
        <f>ROUND('Affiliate Projection'!K14*Inputs!$B$22*2,0)</f>
        <v/>
      </c>
      <c r="L16" s="12">
        <f>ROUND('Affiliate Projection'!L14*Inputs!$B$22*2,0)</f>
        <v/>
      </c>
      <c r="M16" s="12">
        <f>ROUND('Affiliate Projection'!M14*Inputs!$B$22*2,0)</f>
        <v/>
      </c>
    </row>
    <row r="17">
      <c r="A17" s="11" t="inlineStr">
        <is>
          <t>Mission Completions (Diamond)</t>
        </is>
      </c>
      <c r="B17" s="12">
        <f>ROUND('Affiliate Projection'!B15*Inputs!$B$22*2,0)</f>
        <v/>
      </c>
      <c r="C17" s="12">
        <f>ROUND('Affiliate Projection'!C15*Inputs!$B$22*2,0)</f>
        <v/>
      </c>
      <c r="D17" s="12">
        <f>ROUND('Affiliate Projection'!D15*Inputs!$B$22*2,0)</f>
        <v/>
      </c>
      <c r="E17" s="12">
        <f>ROUND('Affiliate Projection'!E15*Inputs!$B$22*2,0)</f>
        <v/>
      </c>
      <c r="F17" s="12">
        <f>ROUND('Affiliate Projection'!F15*Inputs!$B$22*2,0)</f>
        <v/>
      </c>
      <c r="G17" s="12">
        <f>ROUND('Affiliate Projection'!G15*Inputs!$B$22*2,0)</f>
        <v/>
      </c>
      <c r="H17" s="12">
        <f>ROUND('Affiliate Projection'!H15*Inputs!$B$22*2,0)</f>
        <v/>
      </c>
      <c r="I17" s="12">
        <f>ROUND('Affiliate Projection'!I15*Inputs!$B$22*2,0)</f>
        <v/>
      </c>
      <c r="J17" s="12">
        <f>ROUND('Affiliate Projection'!J15*Inputs!$B$22*2,0)</f>
        <v/>
      </c>
      <c r="K17" s="12">
        <f>ROUND('Affiliate Projection'!K15*Inputs!$B$22*2,0)</f>
        <v/>
      </c>
      <c r="L17" s="12">
        <f>ROUND('Affiliate Projection'!L15*Inputs!$B$22*2,0)</f>
        <v/>
      </c>
      <c r="M17" s="12">
        <f>ROUND('Affiliate Projection'!M15*Inputs!$B$22*2,0)</f>
        <v/>
      </c>
    </row>
    <row r="18">
      <c r="A18" s="11" t="inlineStr">
        <is>
          <t>Total Mission Completions</t>
        </is>
      </c>
      <c r="B18" s="12">
        <f>SUM(B13:B17)</f>
        <v/>
      </c>
      <c r="C18" s="12">
        <f>SUM(C13:C17)</f>
        <v/>
      </c>
      <c r="D18" s="12">
        <f>SUM(D13:D17)</f>
        <v/>
      </c>
      <c r="E18" s="12">
        <f>SUM(E13:E17)</f>
        <v/>
      </c>
      <c r="F18" s="12">
        <f>SUM(F13:F17)</f>
        <v/>
      </c>
      <c r="G18" s="12">
        <f>SUM(G13:G17)</f>
        <v/>
      </c>
      <c r="H18" s="12">
        <f>SUM(H13:H17)</f>
        <v/>
      </c>
      <c r="I18" s="12">
        <f>SUM(I13:I17)</f>
        <v/>
      </c>
      <c r="J18" s="12">
        <f>SUM(J13:J17)</f>
        <v/>
      </c>
      <c r="K18" s="12">
        <f>SUM(K13:K17)</f>
        <v/>
      </c>
      <c r="L18" s="12">
        <f>SUM(L13:L17)</f>
        <v/>
      </c>
      <c r="M18" s="12">
        <f>SUM(M13:M17)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REVENUE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11" t="inlineStr">
        <is>
          <t>Total Sales Volume</t>
        </is>
      </c>
      <c r="B4" s="12">
        <f>'Affiliate Projection'!B10</f>
        <v/>
      </c>
      <c r="C4" s="12">
        <f>'Affiliate Projection'!C10</f>
        <v/>
      </c>
      <c r="D4" s="12">
        <f>'Affiliate Projection'!D10</f>
        <v/>
      </c>
      <c r="E4" s="12">
        <f>'Affiliate Projection'!E10</f>
        <v/>
      </c>
      <c r="F4" s="12">
        <f>'Affiliate Projection'!F10</f>
        <v/>
      </c>
      <c r="G4" s="12">
        <f>'Affiliate Projection'!G10</f>
        <v/>
      </c>
      <c r="H4" s="12">
        <f>'Affiliate Projection'!H10</f>
        <v/>
      </c>
      <c r="I4" s="12">
        <f>'Affiliate Projection'!I10</f>
        <v/>
      </c>
      <c r="J4" s="12">
        <f>'Affiliate Projection'!J10</f>
        <v/>
      </c>
      <c r="K4" s="12">
        <f>'Affiliate Projection'!K10</f>
        <v/>
      </c>
      <c r="L4" s="12">
        <f>'Affiliate Projection'!L10</f>
        <v/>
      </c>
      <c r="M4" s="12">
        <f>'Affiliate Projection'!M10</f>
        <v/>
      </c>
    </row>
    <row r="5">
      <c r="A5" s="11" t="inlineStr">
        <is>
          <t>Gross AOV</t>
        </is>
      </c>
      <c r="B5" s="13">
        <f>Inputs!$B$15</f>
        <v/>
      </c>
      <c r="C5" s="13">
        <f>Inputs!$B$15</f>
        <v/>
      </c>
      <c r="D5" s="13">
        <f>Inputs!$B$15</f>
        <v/>
      </c>
      <c r="E5" s="13">
        <f>Inputs!$B$15</f>
        <v/>
      </c>
      <c r="F5" s="13">
        <f>Inputs!$B$15</f>
        <v/>
      </c>
      <c r="G5" s="13">
        <f>Inputs!$B$15</f>
        <v/>
      </c>
      <c r="H5" s="13">
        <f>Inputs!$B$15</f>
        <v/>
      </c>
      <c r="I5" s="13">
        <f>Inputs!$B$15</f>
        <v/>
      </c>
      <c r="J5" s="13">
        <f>Inputs!$B$15</f>
        <v/>
      </c>
      <c r="K5" s="13">
        <f>Inputs!$B$15</f>
        <v/>
      </c>
      <c r="L5" s="13">
        <f>Inputs!$B$15</f>
        <v/>
      </c>
      <c r="M5" s="13">
        <f>Inputs!$B$15</f>
        <v/>
      </c>
    </row>
    <row r="6">
      <c r="A6" s="11" t="inlineStr">
        <is>
          <t>Gross Revenue</t>
        </is>
      </c>
      <c r="B6" s="14">
        <f>B4*B5</f>
        <v/>
      </c>
      <c r="C6" s="14">
        <f>C4*C5</f>
        <v/>
      </c>
      <c r="D6" s="14">
        <f>D4*D5</f>
        <v/>
      </c>
      <c r="E6" s="14">
        <f>E4*E5</f>
        <v/>
      </c>
      <c r="F6" s="14">
        <f>F4*F5</f>
        <v/>
      </c>
      <c r="G6" s="14">
        <f>G4*G5</f>
        <v/>
      </c>
      <c r="H6" s="14">
        <f>H4*H5</f>
        <v/>
      </c>
      <c r="I6" s="14">
        <f>I4*I5</f>
        <v/>
      </c>
      <c r="J6" s="14">
        <f>J4*J5</f>
        <v/>
      </c>
      <c r="K6" s="14">
        <f>K4*K5</f>
        <v/>
      </c>
      <c r="L6" s="14">
        <f>L4*L5</f>
        <v/>
      </c>
      <c r="M6" s="14">
        <f>M4*M5</f>
        <v/>
      </c>
    </row>
    <row r="7">
      <c r="A7" s="11" t="inlineStr">
        <is>
          <t>Discount Rate Applied</t>
        </is>
      </c>
      <c r="B7" s="6" t="n">
        <v>0.15</v>
      </c>
      <c r="C7" s="6" t="n">
        <v>0.15</v>
      </c>
      <c r="D7" s="6" t="n">
        <v>0.15</v>
      </c>
      <c r="E7" s="6" t="n">
        <v>0.15</v>
      </c>
      <c r="F7" s="6" t="n">
        <v>0.15</v>
      </c>
      <c r="G7" s="6" t="n">
        <v>0.15</v>
      </c>
      <c r="H7" s="6" t="n">
        <v>0.15</v>
      </c>
      <c r="I7" s="6" t="n">
        <v>0.15</v>
      </c>
      <c r="J7" s="6" t="n">
        <v>0.15</v>
      </c>
      <c r="K7" s="6" t="n">
        <v>0.15</v>
      </c>
      <c r="L7" s="6" t="n">
        <v>0.15</v>
      </c>
      <c r="M7" s="6" t="n">
        <v>0.15</v>
      </c>
    </row>
    <row r="8">
      <c r="A8" s="11" t="inlineStr">
        <is>
          <t>Discounted Sales</t>
        </is>
      </c>
      <c r="B8" s="12">
        <f>ROUND(B4*Inputs!$B$21,0)</f>
        <v/>
      </c>
      <c r="C8" s="12">
        <f>ROUND(C4*Inputs!$B$21,0)</f>
        <v/>
      </c>
      <c r="D8" s="12">
        <f>ROUND(D4*Inputs!$B$21,0)</f>
        <v/>
      </c>
      <c r="E8" s="12">
        <f>ROUND(E4*Inputs!$B$21,0)</f>
        <v/>
      </c>
      <c r="F8" s="12">
        <f>ROUND(F4*Inputs!$B$21,0)</f>
        <v/>
      </c>
      <c r="G8" s="12">
        <f>ROUND(G4*Inputs!$B$21,0)</f>
        <v/>
      </c>
      <c r="H8" s="12">
        <f>ROUND(H4*Inputs!$B$21,0)</f>
        <v/>
      </c>
      <c r="I8" s="12">
        <f>ROUND(I4*Inputs!$B$21,0)</f>
        <v/>
      </c>
      <c r="J8" s="12">
        <f>ROUND(J4*Inputs!$B$21,0)</f>
        <v/>
      </c>
      <c r="K8" s="12">
        <f>ROUND(K4*Inputs!$B$21,0)</f>
        <v/>
      </c>
      <c r="L8" s="12">
        <f>ROUND(L4*Inputs!$B$21,0)</f>
        <v/>
      </c>
      <c r="M8" s="12">
        <f>ROUND(M4*Inputs!$B$21,0)</f>
        <v/>
      </c>
    </row>
    <row r="9">
      <c r="A9" s="11" t="inlineStr">
        <is>
          <t>Net AOV (avg)</t>
        </is>
      </c>
      <c r="B9" s="13">
        <f>B5*(1-B7*Inputs!$B$21)</f>
        <v/>
      </c>
      <c r="C9" s="13">
        <f>C5*(1-C7*Inputs!$B$21)</f>
        <v/>
      </c>
      <c r="D9" s="13">
        <f>D5*(1-D7*Inputs!$B$21)</f>
        <v/>
      </c>
      <c r="E9" s="13">
        <f>E5*(1-E7*Inputs!$B$21)</f>
        <v/>
      </c>
      <c r="F9" s="13">
        <f>F5*(1-F7*Inputs!$B$21)</f>
        <v/>
      </c>
      <c r="G9" s="13">
        <f>G5*(1-G7*Inputs!$B$21)</f>
        <v/>
      </c>
      <c r="H9" s="13">
        <f>H5*(1-H7*Inputs!$B$21)</f>
        <v/>
      </c>
      <c r="I9" s="13">
        <f>I5*(1-I7*Inputs!$B$21)</f>
        <v/>
      </c>
      <c r="J9" s="13">
        <f>J5*(1-J7*Inputs!$B$21)</f>
        <v/>
      </c>
      <c r="K9" s="13">
        <f>K5*(1-K7*Inputs!$B$21)</f>
        <v/>
      </c>
      <c r="L9" s="13">
        <f>L5*(1-L7*Inputs!$B$21)</f>
        <v/>
      </c>
      <c r="M9" s="13">
        <f>M5*(1-M7*Inputs!$B$21)</f>
        <v/>
      </c>
    </row>
    <row r="10">
      <c r="A10" s="11" t="inlineStr">
        <is>
          <t>Net Revenue</t>
        </is>
      </c>
      <c r="B10" s="14">
        <f>B4*B9</f>
        <v/>
      </c>
      <c r="C10" s="14">
        <f>C4*C9</f>
        <v/>
      </c>
      <c r="D10" s="14">
        <f>D4*D9</f>
        <v/>
      </c>
      <c r="E10" s="14">
        <f>E4*E9</f>
        <v/>
      </c>
      <c r="F10" s="14">
        <f>F4*F9</f>
        <v/>
      </c>
      <c r="G10" s="14">
        <f>G4*G9</f>
        <v/>
      </c>
      <c r="H10" s="14">
        <f>H4*H9</f>
        <v/>
      </c>
      <c r="I10" s="14">
        <f>I4*I9</f>
        <v/>
      </c>
      <c r="J10" s="14">
        <f>J4*J9</f>
        <v/>
      </c>
      <c r="K10" s="14">
        <f>K4*K9</f>
        <v/>
      </c>
      <c r="L10" s="14">
        <f>L4*L9</f>
        <v/>
      </c>
      <c r="M10" s="14">
        <f>M4*M9</f>
        <v/>
      </c>
    </row>
    <row r="11">
      <c r="A11" s="11" t="inlineStr">
        <is>
          <t>Gross Margin Erosion from Discounts</t>
        </is>
      </c>
      <c r="B11" s="14">
        <f>B6-B10</f>
        <v/>
      </c>
      <c r="C11" s="14">
        <f>C6-C10</f>
        <v/>
      </c>
      <c r="D11" s="14">
        <f>D6-D10</f>
        <v/>
      </c>
      <c r="E11" s="14">
        <f>E6-E10</f>
        <v/>
      </c>
      <c r="F11" s="14">
        <f>F6-F10</f>
        <v/>
      </c>
      <c r="G11" s="14">
        <f>G6-G10</f>
        <v/>
      </c>
      <c r="H11" s="14">
        <f>H6-H10</f>
        <v/>
      </c>
      <c r="I11" s="14">
        <f>I6-I10</f>
        <v/>
      </c>
      <c r="J11" s="14">
        <f>J6-J10</f>
        <v/>
      </c>
      <c r="K11" s="14">
        <f>K6-K10</f>
        <v/>
      </c>
      <c r="L11" s="14">
        <f>L6-L10</f>
        <v/>
      </c>
      <c r="M11" s="14">
        <f>M6-M10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COST PROJECTION (12 MONTHS)</t>
        </is>
      </c>
    </row>
    <row r="3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Month 7</t>
        </is>
      </c>
      <c r="I3" s="3" t="inlineStr">
        <is>
          <t>Month 8</t>
        </is>
      </c>
      <c r="J3" s="3" t="inlineStr">
        <is>
          <t>Month 9</t>
        </is>
      </c>
      <c r="K3" s="3" t="inlineStr">
        <is>
          <t>Month 10</t>
        </is>
      </c>
      <c r="L3" s="3" t="inlineStr">
        <is>
          <t>Month 11</t>
        </is>
      </c>
      <c r="M3" s="3" t="inlineStr">
        <is>
          <t>Month 12</t>
        </is>
      </c>
    </row>
    <row r="4">
      <c r="A4" s="2" t="inlineStr">
        <is>
          <t>--- CM1 COSTS (Per Sale) ---</t>
        </is>
      </c>
    </row>
    <row r="5">
      <c r="A5" s="11" t="inlineStr">
        <is>
          <t>Base Commission Cost</t>
        </is>
      </c>
      <c r="B5" s="14">
        <f>'Affiliate Projection'!B10*0.12*Revenue!B9</f>
        <v/>
      </c>
      <c r="C5" s="14">
        <f>'Affiliate Projection'!C10*0.12*Revenue!C9</f>
        <v/>
      </c>
      <c r="D5" s="14">
        <f>'Affiliate Projection'!D10*0.12*Revenue!D9</f>
        <v/>
      </c>
      <c r="E5" s="14">
        <f>'Affiliate Projection'!E10*0.12*Revenue!E9</f>
        <v/>
      </c>
      <c r="F5" s="14">
        <f>'Affiliate Projection'!F10*0.12*Revenue!F9</f>
        <v/>
      </c>
      <c r="G5" s="14">
        <f>'Affiliate Projection'!G10*0.12*Revenue!G9</f>
        <v/>
      </c>
      <c r="H5" s="14">
        <f>'Affiliate Projection'!H10*0.12*Revenue!H9</f>
        <v/>
      </c>
      <c r="I5" s="14">
        <f>'Affiliate Projection'!I10*0.12*Revenue!I9</f>
        <v/>
      </c>
      <c r="J5" s="14">
        <f>'Affiliate Projection'!J10*0.12*Revenue!J9</f>
        <v/>
      </c>
      <c r="K5" s="14">
        <f>'Affiliate Projection'!K10*0.12*Revenue!K9</f>
        <v/>
      </c>
      <c r="L5" s="14">
        <f>'Affiliate Projection'!L10*0.12*Revenue!L9</f>
        <v/>
      </c>
      <c r="M5" s="14">
        <f>'Affiliate Projection'!M10*0.12*Revenue!M9</f>
        <v/>
      </c>
    </row>
    <row r="6">
      <c r="A6" s="11" t="inlineStr">
        <is>
          <t>Commission Boost Cost</t>
        </is>
      </c>
      <c r="B6" s="14">
        <f>'Reward Triggers'!B5*3*0.15*Revenue!B9</f>
        <v/>
      </c>
      <c r="C6" s="14">
        <f>'Reward Triggers'!C5*3*0.15*Revenue!C9</f>
        <v/>
      </c>
      <c r="D6" s="14">
        <f>'Reward Triggers'!D5*3*0.15*Revenue!D9</f>
        <v/>
      </c>
      <c r="E6" s="14">
        <f>'Reward Triggers'!E5*3*0.15*Revenue!E9</f>
        <v/>
      </c>
      <c r="F6" s="14">
        <f>'Reward Triggers'!F5*3*0.15*Revenue!F9</f>
        <v/>
      </c>
      <c r="G6" s="14">
        <f>'Reward Triggers'!G5*3*0.15*Revenue!G9</f>
        <v/>
      </c>
      <c r="H6" s="14">
        <f>'Reward Triggers'!H5*3*0.15*Revenue!H9</f>
        <v/>
      </c>
      <c r="I6" s="14">
        <f>'Reward Triggers'!I5*3*0.15*Revenue!I9</f>
        <v/>
      </c>
      <c r="J6" s="14">
        <f>'Reward Triggers'!J5*3*0.15*Revenue!J9</f>
        <v/>
      </c>
      <c r="K6" s="14">
        <f>'Reward Triggers'!K5*3*0.15*Revenue!K9</f>
        <v/>
      </c>
      <c r="L6" s="14">
        <f>'Reward Triggers'!L5*3*0.15*Revenue!L9</f>
        <v/>
      </c>
      <c r="M6" s="14">
        <f>'Reward Triggers'!M5*3*0.15*Revenue!M9</f>
        <v/>
      </c>
    </row>
    <row r="7">
      <c r="A7" s="11" t="inlineStr">
        <is>
          <t>Discount Cost (Margin Erosion)</t>
        </is>
      </c>
      <c r="B7" s="14">
        <f>Revenue!B11</f>
        <v/>
      </c>
      <c r="C7" s="14">
        <f>Revenue!C11</f>
        <v/>
      </c>
      <c r="D7" s="14">
        <f>Revenue!D11</f>
        <v/>
      </c>
      <c r="E7" s="14">
        <f>Revenue!E11</f>
        <v/>
      </c>
      <c r="F7" s="14">
        <f>Revenue!F11</f>
        <v/>
      </c>
      <c r="G7" s="14">
        <f>Revenue!G11</f>
        <v/>
      </c>
      <c r="H7" s="14">
        <f>Revenue!H11</f>
        <v/>
      </c>
      <c r="I7" s="14">
        <f>Revenue!I11</f>
        <v/>
      </c>
      <c r="J7" s="14">
        <f>Revenue!J11</f>
        <v/>
      </c>
      <c r="K7" s="14">
        <f>Revenue!K11</f>
        <v/>
      </c>
      <c r="L7" s="14">
        <f>Revenue!L11</f>
        <v/>
      </c>
      <c r="M7" s="14">
        <f>Revenue!M11</f>
        <v/>
      </c>
    </row>
    <row r="8">
      <c r="A8" s="11" t="inlineStr">
        <is>
          <t>Total CM1 Costs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  <c r="M8" s="15">
        <f>SUM(M5:M7)</f>
        <v/>
      </c>
    </row>
    <row r="9">
      <c r="A9" s="11" t="inlineStr"/>
    </row>
    <row r="10">
      <c r="A10" s="2" t="inlineStr">
        <is>
          <t>--- LOYALTY PROGRAM COSTS ---</t>
        </is>
      </c>
    </row>
    <row r="11">
      <c r="A11" s="11" t="inlineStr">
        <is>
          <t>Gift Card Cost</t>
        </is>
      </c>
      <c r="B11" s="14">
        <f>'Reward Triggers'!B6*75+'Reward Triggers'!B18*50*0.3</f>
        <v/>
      </c>
      <c r="C11" s="14">
        <f>'Reward Triggers'!C6*75+'Reward Triggers'!C18*50*0.3</f>
        <v/>
      </c>
      <c r="D11" s="14">
        <f>'Reward Triggers'!D6*75+'Reward Triggers'!D18*50*0.3</f>
        <v/>
      </c>
      <c r="E11" s="14">
        <f>'Reward Triggers'!E6*75+'Reward Triggers'!E18*50*0.3</f>
        <v/>
      </c>
      <c r="F11" s="14">
        <f>'Reward Triggers'!F6*75+'Reward Triggers'!F18*50*0.3</f>
        <v/>
      </c>
      <c r="G11" s="14">
        <f>'Reward Triggers'!G6*75+'Reward Triggers'!G18*50*0.3</f>
        <v/>
      </c>
      <c r="H11" s="14">
        <f>'Reward Triggers'!H6*75+'Reward Triggers'!H18*50*0.3</f>
        <v/>
      </c>
      <c r="I11" s="14">
        <f>'Reward Triggers'!I6*75+'Reward Triggers'!I18*50*0.3</f>
        <v/>
      </c>
      <c r="J11" s="14">
        <f>'Reward Triggers'!J6*75+'Reward Triggers'!J18*50*0.3</f>
        <v/>
      </c>
      <c r="K11" s="14">
        <f>'Reward Triggers'!K6*75+'Reward Triggers'!K18*50*0.3</f>
        <v/>
      </c>
      <c r="L11" s="14">
        <f>'Reward Triggers'!L6*75+'Reward Triggers'!L18*50*0.3</f>
        <v/>
      </c>
      <c r="M11" s="14">
        <f>'Reward Triggers'!M6*75+'Reward Triggers'!M18*50*0.3</f>
        <v/>
      </c>
    </row>
    <row r="12">
      <c r="A12" s="11" t="inlineStr">
        <is>
          <t>Total Loyalty Program Costs</t>
        </is>
      </c>
      <c r="B12" s="15">
        <f>B11</f>
        <v/>
      </c>
      <c r="C12" s="15">
        <f>C11</f>
        <v/>
      </c>
      <c r="D12" s="15">
        <f>D11</f>
        <v/>
      </c>
      <c r="E12" s="15">
        <f>E11</f>
        <v/>
      </c>
      <c r="F12" s="15">
        <f>F11</f>
        <v/>
      </c>
      <c r="G12" s="15">
        <f>G11</f>
        <v/>
      </c>
      <c r="H12" s="15">
        <f>H11</f>
        <v/>
      </c>
      <c r="I12" s="15">
        <f>I11</f>
        <v/>
      </c>
      <c r="J12" s="15">
        <f>J11</f>
        <v/>
      </c>
      <c r="K12" s="15">
        <f>K11</f>
        <v/>
      </c>
      <c r="L12" s="15">
        <f>L11</f>
        <v/>
      </c>
      <c r="M12" s="15">
        <f>M11</f>
        <v/>
      </c>
    </row>
    <row r="13">
      <c r="A13" s="11" t="inlineStr"/>
    </row>
    <row r="14">
      <c r="A14" s="2" t="inlineStr">
        <is>
          <t>--- MARKETING OPEX ---</t>
        </is>
      </c>
    </row>
    <row r="15">
      <c r="A15" s="11" t="inlineStr">
        <is>
          <t>Spark Ads Cost</t>
        </is>
      </c>
      <c r="B15" s="14">
        <f>'Reward Triggers'!B8*50+'Reward Triggers'!B18*25*0.2</f>
        <v/>
      </c>
      <c r="C15" s="14">
        <f>'Reward Triggers'!C8*50+'Reward Triggers'!C18*25*0.2</f>
        <v/>
      </c>
      <c r="D15" s="14">
        <f>'Reward Triggers'!D8*50+'Reward Triggers'!D18*25*0.2</f>
        <v/>
      </c>
      <c r="E15" s="14">
        <f>'Reward Triggers'!E8*50+'Reward Triggers'!E18*25*0.2</f>
        <v/>
      </c>
      <c r="F15" s="14">
        <f>'Reward Triggers'!F8*50+'Reward Triggers'!F18*25*0.2</f>
        <v/>
      </c>
      <c r="G15" s="14">
        <f>'Reward Triggers'!G8*50+'Reward Triggers'!G18*25*0.2</f>
        <v/>
      </c>
      <c r="H15" s="14">
        <f>'Reward Triggers'!H8*50+'Reward Triggers'!H18*25*0.2</f>
        <v/>
      </c>
      <c r="I15" s="14">
        <f>'Reward Triggers'!I8*50+'Reward Triggers'!I18*25*0.2</f>
        <v/>
      </c>
      <c r="J15" s="14">
        <f>'Reward Triggers'!J8*50+'Reward Triggers'!J18*25*0.2</f>
        <v/>
      </c>
      <c r="K15" s="14">
        <f>'Reward Triggers'!K8*50+'Reward Triggers'!K18*25*0.2</f>
        <v/>
      </c>
      <c r="L15" s="14">
        <f>'Reward Triggers'!L8*50+'Reward Triggers'!L18*25*0.2</f>
        <v/>
      </c>
      <c r="M15" s="14">
        <f>'Reward Triggers'!M8*50+'Reward Triggers'!M18*25*0.2</f>
        <v/>
      </c>
    </row>
    <row r="16">
      <c r="A16" s="11" t="inlineStr">
        <is>
          <t>Physical Gift Cost</t>
        </is>
      </c>
      <c r="B16" s="14">
        <f>'Reward Triggers'!B9*60</f>
        <v/>
      </c>
      <c r="C16" s="14">
        <f>'Reward Triggers'!C9*60</f>
        <v/>
      </c>
      <c r="D16" s="14">
        <f>'Reward Triggers'!D9*60</f>
        <v/>
      </c>
      <c r="E16" s="14">
        <f>'Reward Triggers'!E9*60</f>
        <v/>
      </c>
      <c r="F16" s="14">
        <f>'Reward Triggers'!F9*60</f>
        <v/>
      </c>
      <c r="G16" s="14">
        <f>'Reward Triggers'!G9*60</f>
        <v/>
      </c>
      <c r="H16" s="14">
        <f>'Reward Triggers'!H9*60</f>
        <v/>
      </c>
      <c r="I16" s="14">
        <f>'Reward Triggers'!I9*60</f>
        <v/>
      </c>
      <c r="J16" s="14">
        <f>'Reward Triggers'!J9*60</f>
        <v/>
      </c>
      <c r="K16" s="14">
        <f>'Reward Triggers'!K9*60</f>
        <v/>
      </c>
      <c r="L16" s="14">
        <f>'Reward Triggers'!L9*60</f>
        <v/>
      </c>
      <c r="M16" s="14">
        <f>'Reward Triggers'!M9*60</f>
        <v/>
      </c>
    </row>
    <row r="17">
      <c r="A17" s="11" t="inlineStr">
        <is>
          <t>Experience Cost</t>
        </is>
      </c>
      <c r="B17" s="14">
        <f>'Reward Triggers'!B10*150</f>
        <v/>
      </c>
      <c r="C17" s="14">
        <f>'Reward Triggers'!C10*150</f>
        <v/>
      </c>
      <c r="D17" s="14">
        <f>'Reward Triggers'!D10*150</f>
        <v/>
      </c>
      <c r="E17" s="14">
        <f>'Reward Triggers'!E10*150</f>
        <v/>
      </c>
      <c r="F17" s="14">
        <f>'Reward Triggers'!F10*150</f>
        <v/>
      </c>
      <c r="G17" s="14">
        <f>'Reward Triggers'!G10*150</f>
        <v/>
      </c>
      <c r="H17" s="14">
        <f>'Reward Triggers'!H10*150</f>
        <v/>
      </c>
      <c r="I17" s="14">
        <f>'Reward Triggers'!I10*150</f>
        <v/>
      </c>
      <c r="J17" s="14">
        <f>'Reward Triggers'!J10*150</f>
        <v/>
      </c>
      <c r="K17" s="14">
        <f>'Reward Triggers'!K10*150</f>
        <v/>
      </c>
      <c r="L17" s="14">
        <f>'Reward Triggers'!L10*150</f>
        <v/>
      </c>
      <c r="M17" s="14">
        <f>'Reward Triggers'!M10*150</f>
        <v/>
      </c>
    </row>
    <row r="18">
      <c r="A18" s="11" t="inlineStr">
        <is>
          <t>Sample Cost</t>
        </is>
      </c>
      <c r="B18" s="14">
        <f>'Affiliate Projection'!B4*Inputs!$B$27</f>
        <v/>
      </c>
      <c r="C18" s="14">
        <f>'Affiliate Projection'!C4*Inputs!$B$27</f>
        <v/>
      </c>
      <c r="D18" s="14">
        <f>'Affiliate Projection'!D4*Inputs!$B$27</f>
        <v/>
      </c>
      <c r="E18" s="14">
        <f>'Affiliate Projection'!E4*Inputs!$B$27</f>
        <v/>
      </c>
      <c r="F18" s="14">
        <f>'Affiliate Projection'!F4*Inputs!$B$27</f>
        <v/>
      </c>
      <c r="G18" s="14">
        <f>'Affiliate Projection'!G4*Inputs!$B$27</f>
        <v/>
      </c>
      <c r="H18" s="14">
        <f>'Affiliate Projection'!H4*Inputs!$B$27</f>
        <v/>
      </c>
      <c r="I18" s="14">
        <f>'Affiliate Projection'!I4*Inputs!$B$27</f>
        <v/>
      </c>
      <c r="J18" s="14">
        <f>'Affiliate Projection'!J4*Inputs!$B$27</f>
        <v/>
      </c>
      <c r="K18" s="14">
        <f>'Affiliate Projection'!K4*Inputs!$B$27</f>
        <v/>
      </c>
      <c r="L18" s="14">
        <f>'Affiliate Projection'!L4*Inputs!$B$27</f>
        <v/>
      </c>
      <c r="M18" s="14">
        <f>'Affiliate Projection'!M4*Inputs!$B$27</f>
        <v/>
      </c>
    </row>
    <row r="19">
      <c r="A19" s="11" t="inlineStr">
        <is>
          <t>Total Marketing OpEx</t>
        </is>
      </c>
      <c r="B19" s="15">
        <f>SUM(B15:B18)</f>
        <v/>
      </c>
      <c r="C19" s="15">
        <f>SUM(C15:C18)</f>
        <v/>
      </c>
      <c r="D19" s="15">
        <f>SUM(D15:D18)</f>
        <v/>
      </c>
      <c r="E19" s="15">
        <f>SUM(E15:E18)</f>
        <v/>
      </c>
      <c r="F19" s="15">
        <f>SUM(F15:F18)</f>
        <v/>
      </c>
      <c r="G19" s="15">
        <f>SUM(G15:G18)</f>
        <v/>
      </c>
      <c r="H19" s="15">
        <f>SUM(H15:H18)</f>
        <v/>
      </c>
      <c r="I19" s="15">
        <f>SUM(I15:I18)</f>
        <v/>
      </c>
      <c r="J19" s="15">
        <f>SUM(J15:J18)</f>
        <v/>
      </c>
      <c r="K19" s="15">
        <f>SUM(K15:K18)</f>
        <v/>
      </c>
      <c r="L19" s="15">
        <f>SUM(L15:L18)</f>
        <v/>
      </c>
      <c r="M19" s="15">
        <f>SUM(M15:M18)</f>
        <v/>
      </c>
    </row>
    <row r="20">
      <c r="A20" s="11" t="inlineStr"/>
    </row>
    <row r="21">
      <c r="A21" s="2" t="inlineStr">
        <is>
          <t>--- TOTALS ---</t>
        </is>
      </c>
    </row>
    <row r="22">
      <c r="A22" s="11" t="inlineStr">
        <is>
          <t>Total Program Cost</t>
        </is>
      </c>
      <c r="B22" s="15">
        <f>B8+B12+B19</f>
        <v/>
      </c>
      <c r="C22" s="15">
        <f>C8+C12+C19</f>
        <v/>
      </c>
      <c r="D22" s="15">
        <f>D8+D12+D19</f>
        <v/>
      </c>
      <c r="E22" s="15">
        <f>E8+E12+E19</f>
        <v/>
      </c>
      <c r="F22" s="15">
        <f>F8+F12+F19</f>
        <v/>
      </c>
      <c r="G22" s="15">
        <f>G8+G12+G19</f>
        <v/>
      </c>
      <c r="H22" s="15">
        <f>H8+H12+H19</f>
        <v/>
      </c>
      <c r="I22" s="15">
        <f>I8+I12+I19</f>
        <v/>
      </c>
      <c r="J22" s="15">
        <f>J8+J12+J19</f>
        <v/>
      </c>
      <c r="K22" s="15">
        <f>K8+K12+K19</f>
        <v/>
      </c>
      <c r="L22" s="15">
        <f>L8+L12+L19</f>
        <v/>
      </c>
      <c r="M22" s="15">
        <f>M8+M12+M19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SUMMARY DASHBOARD</t>
        </is>
      </c>
    </row>
    <row r="3">
      <c r="A3" s="2" t="inlineStr">
        <is>
          <t>12-MONTH TOTALS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Samples Sent</t>
        </is>
      </c>
      <c r="B5" s="12">
        <f>SUM('Affiliate Projection'!B4:M4)</f>
        <v/>
      </c>
    </row>
    <row r="6">
      <c r="A6" s="4" t="inlineStr">
        <is>
          <t>Total New Affiliates</t>
        </is>
      </c>
      <c r="B6" s="12">
        <f>SUM('Affiliate Projection'!B7:M7)</f>
        <v/>
      </c>
    </row>
    <row r="7">
      <c r="A7" s="4" t="inlineStr">
        <is>
          <t>Active Affiliates (Month 12)</t>
        </is>
      </c>
      <c r="B7" s="12">
        <f>'Affiliate Projection'!M9</f>
        <v/>
      </c>
    </row>
    <row r="8">
      <c r="A8" s="4" t="inlineStr">
        <is>
          <t>Total Sales</t>
        </is>
      </c>
      <c r="B8" s="12">
        <f>SUM('Affiliate Projection'!B10:M10)</f>
        <v/>
      </c>
    </row>
    <row r="9">
      <c r="A9" s="4" t="inlineStr"/>
      <c r="B9" t="inlineStr"/>
    </row>
    <row r="10">
      <c r="A10" s="4" t="inlineStr">
        <is>
          <t>Gross Revenue</t>
        </is>
      </c>
      <c r="B10" s="14">
        <f>SUM(Revenue!B6:M6)</f>
        <v/>
      </c>
    </row>
    <row r="11">
      <c r="A11" s="4" t="inlineStr">
        <is>
          <t>Net Revenue</t>
        </is>
      </c>
      <c r="B11" s="14">
        <f>SUM(Revenue!B10:M10)</f>
        <v/>
      </c>
    </row>
    <row r="12">
      <c r="A12" s="4" t="inlineStr"/>
      <c r="B12" t="inlineStr"/>
    </row>
    <row r="13">
      <c r="A13" s="4" t="inlineStr">
        <is>
          <t>Total CM1 Costs</t>
        </is>
      </c>
      <c r="B13" s="14">
        <f>SUM(Costs!B8:M8)</f>
        <v/>
      </c>
    </row>
    <row r="14">
      <c r="A14" s="4" t="inlineStr">
        <is>
          <t>Total Loyalty Program Costs</t>
        </is>
      </c>
      <c r="B14" s="14">
        <f>SUM(Costs!B12:M12)</f>
        <v/>
      </c>
    </row>
    <row r="15">
      <c r="A15" s="4" t="inlineStr">
        <is>
          <t>Total Marketing OpEx</t>
        </is>
      </c>
      <c r="B15" s="14">
        <f>SUM(Costs!B19:M19)</f>
        <v/>
      </c>
    </row>
    <row r="16">
      <c r="A16" s="4" t="inlineStr">
        <is>
          <t>Total Program Cost</t>
        </is>
      </c>
      <c r="B16" s="14">
        <f>SUM(Costs!B22:M22)</f>
        <v/>
      </c>
    </row>
    <row r="19">
      <c r="A19" s="2" t="inlineStr">
        <is>
          <t>KEY RATIOS</t>
        </is>
      </c>
    </row>
    <row r="20">
      <c r="A20" s="3" t="inlineStr">
        <is>
          <t>Metric</t>
        </is>
      </c>
      <c r="B20" s="3" t="inlineStr">
        <is>
          <t>Value</t>
        </is>
      </c>
    </row>
    <row r="21">
      <c r="A21" s="4" t="inlineStr">
        <is>
          <t>CM1 as % of Net Revenue</t>
        </is>
      </c>
      <c r="B21" s="16">
        <f>B13/B11</f>
        <v/>
      </c>
    </row>
    <row r="22">
      <c r="A22" s="4" t="inlineStr">
        <is>
          <t>Total Cost as % of Net Revenue</t>
        </is>
      </c>
      <c r="B22" s="16">
        <f>B16/B11</f>
        <v/>
      </c>
    </row>
    <row r="23">
      <c r="A23" s="4" t="inlineStr">
        <is>
          <t>Cost per Affiliate (12-mo)</t>
        </is>
      </c>
      <c r="B23" s="13">
        <f>B16/B6</f>
        <v/>
      </c>
    </row>
    <row r="24">
      <c r="A24" s="4" t="inlineStr">
        <is>
          <t>Revenue per Affiliate (12-mo)</t>
        </is>
      </c>
      <c r="B24" s="13">
        <f>B11/B6</f>
        <v/>
      </c>
    </row>
    <row r="25">
      <c r="A25" s="4" t="inlineStr">
        <is>
          <t>Sample-to-Affiliate Conversion</t>
        </is>
      </c>
      <c r="B25" s="16">
        <f>B6/B5</f>
        <v/>
      </c>
    </row>
    <row r="28">
      <c r="A28" s="2" t="inlineStr">
        <is>
          <t>MONTHLY TREND</t>
        </is>
      </c>
    </row>
    <row r="29">
      <c r="A29" s="3" t="inlineStr">
        <is>
          <t>Metric</t>
        </is>
      </c>
      <c r="B29" s="3" t="inlineStr">
        <is>
          <t>M1</t>
        </is>
      </c>
      <c r="C29" s="3" t="inlineStr">
        <is>
          <t>M2</t>
        </is>
      </c>
      <c r="D29" s="3" t="inlineStr">
        <is>
          <t>M3</t>
        </is>
      </c>
      <c r="E29" s="3" t="inlineStr">
        <is>
          <t>M4</t>
        </is>
      </c>
      <c r="F29" s="3" t="inlineStr">
        <is>
          <t>M5</t>
        </is>
      </c>
      <c r="G29" s="3" t="inlineStr">
        <is>
          <t>M6</t>
        </is>
      </c>
      <c r="H29" s="3" t="inlineStr">
        <is>
          <t>M7</t>
        </is>
      </c>
      <c r="I29" s="3" t="inlineStr">
        <is>
          <t>M8</t>
        </is>
      </c>
      <c r="J29" s="3" t="inlineStr">
        <is>
          <t>M9</t>
        </is>
      </c>
      <c r="K29" s="3" t="inlineStr">
        <is>
          <t>M10</t>
        </is>
      </c>
      <c r="L29" s="3" t="inlineStr">
        <is>
          <t>M11</t>
        </is>
      </c>
      <c r="M29" s="3" t="inlineStr">
        <is>
          <t>M12</t>
        </is>
      </c>
      <c r="N29" s="3" t="inlineStr">
        <is>
          <t>Total</t>
        </is>
      </c>
    </row>
    <row r="30">
      <c r="A30" s="4" t="inlineStr">
        <is>
          <t>Active Affiliates</t>
        </is>
      </c>
      <c r="B30" s="12">
        <f>'Affiliate Projection'!B9</f>
        <v/>
      </c>
      <c r="C30" s="12">
        <f>'Affiliate Projection'!C9</f>
        <v/>
      </c>
      <c r="D30" s="12">
        <f>'Affiliate Projection'!D9</f>
        <v/>
      </c>
      <c r="E30" s="12">
        <f>'Affiliate Projection'!E9</f>
        <v/>
      </c>
      <c r="F30" s="12">
        <f>'Affiliate Projection'!F9</f>
        <v/>
      </c>
      <c r="G30" s="12">
        <f>'Affiliate Projection'!G9</f>
        <v/>
      </c>
      <c r="H30" s="12">
        <f>'Affiliate Projection'!H9</f>
        <v/>
      </c>
      <c r="I30" s="12">
        <f>'Affiliate Projection'!I9</f>
        <v/>
      </c>
      <c r="J30" s="12">
        <f>'Affiliate Projection'!J9</f>
        <v/>
      </c>
      <c r="K30" s="12">
        <f>'Affiliate Projection'!K9</f>
        <v/>
      </c>
      <c r="L30" s="12">
        <f>'Affiliate Projection'!L9</f>
        <v/>
      </c>
      <c r="M30" s="12">
        <f>'Affiliate Projection'!M9</f>
        <v/>
      </c>
      <c r="N30" s="12">
        <f>M30</f>
        <v/>
      </c>
    </row>
    <row r="31">
      <c r="A31" s="4" t="inlineStr">
        <is>
          <t>Total Sales</t>
        </is>
      </c>
      <c r="B31" s="12">
        <f>'Affiliate Projection'!B10</f>
        <v/>
      </c>
      <c r="C31" s="12">
        <f>'Affiliate Projection'!C10</f>
        <v/>
      </c>
      <c r="D31" s="12">
        <f>'Affiliate Projection'!D10</f>
        <v/>
      </c>
      <c r="E31" s="12">
        <f>'Affiliate Projection'!E10</f>
        <v/>
      </c>
      <c r="F31" s="12">
        <f>'Affiliate Projection'!F10</f>
        <v/>
      </c>
      <c r="G31" s="12">
        <f>'Affiliate Projection'!G10</f>
        <v/>
      </c>
      <c r="H31" s="12">
        <f>'Affiliate Projection'!H10</f>
        <v/>
      </c>
      <c r="I31" s="12">
        <f>'Affiliate Projection'!I10</f>
        <v/>
      </c>
      <c r="J31" s="12">
        <f>'Affiliate Projection'!J10</f>
        <v/>
      </c>
      <c r="K31" s="12">
        <f>'Affiliate Projection'!K10</f>
        <v/>
      </c>
      <c r="L31" s="12">
        <f>'Affiliate Projection'!L10</f>
        <v/>
      </c>
      <c r="M31" s="12">
        <f>'Affiliate Projection'!M10</f>
        <v/>
      </c>
      <c r="N31" s="12">
        <f>SUM(B31:M31)</f>
        <v/>
      </c>
    </row>
    <row r="32">
      <c r="A32" s="4" t="inlineStr">
        <is>
          <t>Net Revenue</t>
        </is>
      </c>
      <c r="B32" s="14">
        <f>Revenue!B10</f>
        <v/>
      </c>
      <c r="C32" s="14">
        <f>Revenue!C10</f>
        <v/>
      </c>
      <c r="D32" s="14">
        <f>Revenue!D10</f>
        <v/>
      </c>
      <c r="E32" s="14">
        <f>Revenue!E10</f>
        <v/>
      </c>
      <c r="F32" s="14">
        <f>Revenue!F10</f>
        <v/>
      </c>
      <c r="G32" s="14">
        <f>Revenue!G10</f>
        <v/>
      </c>
      <c r="H32" s="14">
        <f>Revenue!H10</f>
        <v/>
      </c>
      <c r="I32" s="14">
        <f>Revenue!I10</f>
        <v/>
      </c>
      <c r="J32" s="14">
        <f>Revenue!J10</f>
        <v/>
      </c>
      <c r="K32" s="14">
        <f>Revenue!K10</f>
        <v/>
      </c>
      <c r="L32" s="14">
        <f>Revenue!L10</f>
        <v/>
      </c>
      <c r="M32" s="14">
        <f>Revenue!M10</f>
        <v/>
      </c>
      <c r="N32" s="14">
        <f>SUM(B32:M32)</f>
        <v/>
      </c>
    </row>
    <row r="33">
      <c r="A33" s="4" t="inlineStr">
        <is>
          <t>Total Program Cost</t>
        </is>
      </c>
      <c r="B33" s="14">
        <f>Costs!B22</f>
        <v/>
      </c>
      <c r="C33" s="14">
        <f>Costs!C22</f>
        <v/>
      </c>
      <c r="D33" s="14">
        <f>Costs!D22</f>
        <v/>
      </c>
      <c r="E33" s="14">
        <f>Costs!E22</f>
        <v/>
      </c>
      <c r="F33" s="14">
        <f>Costs!F22</f>
        <v/>
      </c>
      <c r="G33" s="14">
        <f>Costs!G22</f>
        <v/>
      </c>
      <c r="H33" s="14">
        <f>Costs!H22</f>
        <v/>
      </c>
      <c r="I33" s="14">
        <f>Costs!I22</f>
        <v/>
      </c>
      <c r="J33" s="14">
        <f>Costs!J22</f>
        <v/>
      </c>
      <c r="K33" s="14">
        <f>Costs!K22</f>
        <v/>
      </c>
      <c r="L33" s="14">
        <f>Costs!L22</f>
        <v/>
      </c>
      <c r="M33" s="14">
        <f>Costs!M22</f>
        <v/>
      </c>
      <c r="N33" s="14">
        <f>SUM(B33:M33)</f>
        <v/>
      </c>
    </row>
    <row r="34">
      <c r="A34" s="4" t="inlineStr">
        <is>
          <t>Cost as % of Revenue</t>
        </is>
      </c>
      <c r="B34" s="16">
        <f>IF(B32&gt;0,B33/B32,0)</f>
        <v/>
      </c>
      <c r="C34" s="16">
        <f>IF(C32&gt;0,C33/C32,0)</f>
        <v/>
      </c>
      <c r="D34" s="16">
        <f>IF(D32&gt;0,D33/D32,0)</f>
        <v/>
      </c>
      <c r="E34" s="16">
        <f>IF(E32&gt;0,E33/E32,0)</f>
        <v/>
      </c>
      <c r="F34" s="16">
        <f>IF(F32&gt;0,F33/F32,0)</f>
        <v/>
      </c>
      <c r="G34" s="16">
        <f>IF(G32&gt;0,G33/G32,0)</f>
        <v/>
      </c>
      <c r="H34" s="16">
        <f>IF(H32&gt;0,H33/H32,0)</f>
        <v/>
      </c>
      <c r="I34" s="16">
        <f>IF(I32&gt;0,I33/I32,0)</f>
        <v/>
      </c>
      <c r="J34" s="16">
        <f>IF(J32&gt;0,J33/J32,0)</f>
        <v/>
      </c>
      <c r="K34" s="16">
        <f>IF(K32&gt;0,K33/K32,0)</f>
        <v/>
      </c>
      <c r="L34" s="16">
        <f>IF(L32&gt;0,L33/L32,0)</f>
        <v/>
      </c>
      <c r="M34" s="16">
        <f>IF(M32&gt;0,M33/M32,0)</f>
        <v/>
      </c>
      <c r="N34" s="16">
        <f>IF(N32&gt;0,N33/N32,0)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2025-12-13T15:18:57Z</dcterms:created>
  <dcterms:modified xsi:type="dcterms:W3CDTF">2025-12-13T15:18:57Z</dcterms:modified>
</cp:coreProperties>
</file>